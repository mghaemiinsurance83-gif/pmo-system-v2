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ghaemi\Desktop\"/>
    </mc:Choice>
  </mc:AlternateContent>
  <xr:revisionPtr revIDLastSave="0" documentId="13_ncr:1_{37EDDA8D-55A1-4F52-B099-E2C40E98FC6C}" xr6:coauthVersionLast="47" xr6:coauthVersionMax="47" xr10:uidLastSave="{00000000-0000-0000-0000-000000000000}"/>
  <bookViews>
    <workbookView xWindow="-120" yWindow="-120" windowWidth="29040" windowHeight="15720" firstSheet="35" activeTab="35" xr2:uid="{D9781F22-AF0E-4748-AB9B-ED3DD9AF3103}"/>
  </bookViews>
  <sheets>
    <sheet name="بانک بیمه7" sheetId="160" r:id="rId1"/>
    <sheet name="بانک بیمه6" sheetId="159" r:id="rId2"/>
    <sheet name="بانک بیمه5" sheetId="158" r:id="rId3"/>
    <sheet name="بانک بیمه4" sheetId="157" r:id="rId4"/>
    <sheet name="بانک بیمه3" sheetId="156" r:id="rId5"/>
    <sheet name="بانک بیمه2" sheetId="155" r:id="rId6"/>
    <sheet name="بانک بیمه1" sheetId="154" r:id="rId7"/>
    <sheet name="پولشویی4" sheetId="153" r:id="rId8"/>
    <sheet name="پولشویی3" sheetId="152" r:id="rId9"/>
    <sheet name="پولشویی2" sheetId="151" r:id="rId10"/>
    <sheet name="پولشویی1" sheetId="150" r:id="rId11"/>
    <sheet name="حراست3" sheetId="149" r:id="rId12"/>
    <sheet name="حراست2" sheetId="148" r:id="rId13"/>
    <sheet name="حراست1" sheetId="147" r:id="rId14"/>
    <sheet name="حقوقی4" sheetId="146" r:id="rId15"/>
    <sheet name="حقوقی3" sheetId="145" r:id="rId16"/>
    <sheet name="حقوقی2" sheetId="144" r:id="rId17"/>
    <sheet name="حقوقی1" sheetId="143" r:id="rId18"/>
    <sheet name="آتش سوزی6" sheetId="142" r:id="rId19"/>
    <sheet name="آتش سوزی5" sheetId="141" r:id="rId20"/>
    <sheet name="آتش سوزی4" sheetId="140" r:id="rId21"/>
    <sheet name="آتش سوزی3" sheetId="139" r:id="rId22"/>
    <sheet name="آتش سوزی2" sheetId="138" r:id="rId23"/>
    <sheet name="آتش سوزی1" sheetId="137" r:id="rId24"/>
    <sheet name="مسئولیت6" sheetId="136" r:id="rId25"/>
    <sheet name="مسئولیت5" sheetId="135" r:id="rId26"/>
    <sheet name="مسئولیت4" sheetId="134" r:id="rId27"/>
    <sheet name="مسئولیت3" sheetId="133" r:id="rId28"/>
    <sheet name="مسئولیت2" sheetId="132" r:id="rId29"/>
    <sheet name="مسئولیت1" sheetId="131" r:id="rId30"/>
    <sheet name="مهندسی5" sheetId="130" r:id="rId31"/>
    <sheet name="مهندسی4" sheetId="129" r:id="rId32"/>
    <sheet name="مهندسی3" sheetId="128" r:id="rId33"/>
    <sheet name="مهندسی2" sheetId="127" r:id="rId34"/>
    <sheet name="مهندسی1" sheetId="126" r:id="rId35"/>
    <sheet name="اتومبیل4" sheetId="125" r:id="rId36"/>
    <sheet name="اتومبیل3" sheetId="124" r:id="rId37"/>
    <sheet name="اتومبیل2" sheetId="123" r:id="rId38"/>
    <sheet name="اتومبیل1" sheetId="122" r:id="rId39"/>
    <sheet name="باربری7" sheetId="121" r:id="rId40"/>
    <sheet name="باربری6" sheetId="120" r:id="rId41"/>
    <sheet name="باربری5" sheetId="119" r:id="rId42"/>
    <sheet name="باربری4" sheetId="118" r:id="rId43"/>
    <sheet name="باربری3" sheetId="117" r:id="rId44"/>
    <sheet name="باربری2" sheetId="116" r:id="rId45"/>
    <sheet name="باربری1" sheetId="115" r:id="rId46"/>
    <sheet name="امورمشتریان6" sheetId="113" r:id="rId47"/>
    <sheet name="امورمشتریان5" sheetId="112" r:id="rId48"/>
    <sheet name="امورمشتریان4" sheetId="111" r:id="rId49"/>
    <sheet name="امورمشتریان3" sheetId="110" r:id="rId50"/>
    <sheet name="امورمشتریان2" sheetId="109" r:id="rId51"/>
    <sheet name="امورمشتریان1" sheetId="108" r:id="rId52"/>
    <sheet name="بازاریابی8" sheetId="107" r:id="rId53"/>
    <sheet name="بازاریابی7" sheetId="106" r:id="rId54"/>
    <sheet name="بازاریابی6" sheetId="104" r:id="rId55"/>
    <sheet name="بازاریابی5" sheetId="105" r:id="rId56"/>
    <sheet name="بازاریابی4" sheetId="103" r:id="rId57"/>
    <sheet name="بازاریابی3" sheetId="102" r:id="rId58"/>
    <sheet name="بازاریابی2" sheetId="101" r:id="rId59"/>
    <sheet name="بازاریابی1" sheetId="177" r:id="rId60"/>
    <sheet name="امورشعب7" sheetId="99" r:id="rId61"/>
    <sheet name="امورشعب6" sheetId="98" r:id="rId62"/>
    <sheet name="امورشعب5" sheetId="97" r:id="rId63"/>
    <sheet name="امورشعب4" sheetId="96" r:id="rId64"/>
    <sheet name="امورشعب3" sheetId="169" r:id="rId65"/>
    <sheet name="امورشعب2" sheetId="94" r:id="rId66"/>
    <sheet name="امورشعب1" sheetId="168" r:id="rId67"/>
    <sheet name="فناوری اطلاعات 7" sheetId="164" r:id="rId68"/>
    <sheet name="فناوری اطلاعات6" sheetId="163" r:id="rId69"/>
    <sheet name="فناوری اطلاعات5" sheetId="91" r:id="rId70"/>
    <sheet name="فناوری اطلاعات4" sheetId="90" r:id="rId71"/>
    <sheet name="فناوری اطلاعات3" sheetId="89" r:id="rId72"/>
    <sheet name="فناوری اطلاعات2" sheetId="88" r:id="rId73"/>
    <sheet name="فناوری اطلاعات1" sheetId="87" r:id="rId74"/>
    <sheet name="مالی9" sheetId="86" r:id="rId75"/>
    <sheet name="مالی8" sheetId="85" r:id="rId76"/>
    <sheet name="مالی7" sheetId="84" r:id="rId77"/>
    <sheet name="مالی6" sheetId="83" r:id="rId78"/>
    <sheet name="مالی5" sheetId="82" r:id="rId79"/>
    <sheet name="مالی4" sheetId="81" r:id="rId80"/>
    <sheet name="مالی3" sheetId="80" r:id="rId81"/>
    <sheet name="مالی2" sheetId="79" r:id="rId82"/>
    <sheet name="مالی1" sheetId="78" r:id="rId83"/>
    <sheet name="سرمایه گذاری 5" sheetId="174" r:id="rId84"/>
    <sheet name="سرمایه گذاری 4" sheetId="173" r:id="rId85"/>
    <sheet name="سرمایه گذاری 3 " sheetId="172" r:id="rId86"/>
    <sheet name="سرمایه گذاری 2" sheetId="171" r:id="rId87"/>
    <sheet name="سرمایه گذاری 1" sheetId="170" r:id="rId88"/>
    <sheet name="عمر وسرمایه گذاری4" sheetId="74" r:id="rId89"/>
    <sheet name="عمر وسرمایه گذاری3" sheetId="73" r:id="rId90"/>
    <sheet name="عمر وسرمایه گذاری2" sheetId="72" r:id="rId91"/>
    <sheet name="عمر وسرمایه گذاری1" sheetId="71" r:id="rId92"/>
    <sheet name="طرح و برنامه6" sheetId="70" r:id="rId93"/>
    <sheet name="طرح و برنامه5" sheetId="69" r:id="rId94"/>
    <sheet name="طرح و برنامه4" sheetId="68" r:id="rId95"/>
    <sheet name="طرح و برنامه3" sheetId="67" r:id="rId96"/>
    <sheet name="طرح و برنامه2" sheetId="66" r:id="rId97"/>
    <sheet name="طرح و برنامه1" sheetId="65" r:id="rId98"/>
    <sheet name="ریسک5" sheetId="64" r:id="rId99"/>
    <sheet name="ریسک4" sheetId="63" r:id="rId100"/>
    <sheet name="ریسک3" sheetId="62" r:id="rId101"/>
    <sheet name="ریسک2" sheetId="61" r:id="rId102"/>
    <sheet name="ریسک1" sheetId="60" r:id="rId103"/>
    <sheet name="روابط عمومی8" sheetId="59" r:id="rId104"/>
    <sheet name="روابط عمومی7" sheetId="58" r:id="rId105"/>
    <sheet name="روابط عمومی6" sheetId="57" r:id="rId106"/>
    <sheet name="روابط عمومی5" sheetId="56" r:id="rId107"/>
    <sheet name="روابط عمومی4" sheetId="55" r:id="rId108"/>
    <sheet name="روابط عمومی3" sheetId="54" r:id="rId109"/>
    <sheet name="روابط عمومی2" sheetId="53" r:id="rId110"/>
    <sheet name="روابط عمومی1" sheetId="52" r:id="rId111"/>
    <sheet name="حسابرسی8" sheetId="176" r:id="rId112"/>
    <sheet name="حسابرسی7" sheetId="175" r:id="rId113"/>
    <sheet name="حسابرسی6" sheetId="45" r:id="rId114"/>
    <sheet name="حسابرسی5" sheetId="44" r:id="rId115"/>
    <sheet name="حسابرسی4" sheetId="43" r:id="rId116"/>
    <sheet name="حسابرسی3" sheetId="42" r:id="rId117"/>
    <sheet name="حسابرسی2" sheetId="41" r:id="rId118"/>
    <sheet name="حسابرسی1" sheetId="40" r:id="rId119"/>
    <sheet name="تشکیلات و روشها9" sheetId="39" r:id="rId120"/>
    <sheet name="تشکیلات و روشها8" sheetId="38" r:id="rId121"/>
    <sheet name="تشکیلات و روشها7" sheetId="37" r:id="rId122"/>
    <sheet name="تشکیلات و روشها6" sheetId="36" r:id="rId123"/>
    <sheet name="تشکیلات و روشها5" sheetId="35" r:id="rId124"/>
    <sheet name="تشکیلات و روشها4" sheetId="34" r:id="rId125"/>
    <sheet name="تشکیلات و روشها3" sheetId="33" r:id="rId126"/>
    <sheet name="تشکیلات و روشها2" sheetId="32" r:id="rId127"/>
    <sheet name="تشکیلات و روشها1" sheetId="31" r:id="rId128"/>
    <sheet name="پشتیبانی8" sheetId="30" r:id="rId129"/>
    <sheet name="پشتیبانی7" sheetId="29" r:id="rId130"/>
    <sheet name="پشتیبانی6" sheetId="28" r:id="rId131"/>
    <sheet name="پشتیبانی5" sheetId="27" r:id="rId132"/>
    <sheet name="پشتیبانی4" sheetId="26" r:id="rId133"/>
    <sheet name="پشتیبانی3" sheetId="24" r:id="rId134"/>
    <sheet name="پشتیبانی2" sheetId="23" r:id="rId135"/>
    <sheet name="پشتیبانی1" sheetId="22" r:id="rId136"/>
    <sheet name="کسب و کار 3" sheetId="21" r:id="rId137"/>
    <sheet name="کسب و کار2" sheetId="20" r:id="rId138"/>
    <sheet name="کسب و کار1" sheetId="19" r:id="rId139"/>
    <sheet name="بازرسی3" sheetId="17" r:id="rId140"/>
    <sheet name="بازرسی 2" sheetId="16" r:id="rId141"/>
    <sheet name="بازرسی1" sheetId="18" r:id="rId142"/>
    <sheet name="منابع انسانی6" sheetId="179" r:id="rId143"/>
    <sheet name="منابع انسانی5" sheetId="51" r:id="rId144"/>
    <sheet name="منابع انسانی4" sheetId="50" r:id="rId145"/>
    <sheet name="منابع انسانی3" sheetId="48" r:id="rId146"/>
    <sheet name="منابع انسانی2" sheetId="47" r:id="rId147"/>
    <sheet name="منابع انسانی1" sheetId="46" r:id="rId148"/>
    <sheet name="آموزش6" sheetId="15" r:id="rId149"/>
    <sheet name="آموزش5" sheetId="14" r:id="rId150"/>
    <sheet name="آموزش4" sheetId="13" r:id="rId151"/>
    <sheet name="آموزش3" sheetId="12" r:id="rId152"/>
    <sheet name="آموزش2" sheetId="11" r:id="rId153"/>
    <sheet name="آموزش1" sheetId="10" r:id="rId154"/>
    <sheet name="درمان4" sheetId="9" r:id="rId155"/>
    <sheet name="درمان3" sheetId="8" r:id="rId156"/>
    <sheet name="درمان2" sheetId="7" r:id="rId157"/>
    <sheet name="درمان1" sheetId="6" r:id="rId158"/>
    <sheet name="اتکائی5" sheetId="5" r:id="rId159"/>
    <sheet name="اتکائی4" sheetId="4" r:id="rId160"/>
    <sheet name="اتکائی3" sheetId="3" r:id="rId161"/>
    <sheet name="اتکائی 2" sheetId="2" r:id="rId162"/>
    <sheet name="اتکائی 1" sheetId="1" r:id="rId163"/>
    <sheet name="معاونت ها ومدیریت های زیرمجموعه" sheetId="180" r:id="rId164"/>
    <sheet name="اکسل V22" sheetId="167" state="hidden" r:id="rId165"/>
  </sheets>
  <definedNames>
    <definedName name="_xlnm.Print_Area" localSheetId="23">'آتش سوزی1'!$A$1:$Y$21</definedName>
    <definedName name="_xlnm.Print_Area" localSheetId="22">'آتش سوزی2'!$A$1:$Y$19</definedName>
    <definedName name="_xlnm.Print_Area" localSheetId="21">'آتش سوزی3'!$A$1:$Y$19</definedName>
    <definedName name="_xlnm.Print_Area" localSheetId="20">'آتش سوزی4'!$A$1:$Y$19</definedName>
    <definedName name="_xlnm.Print_Area" localSheetId="19">'آتش سوزی5'!$A$1:$Y$22</definedName>
    <definedName name="_xlnm.Print_Area" localSheetId="18">'آتش سوزی6'!$A$1:$Y$19</definedName>
    <definedName name="_xlnm.Print_Area" localSheetId="162">'اتکائی 1'!$A$1:$Z$18</definedName>
    <definedName name="_xlnm.Print_Area" localSheetId="161">'اتکائی 2'!$A$1:$Y$16</definedName>
    <definedName name="_xlnm.Print_Area" localSheetId="160">اتکائی3!$A$1:$Z$24</definedName>
    <definedName name="_xlnm.Print_Area" localSheetId="159">اتکائی4!$A$1:$Z$29</definedName>
    <definedName name="_xlnm.Print_Area" localSheetId="158">اتکائی5!$A$1:$AE$21</definedName>
    <definedName name="_xlnm.Print_Area" localSheetId="38">اتومبیل1!$A$1:$Z$19</definedName>
    <definedName name="_xlnm.Print_Area" localSheetId="37">اتومبیل2!$A$1:$Z$19</definedName>
    <definedName name="_xlnm.Print_Area" localSheetId="36">اتومبیل3!$A$1:$Y$22</definedName>
    <definedName name="_xlnm.Print_Area" localSheetId="35">اتومبیل4!$A$1:$Z$19</definedName>
    <definedName name="_xlnm.Print_Area" localSheetId="164">'اکسل V22'!$A$1:$AR$164</definedName>
    <definedName name="_xlnm.Print_Area" localSheetId="66">امورشعب1!$A$1:$Z$23</definedName>
    <definedName name="_xlnm.Print_Area" localSheetId="65">امورشعب2!$A$1:$Z$19</definedName>
    <definedName name="_xlnm.Print_Area" localSheetId="64">امورشعب3!$A$1:$Z$19</definedName>
    <definedName name="_xlnm.Print_Area" localSheetId="63">امورشعب4!$A$1:$Z$20</definedName>
    <definedName name="_xlnm.Print_Area" localSheetId="62">امورشعب5!$A$1:$Z$24</definedName>
    <definedName name="_xlnm.Print_Area" localSheetId="61">امورشعب6!$A$1:$Z$17</definedName>
    <definedName name="_xlnm.Print_Area" localSheetId="60">امورشعب7!$A$1:$Z$17</definedName>
    <definedName name="_xlnm.Print_Area" localSheetId="51">امورمشتریان1!$A$1:$Z$19</definedName>
    <definedName name="_xlnm.Print_Area" localSheetId="50">امورمشتریان2!$A$1:$Z$19</definedName>
    <definedName name="_xlnm.Print_Area" localSheetId="49">امورمشتریان3!$A$1:$Z$20</definedName>
    <definedName name="_xlnm.Print_Area" localSheetId="48">امورمشتریان4!$A$1:$Z$20</definedName>
    <definedName name="_xlnm.Print_Area" localSheetId="47">امورمشتریان5!$A$1:$Z$20</definedName>
    <definedName name="_xlnm.Print_Area" localSheetId="46">امورمشتریان6!$A$1:$Z$20</definedName>
    <definedName name="_xlnm.Print_Area" localSheetId="45">باربری1!$A$1:$Y$15</definedName>
    <definedName name="_xlnm.Print_Area" localSheetId="44">باربری2!$A$1:$Y$15</definedName>
    <definedName name="_xlnm.Print_Area" localSheetId="43">باربری3!$A$1:$Y$19</definedName>
    <definedName name="_xlnm.Print_Area" localSheetId="42">باربری4!$A$1:$Y$16</definedName>
    <definedName name="_xlnm.Print_Area" localSheetId="41">باربری5!$A$1:$Y$15</definedName>
    <definedName name="_xlnm.Print_Area" localSheetId="40">باربری6!$A$1:$Y$19</definedName>
    <definedName name="_xlnm.Print_Area" localSheetId="39">باربری7!$A$1:$W$16</definedName>
    <definedName name="_xlnm.Print_Area" localSheetId="59">بازاریابی1!$A$1:$Z$25</definedName>
    <definedName name="_xlnm.Print_Area" localSheetId="58">بازاریابی2!$A$1:$Z$17</definedName>
    <definedName name="_xlnm.Print_Area" localSheetId="57">بازاریابی3!$A$1:$Z$19</definedName>
    <definedName name="_xlnm.Print_Area" localSheetId="56">بازاریابی4!$A$1:$Z$19</definedName>
    <definedName name="_xlnm.Print_Area" localSheetId="55">بازاریابی5!$A$1:$Z$16</definedName>
    <definedName name="_xlnm.Print_Area" localSheetId="54">بازاریابی6!$A$1:$Z$16</definedName>
    <definedName name="_xlnm.Print_Area" localSheetId="53">بازاریابی7!$A$1:$Z$19</definedName>
    <definedName name="_xlnm.Print_Area" localSheetId="52">بازاریابی8!$A$1:$Z$19</definedName>
    <definedName name="_xlnm.Print_Area" localSheetId="140">'بازرسی 2'!$A$1:$Z$19</definedName>
    <definedName name="_xlnm.Print_Area" localSheetId="141">بازرسی1!$A$1:$Z$19</definedName>
    <definedName name="_xlnm.Print_Area" localSheetId="139">بازرسی3!$A$1:$Z$19</definedName>
    <definedName name="_xlnm.Print_Area" localSheetId="6">'بانک بیمه1'!$A$1:$Y$19</definedName>
    <definedName name="_xlnm.Print_Area" localSheetId="5">'بانک بیمه2'!$A$1:$Y$21</definedName>
    <definedName name="_xlnm.Print_Area" localSheetId="4">'بانک بیمه3'!$A$1:$Y$17</definedName>
    <definedName name="_xlnm.Print_Area" localSheetId="3">'بانک بیمه4'!$A$1:$Y$16</definedName>
    <definedName name="_xlnm.Print_Area" localSheetId="2">'بانک بیمه5'!$A$1:$Y$18</definedName>
    <definedName name="_xlnm.Print_Area" localSheetId="1">'بانک بیمه6'!$A$1:$Y$18</definedName>
    <definedName name="_xlnm.Print_Area" localSheetId="0">'بانک بیمه7'!$A$1:$Y$16</definedName>
    <definedName name="_xlnm.Print_Area" localSheetId="135">پشتیبانی1!$A$1:$Z$15</definedName>
    <definedName name="_xlnm.Print_Area" localSheetId="134">پشتیبانی2!$A$1:$Z$17</definedName>
    <definedName name="_xlnm.Print_Area" localSheetId="133">پشتیبانی3!$A$1:$Z$16</definedName>
    <definedName name="_xlnm.Print_Area" localSheetId="132">پشتیبانی4!$A$1:$Z$17</definedName>
    <definedName name="_xlnm.Print_Area" localSheetId="131">پشتیبانی5!$A$1:$Z$15</definedName>
    <definedName name="_xlnm.Print_Area" localSheetId="130">پشتیبانی6!$A$1:$Z$15</definedName>
    <definedName name="_xlnm.Print_Area" localSheetId="129">پشتیبانی7!$A$1:$Z$18</definedName>
    <definedName name="_xlnm.Print_Area" localSheetId="128">پشتیبانی8!$A$1:$Z$16</definedName>
    <definedName name="_xlnm.Print_Area" localSheetId="10">پولشویی1!$A$1:$Z$19</definedName>
    <definedName name="_xlnm.Print_Area" localSheetId="9">پولشویی2!$A$1:$Z$19</definedName>
    <definedName name="_xlnm.Print_Area" localSheetId="8">پولشویی3!$A$1:$Z$19</definedName>
    <definedName name="_xlnm.Print_Area" localSheetId="7">پولشویی4!$A$1:$Z$19</definedName>
    <definedName name="_xlnm.Print_Area" localSheetId="127">'تشکیلات و روشها1'!$A$1:$Z$17</definedName>
    <definedName name="_xlnm.Print_Area" localSheetId="126">'تشکیلات و روشها2'!$A$1:$Z$18</definedName>
    <definedName name="_xlnm.Print_Area" localSheetId="125">'تشکیلات و روشها3'!$A$1:$X$33</definedName>
    <definedName name="_xlnm.Print_Area" localSheetId="124">'تشکیلات و روشها4'!$A$1:$Z$17</definedName>
    <definedName name="_xlnm.Print_Area" localSheetId="123">'تشکیلات و روشها5'!$A$1:$Z$19</definedName>
    <definedName name="_xlnm.Print_Area" localSheetId="122">'تشکیلات و روشها6'!$A$1:$Z$18</definedName>
    <definedName name="_xlnm.Print_Area" localSheetId="121">'تشکیلات و روشها7'!$A$1:$Z$19</definedName>
    <definedName name="_xlnm.Print_Area" localSheetId="120">'تشکیلات و روشها8'!$A$1:$Z$18</definedName>
    <definedName name="_xlnm.Print_Area" localSheetId="119">'تشکیلات و روشها9'!$A$1:$X$24</definedName>
    <definedName name="_xlnm.Print_Area" localSheetId="13">حراست1!$A$1:$Z$19</definedName>
    <definedName name="_xlnm.Print_Area" localSheetId="12">حراست2!$A$1:$Z$19</definedName>
    <definedName name="_xlnm.Print_Area" localSheetId="11">حراست3!$A$1:$Z$19</definedName>
    <definedName name="_xlnm.Print_Area" localSheetId="118">حسابرسی1!$A$1:$Z$17</definedName>
    <definedName name="_xlnm.Print_Area" localSheetId="117">حسابرسی2!$A$1:$Z$15</definedName>
    <definedName name="_xlnm.Print_Area" localSheetId="116">حسابرسی3!$A$1:$Z$17</definedName>
    <definedName name="_xlnm.Print_Area" localSheetId="115">حسابرسی4!$A$1:$Z$16</definedName>
    <definedName name="_xlnm.Print_Area" localSheetId="114">حسابرسی5!$A$1:$Z$16</definedName>
    <definedName name="_xlnm.Print_Area" localSheetId="113">حسابرسی6!$A$1:$Z$17</definedName>
    <definedName name="_xlnm.Print_Area" localSheetId="112">حسابرسی7!$A$1:$Z$15</definedName>
    <definedName name="_xlnm.Print_Area" localSheetId="111">حسابرسی8!$A$1:$Z$15</definedName>
    <definedName name="_xlnm.Print_Area" localSheetId="17">حقوقی1!$A$1:$Y$19</definedName>
    <definedName name="_xlnm.Print_Area" localSheetId="16">حقوقی2!$A$1:$Y$19</definedName>
    <definedName name="_xlnm.Print_Area" localSheetId="15">حقوقی3!$A$1:$Y$19</definedName>
    <definedName name="_xlnm.Print_Area" localSheetId="14">حقوقی4!$A$1:$Y$19</definedName>
    <definedName name="_xlnm.Print_Area" localSheetId="157">درمان1!$A$1:$Z$19</definedName>
    <definedName name="_xlnm.Print_Area" localSheetId="156">درمان2!$A$1:$Z$19</definedName>
    <definedName name="_xlnm.Print_Area" localSheetId="155">درمان3!$A$1:$Z$19</definedName>
    <definedName name="_xlnm.Print_Area" localSheetId="154">درمان4!$A$1:$Z$19</definedName>
    <definedName name="_xlnm.Print_Area" localSheetId="110">'روابط عمومی1'!$A$1:$Z$17</definedName>
    <definedName name="_xlnm.Print_Area" localSheetId="109">'روابط عمومی2'!$A$1:$Z$19</definedName>
    <definedName name="_xlnm.Print_Area" localSheetId="108">'روابط عمومی3'!$A$1:$Z$18</definedName>
    <definedName name="_xlnm.Print_Area" localSheetId="107">'روابط عمومی4'!$A$1:$Z$18</definedName>
    <definedName name="_xlnm.Print_Area" localSheetId="106">'روابط عمومی5'!$A$1:$Z$15</definedName>
    <definedName name="_xlnm.Print_Area" localSheetId="105">'روابط عمومی6'!$A$1:$Z$16</definedName>
    <definedName name="_xlnm.Print_Area" localSheetId="104">'روابط عمومی7'!$A$1:$Z$17</definedName>
    <definedName name="_xlnm.Print_Area" localSheetId="103">'روابط عمومی8'!$A$1:$Z$19</definedName>
    <definedName name="_xlnm.Print_Area" localSheetId="102">ریسک1!$A$1:$Y$19</definedName>
    <definedName name="_xlnm.Print_Area" localSheetId="101">ریسک2!$A$1:$Y$19</definedName>
    <definedName name="_xlnm.Print_Area" localSheetId="100">ریسک3!$A$1:$Y$19</definedName>
    <definedName name="_xlnm.Print_Area" localSheetId="99">ریسک4!$A$1:$Y$19</definedName>
    <definedName name="_xlnm.Print_Area" localSheetId="98">ریسک5!$A$1:$Y$19</definedName>
    <definedName name="_xlnm.Print_Area" localSheetId="87">'سرمایه گذاری 1'!$A$1:$Z$22</definedName>
    <definedName name="_xlnm.Print_Area" localSheetId="86">'سرمایه گذاری 2'!$A$1:$Z$22</definedName>
    <definedName name="_xlnm.Print_Area" localSheetId="85">'سرمایه گذاری 3 '!$A$1:$Z$22</definedName>
    <definedName name="_xlnm.Print_Area" localSheetId="84">'سرمایه گذاری 4'!$A$1:$Z$22</definedName>
    <definedName name="_xlnm.Print_Area" localSheetId="83">'سرمایه گذاری 5'!$A$1:$Z$22</definedName>
    <definedName name="_xlnm.Print_Area" localSheetId="97">'طرح و برنامه1'!$A$1:$Z$19</definedName>
    <definedName name="_xlnm.Print_Area" localSheetId="96">'طرح و برنامه2'!$A$1:$Z$18</definedName>
    <definedName name="_xlnm.Print_Area" localSheetId="95">'طرح و برنامه3'!$A$1:$Z$19</definedName>
    <definedName name="_xlnm.Print_Area" localSheetId="94">'طرح و برنامه4'!$A$1:$Z$19</definedName>
    <definedName name="_xlnm.Print_Area" localSheetId="93">'طرح و برنامه5'!$A$1:$Z$19</definedName>
    <definedName name="_xlnm.Print_Area" localSheetId="91">'عمر وسرمایه گذاری1'!$A$1:$Y$19</definedName>
    <definedName name="_xlnm.Print_Area" localSheetId="90">'عمر وسرمایه گذاری2'!$A$1:$Y$20</definedName>
    <definedName name="_xlnm.Print_Area" localSheetId="89">'عمر وسرمایه گذاری3'!$A$1:$Y$19</definedName>
    <definedName name="_xlnm.Print_Area" localSheetId="88">'عمر وسرمایه گذاری4'!$A$1:$Y$23</definedName>
    <definedName name="_xlnm.Print_Area" localSheetId="67">'فناوری اطلاعات 7'!$A$1:$Y$19</definedName>
    <definedName name="_xlnm.Print_Area" localSheetId="73">'فناوری اطلاعات1'!$A$1:$Y$15</definedName>
    <definedName name="_xlnm.Print_Area" localSheetId="72">'فناوری اطلاعات2'!$A$1:$Y$17</definedName>
    <definedName name="_xlnm.Print_Area" localSheetId="71">'فناوری اطلاعات3'!$A$1:$Y$18</definedName>
    <definedName name="_xlnm.Print_Area" localSheetId="70">'فناوری اطلاعات4'!$A$1:$Y$16</definedName>
    <definedName name="_xlnm.Print_Area" localSheetId="69">'فناوری اطلاعات5'!$A$1:$Y$19</definedName>
    <definedName name="_xlnm.Print_Area" localSheetId="68">'فناوری اطلاعات6'!$A$1:$Y$17</definedName>
    <definedName name="_xlnm.Print_Area" localSheetId="82">مالی1!$A$1:$Y$18</definedName>
    <definedName name="_xlnm.Print_Area" localSheetId="81">مالی2!$A$1:$Y$19</definedName>
    <definedName name="_xlnm.Print_Area" localSheetId="80">مالی3!$A$1:$Y$18</definedName>
    <definedName name="_xlnm.Print_Area" localSheetId="79">مالی4!$A$1:$Y$17</definedName>
    <definedName name="_xlnm.Print_Area" localSheetId="78">مالی5!$A$1:$Y$19</definedName>
    <definedName name="_xlnm.Print_Area" localSheetId="77">مالی6!$A$1:$Y$18</definedName>
    <definedName name="_xlnm.Print_Area" localSheetId="76">مالی7!$A$1:$Y$18</definedName>
    <definedName name="_xlnm.Print_Area" localSheetId="75">مالی8!$A$1:$AB$20</definedName>
    <definedName name="_xlnm.Print_Area" localSheetId="74">مالی9!$A$1:$AB$20</definedName>
    <definedName name="_xlnm.Print_Area" localSheetId="29">مسئولیت1!$A$1:$Y$19</definedName>
    <definedName name="_xlnm.Print_Area" localSheetId="28">مسئولیت2!$A$1:$Y$18</definedName>
    <definedName name="_xlnm.Print_Area" localSheetId="27">مسئولیت3!$A$1:$Y$19</definedName>
    <definedName name="_xlnm.Print_Area" localSheetId="26">مسئولیت4!$A$1:$Y$19</definedName>
    <definedName name="_xlnm.Print_Area" localSheetId="25">مسئولیت5!$A$1:$Y$18</definedName>
    <definedName name="_xlnm.Print_Area" localSheetId="24">مسئولیت6!$A$1:$Y$19</definedName>
    <definedName name="_xlnm.Print_Area" localSheetId="147">'منابع انسانی1'!$A$1:$AB$18</definedName>
    <definedName name="_xlnm.Print_Area" localSheetId="34">مهندسی1!$A$1:$Y$19</definedName>
    <definedName name="_xlnm.Print_Area" localSheetId="33">مهندسی2!$A$1:$Y$19</definedName>
    <definedName name="_xlnm.Print_Area" localSheetId="32">مهندسی3!$A$1:$Y$19</definedName>
    <definedName name="_xlnm.Print_Area" localSheetId="31">مهندسی4!$A$1:$Y$19</definedName>
    <definedName name="_xlnm.Print_Area" localSheetId="30">مهندسی5!$A$1:$Y$19</definedName>
    <definedName name="_xlnm.Print_Titles" localSheetId="164">'اکسل V22'!$1:$1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0" i="175" l="1"/>
  <c r="AC9" i="175"/>
  <c r="AB11" i="90"/>
  <c r="AB10" i="90"/>
  <c r="AB9" i="90"/>
  <c r="AB13" i="89"/>
  <c r="AB12" i="89"/>
  <c r="AB9" i="89"/>
  <c r="AB10" i="89"/>
  <c r="AB11" i="89"/>
  <c r="AB8" i="89"/>
  <c r="AB8" i="88"/>
  <c r="AD10" i="174"/>
  <c r="AD11" i="174"/>
  <c r="AC11" i="173"/>
  <c r="AC12" i="173"/>
  <c r="AC13" i="173"/>
  <c r="AC10" i="173"/>
  <c r="AC9" i="172"/>
  <c r="AC10" i="172"/>
  <c r="AC10" i="170"/>
  <c r="AC13" i="74"/>
  <c r="AC12" i="74"/>
  <c r="AC10" i="74"/>
  <c r="AC11" i="74"/>
  <c r="AB12" i="73"/>
  <c r="AB11" i="73"/>
  <c r="AB10" i="73"/>
  <c r="AB9" i="73"/>
  <c r="AB15" i="72"/>
  <c r="AB14" i="72"/>
  <c r="AB13" i="72"/>
  <c r="AB12" i="72"/>
  <c r="AB11" i="72"/>
  <c r="AB10" i="72"/>
  <c r="AB14" i="71"/>
  <c r="AB13" i="71"/>
  <c r="AB12" i="71"/>
  <c r="AB11" i="71"/>
  <c r="AD9" i="70"/>
  <c r="AD8" i="69"/>
  <c r="AB9" i="60"/>
  <c r="AB8" i="60"/>
  <c r="AC11" i="58"/>
  <c r="AC9" i="58"/>
  <c r="AC9" i="57"/>
  <c r="AC8" i="57"/>
  <c r="AC9" i="56"/>
  <c r="AC9" i="44"/>
  <c r="AC9" i="43"/>
  <c r="AC11" i="42"/>
  <c r="AC12" i="42"/>
  <c r="AC9" i="42"/>
  <c r="AC10" i="42"/>
  <c r="AC8" i="42"/>
  <c r="AC9" i="41"/>
  <c r="AD9" i="40"/>
  <c r="AD9" i="37"/>
  <c r="AD10" i="37"/>
  <c r="AD11" i="37"/>
  <c r="AD12" i="37"/>
  <c r="AD13" i="37"/>
  <c r="AD8" i="37"/>
  <c r="AC8" i="30"/>
  <c r="AC13" i="29"/>
  <c r="AD9" i="26"/>
  <c r="AD8" i="26"/>
  <c r="AC10" i="22"/>
  <c r="AA12" i="21"/>
  <c r="AD12" i="17"/>
  <c r="AC10" i="16"/>
  <c r="AC9" i="16"/>
  <c r="AC8" i="16"/>
  <c r="AO11" i="51"/>
  <c r="AO9" i="51"/>
  <c r="AO9" i="50"/>
  <c r="AO10" i="48"/>
  <c r="AD9" i="47"/>
  <c r="AC9" i="46"/>
  <c r="AC10" i="15"/>
  <c r="AD11" i="14"/>
  <c r="AD10" i="14"/>
  <c r="AD10" i="13"/>
  <c r="AD9" i="13"/>
  <c r="AD11" i="12"/>
  <c r="AD10" i="12"/>
  <c r="AD9" i="11"/>
  <c r="AC10" i="10"/>
  <c r="AC12" i="6"/>
  <c r="AC11" i="6"/>
  <c r="AC9" i="6"/>
  <c r="AH14" i="5"/>
  <c r="AC20" i="4"/>
  <c r="AB8" i="2"/>
  <c r="AD9" i="1"/>
  <c r="Q165" i="167"/>
  <c r="R165" i="167"/>
  <c r="S165" i="167"/>
  <c r="T165" i="167"/>
  <c r="U165" i="167"/>
  <c r="V165" i="167"/>
  <c r="W165" i="167"/>
  <c r="X165" i="167"/>
  <c r="Y165" i="167"/>
  <c r="Z165" i="167"/>
  <c r="AA165" i="167"/>
  <c r="AB165" i="167"/>
  <c r="AC165" i="167"/>
  <c r="AD165" i="167"/>
  <c r="AE165" i="167"/>
  <c r="AF165" i="167"/>
  <c r="AG165" i="167"/>
  <c r="AH165" i="167"/>
  <c r="AI165" i="167"/>
  <c r="AJ165" i="167"/>
  <c r="AK165" i="167"/>
  <c r="AL165" i="167"/>
  <c r="AM165" i="167"/>
  <c r="AN165" i="167"/>
  <c r="AO165" i="167"/>
  <c r="AP165" i="167"/>
  <c r="AQ165" i="167"/>
  <c r="AR165" i="167"/>
  <c r="P165" i="167"/>
  <c r="H13" i="142"/>
  <c r="H16" i="141"/>
  <c r="H14" i="140"/>
  <c r="H14" i="139"/>
  <c r="H14" i="138"/>
  <c r="H16" i="137"/>
  <c r="E34" i="39"/>
  <c r="E32" i="39"/>
  <c r="I13" i="39"/>
  <c r="I12" i="39"/>
  <c r="I11"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فرقانی نگین</author>
  </authors>
  <commentList>
    <comment ref="K6" authorId="0" shapeId="0" xr:uid="{68765204-2C5E-45F2-84B6-1F2AA1E76FAA}">
      <text>
        <r>
          <rPr>
            <b/>
            <sz val="9"/>
            <color indexed="81"/>
            <rFont val="Tahoma"/>
            <family val="2"/>
          </rPr>
          <t>فرقانی نگین:</t>
        </r>
        <r>
          <rPr>
            <sz val="9"/>
            <color indexed="81"/>
            <rFont val="Tahoma"/>
            <family val="2"/>
          </rPr>
          <t xml:space="preserve">
کل زمان برنامه بشود 6 ماه یعنی تا پایان شهریور برنامه انجام بشه</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فرقانی نگین</author>
  </authors>
  <commentList>
    <comment ref="M3" authorId="0" shapeId="0" xr:uid="{5277515E-37CD-47BD-84D4-F45EC5187014}">
      <text>
        <r>
          <rPr>
            <b/>
            <sz val="9"/>
            <color indexed="81"/>
            <rFont val="Tahoma"/>
            <family val="2"/>
          </rPr>
          <t>فرقانی نگین:</t>
        </r>
        <r>
          <rPr>
            <sz val="9"/>
            <color indexed="81"/>
            <rFont val="Tahoma"/>
            <family val="2"/>
          </rPr>
          <t xml:space="preserve">
با خانم صفایی چک بشه</t>
        </r>
      </text>
    </comment>
  </commentList>
</comments>
</file>

<file path=xl/sharedStrings.xml><?xml version="1.0" encoding="utf-8"?>
<sst xmlns="http://schemas.openxmlformats.org/spreadsheetml/2006/main" count="11302" uniqueCount="2635">
  <si>
    <t>شناسنامه شرح عملیات/ اقدامات مرتبط با برنامه عملیاتی مدیریت سال 1405</t>
  </si>
  <si>
    <r>
      <t>شماره سند:</t>
    </r>
    <r>
      <rPr>
        <b/>
        <sz val="18"/>
        <rFont val="Arial Narrow"/>
        <family val="2"/>
      </rPr>
      <t>DI-FO-046-00</t>
    </r>
  </si>
  <si>
    <t>1- عنوان برنامه : داشبورد مالی اتکایی</t>
  </si>
  <si>
    <t xml:space="preserve">3- شماره برنامه:  </t>
  </si>
  <si>
    <t>6-هدف برنامه:  تهیه  محاسبه سود و زیان اتکایی</t>
  </si>
  <si>
    <t>2- مدیر پروژه :   اتکایی و امور بین الملل</t>
  </si>
  <si>
    <t>4- وزن  برنامه:  5</t>
  </si>
  <si>
    <t>5-تاريخ شروع :    1405/01/01</t>
  </si>
  <si>
    <t>7- تاریخ خاتمه :  1405/12/29</t>
  </si>
  <si>
    <t>رديف</t>
  </si>
  <si>
    <t>8- شرح عملیات / اقدامات مرتبط با فعالیت</t>
  </si>
  <si>
    <t>9-وزن هر عملیات</t>
  </si>
  <si>
    <t>10- واحدهای مجری</t>
  </si>
  <si>
    <t>11-پیش‌نیازی گام‌های برنامه</t>
  </si>
  <si>
    <t>12- زمان اجراي عملیات در سال 1405</t>
  </si>
  <si>
    <t xml:space="preserve">13- ملاحظات </t>
  </si>
  <si>
    <t>فروردین</t>
  </si>
  <si>
    <t>اردیبهشت</t>
  </si>
  <si>
    <t>خرداد</t>
  </si>
  <si>
    <t>تیر</t>
  </si>
  <si>
    <t>مرداد</t>
  </si>
  <si>
    <t>شهریور</t>
  </si>
  <si>
    <t>مهر</t>
  </si>
  <si>
    <t>آبان</t>
  </si>
  <si>
    <t>آذر</t>
  </si>
  <si>
    <t>دي</t>
  </si>
  <si>
    <t>بهمن</t>
  </si>
  <si>
    <t>اسفند</t>
  </si>
  <si>
    <t>1</t>
  </si>
  <si>
    <t>تجمیع داشبوردهای اتکایی در یک داشبورد مجزا</t>
  </si>
  <si>
    <t>اتکایی/ فناوری اطلاعات/ مدیریت ریسک</t>
  </si>
  <si>
    <t>انجام اصلاحات داشبوردها</t>
  </si>
  <si>
    <t>1-1</t>
  </si>
  <si>
    <t>محاسبات مالی اتکایی داشبورد کشتی، هواپیما و باربری، پول</t>
  </si>
  <si>
    <t>1-2</t>
  </si>
  <si>
    <t>محاسبات مالی اتکایی داشبورد مهندسی، آتش سوزی و انرژی</t>
  </si>
  <si>
    <t>1-3</t>
  </si>
  <si>
    <t xml:space="preserve">محاسبات مالی اتکایی داشبورد بدنه، ثالث، </t>
  </si>
  <si>
    <t>1-4</t>
  </si>
  <si>
    <t>محاسبات مالی اتکایی داشبورد مسئولیت، حوادث، درمان، عمر و حوادث گروهی</t>
  </si>
  <si>
    <t>1-5</t>
  </si>
  <si>
    <t>محاسبات مالی اتکایی داشبورد عمر و سرمایه گذاری</t>
  </si>
  <si>
    <t>14 - امضاء مدیربرنامه :</t>
  </si>
  <si>
    <t>15 - امضاء ادارات مجری / همکار :</t>
  </si>
  <si>
    <t>16 - اعتبار مورد نیاز / نفر ساعت</t>
  </si>
  <si>
    <t xml:space="preserve">
17- امضاء مسئول کنترل برنامه :
</t>
  </si>
  <si>
    <t xml:space="preserve">
18- تاریخ تصویب در هیئت‌مدیره :
</t>
  </si>
  <si>
    <t>اعتبار مورد نیاز ( ریال ) :</t>
  </si>
  <si>
    <t>نفر ساعت :</t>
  </si>
  <si>
    <t>شماره سند:DI-FO-046-00</t>
  </si>
  <si>
    <t>1- عنوان پروژه : خلاصه عملکردقراردادی 1404</t>
  </si>
  <si>
    <t>4- شماره برنامه:  1</t>
  </si>
  <si>
    <t>6-هدف برنامه:  برآورد سود و زیان</t>
  </si>
  <si>
    <t>2- مدیر پروژه :  اتکایی و اموربین الملل</t>
  </si>
  <si>
    <t>5- وزن  برنامه:  2</t>
  </si>
  <si>
    <t>3- عنوان برنامه:  خلاصه عملکردقراردادی 1404</t>
  </si>
  <si>
    <t>7-تاريخ شروع :    1405/01/01</t>
  </si>
  <si>
    <t>8- تاریخ خاتمه :  1405/12/29</t>
  </si>
  <si>
    <t>9- شرح عملیات / اقدامات مرتبط با فعالیت</t>
  </si>
  <si>
    <t>10-وزن هر عملیات</t>
  </si>
  <si>
    <t>11- واحدهای مجری</t>
  </si>
  <si>
    <t>12- هدف کمی
گزارش/مصوبه/دستورالعمل/...</t>
  </si>
  <si>
    <t>13- زمان اجراي عملیات در سال 1405</t>
  </si>
  <si>
    <t xml:space="preserve">14- ملاحظات </t>
  </si>
  <si>
    <t>خلاصه عملکرد مربوط به قرارداد های کشتی، باربری،</t>
  </si>
  <si>
    <t>اتکایی / فناوری اطلاعات</t>
  </si>
  <si>
    <t>2</t>
  </si>
  <si>
    <t>خلاصه عملکرد مربوط به قرارداد های مهندسی، اتش سوزی، انرژی</t>
  </si>
  <si>
    <t>3</t>
  </si>
  <si>
    <t>خلاصه عملکرد مربوط به قرارداد های اتومبیل (بدنه، ثالث، حوادث سرنشین)</t>
  </si>
  <si>
    <t>4</t>
  </si>
  <si>
    <t>خلاصه عملکرد مربوط به قرارداد های درمان و مسئولیت</t>
  </si>
  <si>
    <t>15 - امضاء مدیربرنامه :</t>
  </si>
  <si>
    <t>16 - امضاء ادارات مجری / همکار :</t>
  </si>
  <si>
    <t>17 - اعتبار مورد نیاز / نفر ساعت</t>
  </si>
  <si>
    <t xml:space="preserve">18- امضاء مسئول کنترل پروژه :
</t>
  </si>
  <si>
    <t xml:space="preserve">19- تاریخ تصویب در هیات مدیره :
</t>
  </si>
  <si>
    <t>1- عنوان برنامه : قرارداد جامع اتکایی رشته های  زندگی</t>
  </si>
  <si>
    <t>6-هدف برنامه: کنترل ریسک و سودآوری</t>
  </si>
  <si>
    <t>4- وزن  برنامه:  3</t>
  </si>
  <si>
    <t>5-تاريخ شروع :    1404/07/01</t>
  </si>
  <si>
    <t>مکاتبه و انعقاد قرارداد</t>
  </si>
  <si>
    <t>اتکایی / مدیریت عمر و سرمایه گذاری</t>
  </si>
  <si>
    <t>در سال گذشته انجام پذیرفته است</t>
  </si>
  <si>
    <t>مکاتبه با بیمه گر اتکایی</t>
  </si>
  <si>
    <t>دریافت پیش نویس قرارداد</t>
  </si>
  <si>
    <t>اصلاح و ارسال قرارداد مورد تائید بیمه تجارت نو</t>
  </si>
  <si>
    <t>محاسبات قرارداد</t>
  </si>
  <si>
    <t>اتکایی / مدیریت عمر و سرمایه گذاری/مدیریت درمان</t>
  </si>
  <si>
    <t>2-1</t>
  </si>
  <si>
    <t>طراحی صورتحساب های مربوط به قرارداد</t>
  </si>
  <si>
    <t>2-2</t>
  </si>
  <si>
    <t>ایجاد گزارشات مربوطه جهت محاسبات</t>
  </si>
  <si>
    <t>تولید صورتحساب سال اول</t>
  </si>
  <si>
    <t>3-1</t>
  </si>
  <si>
    <t>محاسبه و تولید صورتحساب و ارسال به مدیریت مالی  سه ماهه اول قرارداد</t>
  </si>
  <si>
    <t>3-2</t>
  </si>
  <si>
    <t>محاسبه و تولید صورتحساب و ارسال به مدیریت مالی  سه ماهه دوم قرارداد</t>
  </si>
  <si>
    <t>3-3</t>
  </si>
  <si>
    <t>محاسبه و تولید صورتحساب و ارسال به مدیریت مالی  سه ماهه سوم قرارداد</t>
  </si>
  <si>
    <t>3-4</t>
  </si>
  <si>
    <t xml:space="preserve">محاسبه و تولید صورتحساب و ارسال به مدیریت مالی  سه ماهه چهارم قرارداد </t>
  </si>
  <si>
    <t>1- عنوان پروژه : قرارداد جامع اتکایی رشته های غیرزندگی</t>
  </si>
  <si>
    <t xml:space="preserve">4- شماره برنامه: </t>
  </si>
  <si>
    <t>6-هدف برنامه:  کنترل و اصلاح توانگری مالی بوسیله قرارداد جامع اتکایی</t>
  </si>
  <si>
    <t>تحلیل</t>
  </si>
  <si>
    <t>اتکایی</t>
  </si>
  <si>
    <t>ریسک و لاس پروفایل درمان، بدنه و شخص ثالث</t>
  </si>
  <si>
    <t>ریسک و لاس پروفایل کشتی، باربری</t>
  </si>
  <si>
    <t>ریسک و لاس پروفایل انرژی</t>
  </si>
  <si>
    <t>2-3</t>
  </si>
  <si>
    <t>اتکایی/ فناوری اطلاعات</t>
  </si>
  <si>
    <t>ایجاد محاسبات مربوط به قرارداد رشته های غیرزندگی در داشبوردهای اتکایی</t>
  </si>
  <si>
    <t>تولید صورتحساب</t>
  </si>
  <si>
    <t>4-1</t>
  </si>
  <si>
    <t>4-2</t>
  </si>
  <si>
    <t xml:space="preserve">محاسبه و تولید صورتحساب و ارسال به مدیریت مالی  سه ماهه سوم قرارداد </t>
  </si>
  <si>
    <t>4-3</t>
  </si>
  <si>
    <t>محاسبه و تولید صورتحساب و ارسال به مدیریت مالی  سه ماهه چهارم قرارداد</t>
  </si>
  <si>
    <t>4-4</t>
  </si>
  <si>
    <t xml:space="preserve">محاسبه صورتحساب تعدیل و مشارکت در منافع </t>
  </si>
  <si>
    <t>4-5</t>
  </si>
  <si>
    <t>محاسبه سود و زیان</t>
  </si>
  <si>
    <t xml:space="preserve">17- امضاء مسئول کنترل پروژه :
</t>
  </si>
  <si>
    <t xml:space="preserve">18- تاریخ تصویب در هیات مدیره :
</t>
  </si>
  <si>
    <t>1- عنوان برنامه :نظام یکپارچه شناسایی و رفع مغایرت ها با بیمه مرکزی</t>
  </si>
  <si>
    <t>6-هدف برنامه: کاهش خطا و جلوگیری از عدم تائید صورت مالی توسط بیمه مرکزی</t>
  </si>
  <si>
    <t>5-تاريخ شروع :    1405/04/01</t>
  </si>
  <si>
    <t>12- زمان اجراي عملیات در سال 1404</t>
  </si>
  <si>
    <t>زمان اجرای عملیات در سال 1405</t>
  </si>
  <si>
    <t>دی</t>
  </si>
  <si>
    <t>ایجاد زیرساخت</t>
  </si>
  <si>
    <t>درسال گذشته انجام شده است</t>
  </si>
  <si>
    <t xml:space="preserve">مکاتبه با واحد توسعه نرم افزار </t>
  </si>
  <si>
    <t>برطرف کردن خطاهای زیرساخت</t>
  </si>
  <si>
    <t>مکاتبه با واحد هوش تجاری</t>
  </si>
  <si>
    <t>برطرف کردن خطاهای سامانه هوش تجاری</t>
  </si>
  <si>
    <t xml:space="preserve">	دریافت گزارشات فصلی و اعلام به مدیریت های مختلف</t>
  </si>
  <si>
    <t>اصلاحات داشبورد در صورت نیاز</t>
  </si>
  <si>
    <t>گزارش مربوط به سه ماهه دوم ( واکشی و اطلاحات داشبورد در صورت لزوم)</t>
  </si>
  <si>
    <t>گزارش مربوط به سه ماهه چهارم  ( واکشی و اطلاحات داشبورد در صورت لزوم)</t>
  </si>
  <si>
    <t>1- عنوان برنامه : فروش بیمه نامه پناه حداقل به میزان 30،000،000،000 ریال</t>
  </si>
  <si>
    <t>6-هدف برنامه:  خرده فروشی و افزایش نقدینگی ناشی از افزایش حجم فروش بیمه های عمر و حوادث</t>
  </si>
  <si>
    <t xml:space="preserve">2- مدیر پروژه :  </t>
  </si>
  <si>
    <t xml:space="preserve">4- وزن  برنامه:  </t>
  </si>
  <si>
    <t>5-تاريخ شروع :  1405/01/01</t>
  </si>
  <si>
    <t>برنامه ریزی و ابلاغ سهم فروش محصول پناه به شعب (ابلاغ بودجه)</t>
  </si>
  <si>
    <t>مدیریت بیمه های عمر، حوادث و درمان</t>
  </si>
  <si>
    <t>تشکیل جلسات متعدد با بیمه گذاران کلان به منظور معرفی و فروش محصول پناه به ارگان ها و سازمان ها</t>
  </si>
  <si>
    <t xml:space="preserve">مدیریت بیمه های عمر، حوادث و درمان </t>
  </si>
  <si>
    <t>تولید و در اختیار قراردادن محتوای تبلیغاتی به شبکه فروش به منظور خرده فروشی محصول پناه</t>
  </si>
  <si>
    <t>مدیریت بیمه های عمر، حوادث و درمان  و مدیریت روابط عمومی</t>
  </si>
  <si>
    <t>برگزاری جلسات دوره ای با شبکه فروش به منظور آموزش و رفع مشکلات قروش</t>
  </si>
  <si>
    <t>5</t>
  </si>
  <si>
    <t>رصد مداوم شعب و شبکه فروش و فروش میانگین ماهیانه حداقل 2/5 میلیارد ریال</t>
  </si>
  <si>
    <t>6</t>
  </si>
  <si>
    <t>7</t>
  </si>
  <si>
    <t>1- عنوان برنامه : فروش بیمه نامه مانا تا سقف 30،000،000،000 ریال</t>
  </si>
  <si>
    <t>5-تاريخ شروع :  1405/03/01</t>
  </si>
  <si>
    <t>برنامه ریزی و ابلاغ سهم فروش محصول مانا به شعب (ابلاغ بودجه)</t>
  </si>
  <si>
    <t>تشکیل جلسات متعدد با بیمه گذاران کلان به منظور معرفی و فروش محصول مانا به ارگان ها و سازمان ها</t>
  </si>
  <si>
    <t>تولید و در اختیار قراردادن محتوای تبلیغاتی به شعب و شبکه فروش به منظور خرده فروشی محصول مانا</t>
  </si>
  <si>
    <t>برگزاری جلسات دوره ای با شعب به منظور  رفع مشکلات شعب و شبکه فروش</t>
  </si>
  <si>
    <t>رصد مداوم شعب و شبکه فروش و فروش میانگین ماهیانه حداقل 2/5 میلیارد ریال در سال 1405</t>
  </si>
  <si>
    <t>1- عنوان برنامه : کنترل تکرار پرداخت خسارت درمان تکمیلی</t>
  </si>
  <si>
    <t xml:space="preserve">6-هدف برنامه:  جلوگبری از پرداخت خسارت تکراری به بیمه شدگان به منظور کنترل ضریب خسارت و عدم پرداخت خسارت من غیر حق </t>
  </si>
  <si>
    <t>ایجاد گزارش موردی و کلی خسارتهای تکراری درمان تکمیلی</t>
  </si>
  <si>
    <t>مدیریت بیمه های عمر، حوادث و درمان و مدیریت فناوری اطلاعات</t>
  </si>
  <si>
    <t>اتصال گزارش موردی و کلی خسارتهای تکراری درمان تکمیلی به سامانه BI</t>
  </si>
  <si>
    <t>مدیریت بیمه های عمر، حوادث و درمان و مدیریت طرح و برنامه</t>
  </si>
  <si>
    <t>1- عنوان برنامه : نظام ارزیابی و رتبه بندی ارزیابان خسارت درمان تکمیلی</t>
  </si>
  <si>
    <t xml:space="preserve">6-هدف برنامه:  رتبه بندی و انتخاب مناسب و عادلانه ارزیابان بر اساس مدل طراحی شده </t>
  </si>
  <si>
    <t>7- تاریخ خاتمه :  1405/10/30</t>
  </si>
  <si>
    <t>استخراج متغیرهای مؤثر و تأیید شده</t>
  </si>
  <si>
    <t>ارزیابی کمی و کیفی برابر مدل انتخاب شده</t>
  </si>
  <si>
    <t>خروجی ارزیابی به صورت سیستمی یا غیر سیستمی</t>
  </si>
  <si>
    <t>سنجش عملکرد ارزیابان و رتبه بندی</t>
  </si>
  <si>
    <t>1- عنوان پروژه :  آموزش مبتنی بر شایستگی CBT کارشناسان شعب</t>
  </si>
  <si>
    <t xml:space="preserve">4- شماره برنامه:  </t>
  </si>
  <si>
    <t>6-هدف برنامه:  آموزش هدفمند و کاهش فاصله شایستگی در  کارشناسان شعب</t>
  </si>
  <si>
    <t xml:space="preserve">2- مدیر پروژه : </t>
  </si>
  <si>
    <t xml:space="preserve">5- وزن  برنامه: </t>
  </si>
  <si>
    <t>3- عنوان برنامه:</t>
  </si>
  <si>
    <t>7-تاريخ شروع :    1405/1/15</t>
  </si>
  <si>
    <t>8- تاریخ خاتمه :  1405/12/25</t>
  </si>
  <si>
    <t>11- واحدهای همکار</t>
  </si>
  <si>
    <t>14- ملاحظات</t>
  </si>
  <si>
    <t>فروردين</t>
  </si>
  <si>
    <t>ارديبهشت</t>
  </si>
  <si>
    <t>تير</t>
  </si>
  <si>
    <t>شهريور</t>
  </si>
  <si>
    <t> احصا، تدوین و ابلاغ شایستگی‌های فنی کارشناسان شعب</t>
  </si>
  <si>
    <t>معاونت های فنی اموال و اشخاص</t>
  </si>
  <si>
    <t>ارزیابی شایستگی‌های فنی از طریق مصاحبه یا آزمون</t>
  </si>
  <si>
    <t>رتبه بندی کارکنان از نظر سطح شایستگی‌های مورد نظر</t>
  </si>
  <si>
    <t>برنامه ریزی آموزشی از طریق تحلیل فاصله شایستگی</t>
  </si>
  <si>
    <t>برگزاری دوره‌های آموزشی فنی متناسب با سطح شایستگی مخاطبان</t>
  </si>
  <si>
    <t>اعتبار مورد نیاز ( ریال ) :  از محل اعتبار تحقیق و آموزش</t>
  </si>
  <si>
    <t xml:space="preserve">نفر ساعت :  </t>
  </si>
  <si>
    <t>1- عنوان پروژه :  بازنگری نظام آموزش مبتنی بر ISO 30422</t>
  </si>
  <si>
    <t>6-هدف برنامه:  اجرای استاندارد فرایندهای آموزشی و کاهش عدم انطباق ها با الزامات ISO9001</t>
  </si>
  <si>
    <t xml:space="preserve">بازنگری نظام جامع آموزش با در نظر گرفتن الزامات استاندارد </t>
  </si>
  <si>
    <t>اصلاح فرم‌ها و مستندات کاربردی در اجرای دوره‌های آموزشی</t>
  </si>
  <si>
    <t>تشکیلات و روش ها (5 درصد)</t>
  </si>
  <si>
    <t>بهبود فرایندهای جاری یادگیری و توسعه کارکنان</t>
  </si>
  <si>
    <t>تشکیلات و روش ها (10 درصد)</t>
  </si>
  <si>
    <t>بازتعریف شاخص‌های پایش فرایند توسعه و یادگیری</t>
  </si>
  <si>
    <t>آموزش الزامات استاندارد برای مدرسان داخلی و سایر ذی نفعان</t>
  </si>
  <si>
    <t xml:space="preserve">1- عنوان پروژه :  باشگاه کتابخوانی </t>
  </si>
  <si>
    <t>6-هدف برنامه:  توسعه فرهنگ یادگیری، مطالعه و کتابخوانی</t>
  </si>
  <si>
    <t>     طراحی و تدوین شیوه نامه باشگاه کتابخوانی</t>
  </si>
  <si>
    <t>     انتخاب عنوان و معرفی کتاب‌های مورد نظر</t>
  </si>
  <si>
    <t>    انتخاب و آموزش تسهیلگران باشگاه</t>
  </si>
  <si>
    <t>    برگزاری جلسات آنلاین کتابخوانی و ثبت خلاصه کتاب</t>
  </si>
  <si>
    <t>ارزیابی اثربخشی جلسات کتابخوانی</t>
  </si>
  <si>
    <t>1- عنوان پروژه :  باشگاه مدرسان داخلی</t>
  </si>
  <si>
    <t>6-هدف برنامه:  بهره مندی از ظرفیت داخلی و تقویت  اشتراک گذاری دانش سازمانی</t>
  </si>
  <si>
    <t> تهیه و تدوین شیوه نامه باشگاه مدرسان داخلی</t>
  </si>
  <si>
    <t> ثبت نام و ارزیابی اولیه متقاضیان عضویت در باشگاه</t>
  </si>
  <si>
    <t>تهیه برنامه آموزشی و اطلاع رسانی به مدرسان و فراگیران</t>
  </si>
  <si>
    <t>برگزاری دوره‌های آموزشی شورای فنی و مدیریت‌های مربوط</t>
  </si>
  <si>
    <t>حقوقی، بازرسی، اتکائی، مبارزه با پولشوئی</t>
  </si>
  <si>
    <t>ارزیابی عملکرد مدرسان و اثربخشی دوره های آموزشی</t>
  </si>
  <si>
    <t>1- عنوان پروژه :  راه اندازی کافه دانش</t>
  </si>
  <si>
    <t xml:space="preserve">6-هدف برنامه:  انتقال و اشتراک گذاری تجربیات و بهبود فرایند مدیریت دانش </t>
  </si>
  <si>
    <t>اطلاع رسانی و دعوت و ثبت نام از همکاران با تجربه‌های ارزشمند</t>
  </si>
  <si>
    <t>برنامه‌ریزی و زمانبندی جلسات انتقال تجربه</t>
  </si>
  <si>
    <t>ایجاد فضای مناسب و اجرای جلسات انتقال و ثبت تجربه</t>
  </si>
  <si>
    <t>ارزیابی اثربخشی جلسات کافه دانش</t>
  </si>
  <si>
    <t>تقدیر از افراد با امتیاز بالاتر</t>
  </si>
  <si>
    <t>1- عنوان پروژه :  اجرا و پیاده سازی خردیادگیری Microlearning</t>
  </si>
  <si>
    <t>6-هدف برنامه:  متنوع سازی روش های آموزش و یادگیری و بهره مندی از مزایا خردیادگیری در افزایش بهره وری نظام توسعه و یادگیری</t>
  </si>
  <si>
    <t>انتخاب دوره‌های مناسب و برنامه‌ریزی برای خردیادگیری</t>
  </si>
  <si>
    <t>طراحی دوره آموزشی در چارچوب خردیادگیری</t>
  </si>
  <si>
    <t>تهیه یا تولید محتوای مورد نظر و طراحی آزمون میان دوره و پایانی</t>
  </si>
  <si>
    <t>مدیریت روابط عمومی</t>
  </si>
  <si>
    <t>تدوین ویدئوها و تبدیل به فرمت اسکرام</t>
  </si>
  <si>
    <t>انتشار در سامانه مدیریت یادگیری و ارزیابی اثربخشی</t>
  </si>
  <si>
    <t xml:space="preserve">1- عنوان برنامه : عدم امکان جایگزینی چک جدید به جای چک های از قبل دریافت شده </t>
  </si>
  <si>
    <t xml:space="preserve">3- شماره برنامه:  دو </t>
  </si>
  <si>
    <t xml:space="preserve">6-هدف برنامه:  جایگزینی اسناد </t>
  </si>
  <si>
    <t>2- مدیر پروژه :  مدیریت بازرسی و پیگیری های ویژه</t>
  </si>
  <si>
    <t>4- وزن  برنامه:  100</t>
  </si>
  <si>
    <t>5-تاريخ شروع :    1405/01/15</t>
  </si>
  <si>
    <t>دریافت چک توسط شعبه ها</t>
  </si>
  <si>
    <t xml:space="preserve">امور شعب و نمایندگان </t>
  </si>
  <si>
    <t>*</t>
  </si>
  <si>
    <t xml:space="preserve">ثبت مالی </t>
  </si>
  <si>
    <t xml:space="preserve">مدیریت مالی </t>
  </si>
  <si>
    <t xml:space="preserve">نظارت و جایگزینی </t>
  </si>
  <si>
    <t>مدیریت بازرسی و پیگیری های ویژه</t>
  </si>
  <si>
    <t>1- عنوان برنامه : پایش پرونده های بازیافتی در سطح کشور</t>
  </si>
  <si>
    <t>3- شماره برنامه:  سه</t>
  </si>
  <si>
    <t xml:space="preserve">6-هدف برنامه: تعیین تکلیف و وصول مطالبات پرونده های بازیافتی </t>
  </si>
  <si>
    <t>دریافت اطلاعات</t>
  </si>
  <si>
    <t>مدیریت بازیافت</t>
  </si>
  <si>
    <t>.جمع آوری و تفکیک پرونده های بازیافت شده و نشده</t>
  </si>
  <si>
    <t>مدیریت بازیافت و مدیریت امور شعب و نمایندگان</t>
  </si>
  <si>
    <t xml:space="preserve"> اعلام و شناسائی پرونده ها توسط مدیران فنی</t>
  </si>
  <si>
    <t>مدیران فنی</t>
  </si>
  <si>
    <t>جمع آوری گزارش پرونده ها توسط شعب ، که چه میزان حقوقی شده</t>
  </si>
  <si>
    <t>مدیریت امور شعبو نمایندگان و مدیریت امور حقوقی</t>
  </si>
  <si>
    <t>نظارت و بازرسی پرونده ها</t>
  </si>
  <si>
    <t>تعیین تکلیف پرونده ها و نتیجه گیری</t>
  </si>
  <si>
    <t>مدیریت بازرسی و پیگیری های ویژه و مدیریت امور حقوقی</t>
  </si>
  <si>
    <t xml:space="preserve">1- عنوان برنامه : بهسازی شیوه نامه روش اجرایی تضامین نمایندگان در بدو ورود و حین ورود </t>
  </si>
  <si>
    <t>3- شماره برنامه:  یک</t>
  </si>
  <si>
    <t>6-هدف برنامه:  جلوگیری از به وجود آمدن مطالبات مشکوک وصول و لا وصول</t>
  </si>
  <si>
    <t>پیش نویس</t>
  </si>
  <si>
    <t xml:space="preserve">مدیریت بازرسی و پیگیری های ویژه -مدیریت امور شعب و نمایندگان </t>
  </si>
  <si>
    <t xml:space="preserve">اصلاح قرارداد ها </t>
  </si>
  <si>
    <t xml:space="preserve">تایید و تصویب </t>
  </si>
  <si>
    <t xml:space="preserve">مدیریت تشکیل روش ها </t>
  </si>
  <si>
    <t xml:space="preserve">رونوشت به شعب </t>
  </si>
  <si>
    <t xml:space="preserve">دریافت یا جابه جایی اسناد </t>
  </si>
  <si>
    <t>مدیریت مالی</t>
  </si>
  <si>
    <t>ن6. نظارت و تائید و ثبت اسناد</t>
  </si>
  <si>
    <t>مدیریت مالی - مدیریت بازرسی و پیگیری های ویژه</t>
  </si>
  <si>
    <t>1- عنوان پروژه : پروژه راهبردی بهینه‌سازی حضور دیجیتال و ارتقاء جایگاه جستجوی وب‌سایت بیمه تجارت‌نو</t>
  </si>
  <si>
    <r>
      <t>6-هدف برنامه:</t>
    </r>
    <r>
      <rPr>
        <b/>
        <sz val="10"/>
        <rFont val="Elephant"/>
        <family val="1"/>
      </rPr>
      <t xml:space="preserve"> </t>
    </r>
    <r>
      <rPr>
        <b/>
        <sz val="14"/>
        <rFont val="FarhangFaNum"/>
      </rPr>
      <t>تقویت برند بیمه تجارت‌نو در نتایج جستجو</t>
    </r>
  </si>
  <si>
    <t>2- مدیر پروژه : مدیریت کسب و کارهای نوین</t>
  </si>
  <si>
    <t>5- وزن  برنامه:  100%</t>
  </si>
  <si>
    <t>3- عنوان برنامه: بهینه سازی SEO وب سایت بیمه تجارت نو</t>
  </si>
  <si>
    <t>7-تاريخ شروع : فروردین 1405</t>
  </si>
  <si>
    <t>8- تاریخ خاتمه : اسفند 1405</t>
  </si>
  <si>
    <t>آنالیز رقبا و وب سایت های آنان جهت شناسایی درخت محتوایی مختص SEO</t>
  </si>
  <si>
    <t>مدیریت کسب و کارهای نوین
مدیریت روابط عمومی</t>
  </si>
  <si>
    <t>شناسایی متدهای در دسترس برای بهسازی مانند Google Ads, Back Link, رپورتاژ و ....</t>
  </si>
  <si>
    <t>مدیریت کسب و کارهای نوین</t>
  </si>
  <si>
    <t>برنامه ریزی و زمان بندی اجرای فرایند بهسازی</t>
  </si>
  <si>
    <t>پیاده سازی برنامه با همکاری مدیریت های همکار</t>
  </si>
  <si>
    <t>مدیریت کسب و کارهای نوین
مدیریت روابط عمومی- مدیریت فن آوری اطلاعات</t>
  </si>
  <si>
    <t>پایش و بهبود مستمر</t>
  </si>
  <si>
    <t>15 - امضاء مدیربرنامه:</t>
  </si>
  <si>
    <t>16 - امضاء ادارات مجری / همکار:</t>
  </si>
  <si>
    <t xml:space="preserve">19- تاریخ تصویب در هیات مدیره:
</t>
  </si>
  <si>
    <t xml:space="preserve">از محل بودجه  تحقیقات </t>
  </si>
  <si>
    <t>1- عنوان پروژه : پروژه بهینه‌سازی پرتفوی از طریق Cross-Selling و Up-Selling</t>
  </si>
  <si>
    <r>
      <t>6-هدف برنامه:</t>
    </r>
    <r>
      <rPr>
        <b/>
        <sz val="10"/>
        <rFont val="Elephant"/>
        <family val="1"/>
      </rPr>
      <t xml:space="preserve"> </t>
    </r>
    <r>
      <rPr>
        <b/>
        <sz val="14"/>
        <rFont val="FarhangFaNum"/>
      </rPr>
      <t>افزایش سهم هر مشتری از سبد محصولات شرکت</t>
    </r>
  </si>
  <si>
    <t>3- عنوان برنامه: پیاده سازی Cross-Selling و Up-Selling برای طرح های بیمه ای</t>
  </si>
  <si>
    <t xml:space="preserve">تجمیع داده های فروش طرح و محصولات شرکت </t>
  </si>
  <si>
    <t>مدیریت کسب و کارهای نوین
مدیریت طرح برنامه</t>
  </si>
  <si>
    <t>پیاده سازی آنالیز همبستگی و طبقه بندی طرح ها بر اساس روش های هوش مصنوعی و داده کاوی</t>
  </si>
  <si>
    <t>شناسایی سناریوهای فروش متقاطع و افزایشی</t>
  </si>
  <si>
    <t>اولویت بندی سناریوها و شناسایی سناریو منتخب</t>
  </si>
  <si>
    <t>پیاده سازی و اجرا</t>
  </si>
  <si>
    <t>مدیریت کسب و کارهای نوین-روابط عمومی</t>
  </si>
  <si>
    <t>1- عنوان پروژه : طراحی و توسعه محصولات نوآورانه و طرح‌های موضوعی بیمه‌ای</t>
  </si>
  <si>
    <r>
      <t>6-هدف برنامه:</t>
    </r>
    <r>
      <rPr>
        <b/>
        <sz val="10"/>
        <rFont val="Elephant"/>
        <family val="1"/>
      </rPr>
      <t xml:space="preserve"> </t>
    </r>
    <r>
      <rPr>
        <b/>
        <sz val="14"/>
        <rFont val="FarhangFaNum"/>
      </rPr>
      <t>افزایش سهم بازار از طریق محصولات متمایز</t>
    </r>
  </si>
  <si>
    <t xml:space="preserve">3- عنوان برنامه: طراحی محصول جدید و طرح های موضوعی </t>
  </si>
  <si>
    <t>شناسایی طرح های رقبای داخلی و خارجی</t>
  </si>
  <si>
    <t>بهینه کاوی طرح ها و محصولات</t>
  </si>
  <si>
    <t>اولویت بندی با توجه به تحقیقات بازار و کشش آن</t>
  </si>
  <si>
    <t>تهیه طرح اصلی به همراه مدل بازاریابی و اقتصادسنجی</t>
  </si>
  <si>
    <t>مدیریت کسب و کارهای نوین
مدیریت طرح برنامه/مدیریت های فنی</t>
  </si>
  <si>
    <t>پیاده سازی و اجرای طرح</t>
  </si>
  <si>
    <t>مدیریت کسب و کارهای نوین
مدیریت فن آوری اطلاعات</t>
  </si>
  <si>
    <t xml:space="preserve">بازخوردگیری و بهبود مستمر </t>
  </si>
  <si>
    <t>مدیریت کسب و کارهای نوین
مدیریت های فنی</t>
  </si>
  <si>
    <t>1- عنوان برنامه : بروزرسانی تابلو سر درب شعب منتخب (7شعبه)</t>
  </si>
  <si>
    <t>6-هدف برنامه:  حفظ برندیگ شرکت و اعتلای نام شرکت</t>
  </si>
  <si>
    <t>2- مدیر پروژه :  مدیریت پشتیبانی</t>
  </si>
  <si>
    <t xml:space="preserve">تهیه فهرست شعب الویت دار </t>
  </si>
  <si>
    <t>مدیریت پشتیبانی</t>
  </si>
  <si>
    <t>طراحی طرح تابلو</t>
  </si>
  <si>
    <t xml:space="preserve"> اجرای تابلو</t>
  </si>
  <si>
    <t>1- عنوان برنامه : خرید ملک برای شعب استانی(3شعبه)</t>
  </si>
  <si>
    <t>6-هدف برنامه:  افزایش دارایی ثابت شرکت و ایجاد ارزش افزوده برای شرکت و حذف هزینه های اجاره بها</t>
  </si>
  <si>
    <t xml:space="preserve">تهیه فهرست شعب الویت دار برای خرید ملک </t>
  </si>
  <si>
    <t>شناسایی املاک مورد نظر برای خرید</t>
  </si>
  <si>
    <t>طرح موضوع خرید و هیات مدیره محترم و اخذ مصوبه</t>
  </si>
  <si>
    <t xml:space="preserve">تهیه گزارش کارشناسی توسط کارشناس رسمی دادگستری </t>
  </si>
  <si>
    <t>مدیریت حقوقی</t>
  </si>
  <si>
    <t>انجام فرآیند دفتری برای خرید نهایی و انتقال اسناد مالکیت</t>
  </si>
  <si>
    <t>1- عنوان برنامه : نوسازی تجهیزات شعب استانی (7شعبه)</t>
  </si>
  <si>
    <t>6-هدف برنامه:  نوسازی تجهیزات و افزایش رضایت کارکنان و مشتریان</t>
  </si>
  <si>
    <t>طرح و تصویب نوسازی و بازسازی شعب منتخب</t>
  </si>
  <si>
    <t xml:space="preserve">نصب دوربین های نظارتی تکمیلی </t>
  </si>
  <si>
    <t xml:space="preserve">اجرای نوسازی و یکسان سازی شعب </t>
  </si>
  <si>
    <t>1- عنوان برنامه : بهبود و ارتقاء فرآیند انبار و اموال</t>
  </si>
  <si>
    <t xml:space="preserve">6-هدف برنامه:  ایجاد نظم و وحدت رویه در فرآیند اموال داری و جلوگیری از اتلاف و آسیب پذیری اموال و اقلام مصرفی </t>
  </si>
  <si>
    <t>به روزرسانی بانک اطلاعات اموال</t>
  </si>
  <si>
    <t xml:space="preserve">تهیه دوره ای گزارش مغایرت اموال با وضعیت فیزیکی </t>
  </si>
  <si>
    <t>تدوین دستورالعمل انبار و اموال</t>
  </si>
  <si>
    <t>مدیریت تشکیلات و روش ها</t>
  </si>
  <si>
    <t xml:space="preserve">طبقه بندی فیزیکی اقلام در انبار مصرفی </t>
  </si>
  <si>
    <t xml:space="preserve">تهیه فرم سیستمی تحویل اموال به هر شخص </t>
  </si>
  <si>
    <t xml:space="preserve">مدیریت تشکیلات و روش ها 
 فن آوری و اطلاعات </t>
  </si>
  <si>
    <t>1- عنوان برنامه : بهبود، ارتقاء و ارائه خدمات عمومی و تشریفات</t>
  </si>
  <si>
    <t xml:space="preserve">6-هدف برنامه:  بهبود کیفیت خدمات، افزایش بهره وری، کاهش هزینه های و ایجاد محیطی ایمن و سالم برای پرسنل </t>
  </si>
  <si>
    <t>طراحی چک لیست نظافت روزانه، هفتگی و ماهانه</t>
  </si>
  <si>
    <t>استاندارد سازی پذیرایی واحدها و جلسات</t>
  </si>
  <si>
    <t>برگزاری دوره ای کارگاه رفتار سازمانی و آداب تشریفات</t>
  </si>
  <si>
    <t>آموزش</t>
  </si>
  <si>
    <t>1- عنوان برنامه : ساخت و انتقال مرکز داده به مکان جدید</t>
  </si>
  <si>
    <t>7- تاریخ خاتمه :  1405/09/30</t>
  </si>
  <si>
    <t>ساخت فضای مرکز داده جدید</t>
  </si>
  <si>
    <t>مدیریت پشتیبانی _فن آوری و اطلاعات</t>
  </si>
  <si>
    <t>تهیه و خرید تجهیزات و استقرار</t>
  </si>
  <si>
    <t>انتقال تجهیزات قبلی و راه اندازی</t>
  </si>
  <si>
    <t>1- عنوان برنامه : ساماندهی خودرو های شرکت</t>
  </si>
  <si>
    <t>تشکیل پرونده فیزیکی و سیستمی هر خودرو</t>
  </si>
  <si>
    <t>تدوین تقویم سرویس دوره ای</t>
  </si>
  <si>
    <t xml:space="preserve">ثبت زمان بندی تعویض قطعات مصرفی </t>
  </si>
  <si>
    <t xml:space="preserve">شناسایی خودرو های مستهلک و فروش در صورت لزوم </t>
  </si>
  <si>
    <t>مدیریت پشتیبانی-مدیریت حقوقی</t>
  </si>
  <si>
    <t xml:space="preserve">خرید خودرو و تائید کمیسیون معاملات </t>
  </si>
  <si>
    <t>مدیریت پشتیبانی - مدیریت مالی-حقوقی</t>
  </si>
  <si>
    <t>تهیه گزارش فصلی هزینه هر خودرو</t>
  </si>
  <si>
    <t>1- عنوان برنامه : ساماندهی امور تنخواه شعب و ستاد</t>
  </si>
  <si>
    <t xml:space="preserve">6-هدف برنامه: نظارت و کنترل دقیق جهت بهبود فرآیند پرداخت تنخواه شعب </t>
  </si>
  <si>
    <t xml:space="preserve">2- مدیر پروژه : مدیریت پشتیبانی </t>
  </si>
  <si>
    <t>بازنگری سقف مجاز تنخواه</t>
  </si>
  <si>
    <t xml:space="preserve"> مدیریت پشتیبانی</t>
  </si>
  <si>
    <t>بازنگری دستورالعمل تنخواه</t>
  </si>
  <si>
    <t>مدیریت پیشتیبانی-مدیریت تشکیلات و روش ها</t>
  </si>
  <si>
    <t xml:space="preserve">ابلاغ رسمی دستورالعمل به شعب </t>
  </si>
  <si>
    <t>جایگزینی پرداخت های تنخواه با کارت بانکی سازمانی</t>
  </si>
  <si>
    <t>1- عنوان برنامه :استانداردسازی و استقرار شاخص‌های فرآیندی در سامانه هوش تجاری (BI)</t>
  </si>
  <si>
    <t>6-هدف برنامه:  طراحی و استقرار کتابچه فرآیندی در بستر BI</t>
  </si>
  <si>
    <t xml:space="preserve">2- مدیر پروژه :  مدیریت تشکیلات و رو‌ش‌ها </t>
  </si>
  <si>
    <t xml:space="preserve">4- وزن  برنامه: 100 </t>
  </si>
  <si>
    <t>5-تاريخ شروع :    1405/09/01</t>
  </si>
  <si>
    <t>7- تاریخ خاتمه :  1405/12/28</t>
  </si>
  <si>
    <t>شناسایی و تبیین نیازمندی‌ها (بازنگری کتابچه فرآیندی)</t>
  </si>
  <si>
    <t xml:space="preserve">مدیریت تشکیلات و روش‌ها </t>
  </si>
  <si>
    <t>استانداردسازی تعاریف و داده‌ها (ایجاد زبان مشترک)</t>
  </si>
  <si>
    <t>معماری و پیاده‌سازی فنی در BI</t>
  </si>
  <si>
    <t xml:space="preserve">مدیریت فناوری اطلاعات </t>
  </si>
  <si>
    <t>استقرار و فرهنگ‌سازی (پذیرش سازمانی)</t>
  </si>
  <si>
    <t xml:space="preserve">مدیریت تشکیلات و روش‌ها /مدیریت فناوری اطلاعات </t>
  </si>
  <si>
    <t>نگهداری و بهبود مستمر</t>
  </si>
  <si>
    <t>1-عنوان برنامه: ارزیابی و ارتقای سطح بلوغ فرایندهای منتخب سازمان</t>
  </si>
  <si>
    <t>6-هدف برنامه: مستند سازی وضعیت موجود،ارزیابی عملکرد پس از اتوماسیون و تعیین سطح بلوغ فرایندهای انتخاب شده برای اتوماسیون است.</t>
  </si>
  <si>
    <t>2- مدیر پروژه :  تشکیلات و روش‌ها</t>
  </si>
  <si>
    <t>5-تاريخ شروع :    1405/03/01</t>
  </si>
  <si>
    <t xml:space="preserve">ثبت وضعیت فعلی فرایندها </t>
  </si>
  <si>
    <t>مدیریت تشکیلات‌وروش‌ها /کلیه مدیریت‌ها</t>
  </si>
  <si>
    <t>تکمیل پرسش نامه</t>
  </si>
  <si>
    <t xml:space="preserve">ارزیابی وضعیت فرایند ها </t>
  </si>
  <si>
    <t>تعیین سطح بلوغ فرایند</t>
  </si>
  <si>
    <t>تحلیل پیشرفت و تحلیل شکاف ها</t>
  </si>
  <si>
    <t>اجرای اقدامات اصلاحی</t>
  </si>
  <si>
    <r>
      <t>شماره سند:</t>
    </r>
    <r>
      <rPr>
        <b/>
        <sz val="16"/>
        <rFont val="Arial Narrow"/>
        <family val="2"/>
      </rPr>
      <t>DI-FO-046-00</t>
    </r>
  </si>
  <si>
    <t>1- عنوان برنامه : استقرار و بهبود سیستم رسیدگی به شکایات مشتریان بر اساس استاندارد ISO 10002</t>
  </si>
  <si>
    <t>6-هدف برنامه: ایجاد یک فرآیند ساخت‌یافته، شفاف و قابل پیگیری برای ثبت و رسیدگی به شکایات بیمه‌گذاران و ذی‌نفعان.</t>
  </si>
  <si>
    <t>2- مدیر پروژه : مدیریت تشکیلات و روش‌ها</t>
  </si>
  <si>
    <t>7- تاریخ خاتمه :  1405/09/29</t>
  </si>
  <si>
    <t xml:space="preserve">آموزش و اجرایی سازی </t>
  </si>
  <si>
    <t>مدیریت تشکیلات روش‌ها / مدیریت امور مشتریان</t>
  </si>
  <si>
    <t>آموزش کارکنان مرتبط</t>
  </si>
  <si>
    <t>اجرای پایلوت فرآیند رسیدگی به شکایات</t>
  </si>
  <si>
    <t>بررسی نتایج پایلوت و اصلاح فرآیندها و مستندات</t>
  </si>
  <si>
    <t>فاز شناخت(جمع آوری اطلاعات اولیه)</t>
  </si>
  <si>
    <t>جمع‌آوری اطلاعات وضعیت موجود</t>
  </si>
  <si>
    <t>تحلیل نقاط قوت، ضعف، فرصت و تهدید (SWOT)</t>
  </si>
  <si>
    <t>بررسی مکانیزم هدف‌گذاری سازمان</t>
  </si>
  <si>
    <t>2-4</t>
  </si>
  <si>
    <t>بررسی روش اجرایی مدیریت ذینفعان</t>
  </si>
  <si>
    <t>2-5</t>
  </si>
  <si>
    <t>تدوین دامنه کاربرد سیستم مدیریت شکایات</t>
  </si>
  <si>
    <t>2-6</t>
  </si>
  <si>
    <t>تدوین خط‌مشی سیستم مدیریت شکایات</t>
  </si>
  <si>
    <t>2-7</t>
  </si>
  <si>
    <t>طرح‌ریزی (Planning) اولیه پروژه پیاده‌سازی</t>
  </si>
  <si>
    <t>طراحی و تدوین مستندات</t>
  </si>
  <si>
    <t>تدوین و تصویب آیین‌نامه رسیدگی به شکایات</t>
  </si>
  <si>
    <t>طراحی فرآیند رسیدگی به شکایات</t>
  </si>
  <si>
    <t>طراحی فرم‌ها و کانال‌های ثبت شکایت</t>
  </si>
  <si>
    <t>طراحی و تدوین روش‌های اجرایی و دستورالعمل‌های لازم</t>
  </si>
  <si>
    <t>ممیزی و بهبود</t>
  </si>
  <si>
    <t>ممیزی داخلی و ارزیابی میزان انطباق با ایزو ۱۰۰۰۲</t>
  </si>
  <si>
    <t>مدیریت تشکیلات روش‌ها / مدیریت امور مشتریان/کلیه مدیریت‌ها</t>
  </si>
  <si>
    <t>آماده‌سازی مستندات و فرآیندها برای ممیزی خارجی</t>
  </si>
  <si>
    <t>اجرای اقدامات اصلاحی و پیشگیرانه (CAPA)</t>
  </si>
  <si>
    <t>استقرار کامل و ورود به چرخه بهبود مستمر(مممیزی خارجی)</t>
  </si>
  <si>
    <t>1- عنوان برنامه : انتخاب سامانه BPMS</t>
  </si>
  <si>
    <t>6-هدف برنامه: بررسی سامانه‌های BPMS شرکت‌های مختلف و برگزاری جلسه با شرکت‌ها جهت انتخاب  سامانه BPMS برای شرکت.</t>
  </si>
  <si>
    <t>بررسی سامانه‌های شرکت‌های مختلف</t>
  </si>
  <si>
    <t>تشکیلات و روش‌ها</t>
  </si>
  <si>
    <t>برگزاری جلسه‌هات با شرکت های منتخب</t>
  </si>
  <si>
    <t>فناوری و اطلاعات  و تشکیلات و روش‌ها</t>
  </si>
  <si>
    <t xml:space="preserve">جلسات جمع بندی و انتخاب شرکت منتخب و بستن قراداد با شرکت منتخب </t>
  </si>
  <si>
    <t>پیاده سازی و استقرار سامانه</t>
  </si>
  <si>
    <t xml:space="preserve">آموزش و پشتیبانی سامانه </t>
  </si>
  <si>
    <t>تست سامانه</t>
  </si>
  <si>
    <t>1- عنوان برنامه : پیاده سازی فرایند تیکتینگ در سامانه BPMS</t>
  </si>
  <si>
    <t>6-هدف برنامه:   پیاده سازی فرایند تیکتینگ در سامانه BPMS</t>
  </si>
  <si>
    <t>5-تاريخ شروع :    1405/08/01</t>
  </si>
  <si>
    <t xml:space="preserve">بررسی و تحلیل فرایند فعلی تیکتینگ </t>
  </si>
  <si>
    <t xml:space="preserve">طراحی مدل فرایند مدیریت تیکت و گردش کار رسیدگی در سامانه BPMS  </t>
  </si>
  <si>
    <t>تشکیلات و فناوری اطلاعات</t>
  </si>
  <si>
    <t>طراحی و پیاده‌سازی فرم‌های ثبت تیکت، تعیین اولویت و ارجاع به کارشناسان</t>
  </si>
  <si>
    <t xml:space="preserve">تعریف نقش‌ها، سطوح دسترسی در سامانه BPMS </t>
  </si>
  <si>
    <t>تست، اصلاح و راه‌اندازی نهایی سامانه تیکتینگ</t>
  </si>
  <si>
    <t>آموزش کاربران اصلی و نهایی فرآیند تیکتینگ در سامانه BPMS، تهیه راهنمای کاربری</t>
  </si>
  <si>
    <t>1- عنوان برنامه : پیاده سازی فرایند مناقصات در سامانه BPMS</t>
  </si>
  <si>
    <t>6-هدف برنامه:   پیاده سازی فرایند مناقصات در سامانه BPMS</t>
  </si>
  <si>
    <t>2- مدیر پروژه :  مدیریت تشکیلات و روش‌ها</t>
  </si>
  <si>
    <t>7- تاریخ خاتمه :  1405/06/31</t>
  </si>
  <si>
    <t xml:space="preserve">بررسی و تحلیل فرایند فعلی مناقصات  </t>
  </si>
  <si>
    <t xml:space="preserve">طراحی مدل فرایند و گردش کار مناقصات در سامانه BPMS  </t>
  </si>
  <si>
    <t>تشکیلات و روش‌ها و بازاریابی و مناقصات</t>
  </si>
  <si>
    <t xml:space="preserve">طراحی و پیاده‌سازی فرم‌های الکترونیکی ثبت و مدیریت مناقصات </t>
  </si>
  <si>
    <t xml:space="preserve">تعریف نقش‌ها، سطوح دسترسی کاربران در فرایند مناقصات در سامانه BPMS </t>
  </si>
  <si>
    <t>تست و اصلاح فرایند مکانیزه و استقرار نهایی در سامانه</t>
  </si>
  <si>
    <t>آموزش کاربران اصلی و نهایی فرآیند مناقصات در BPMS، تهیه راهنمای کاربری</t>
  </si>
  <si>
    <t xml:space="preserve">1- عنوان برنامه : پیاده سازی حداقل 20 تا از دستورالعمل‌های فنی و غیر فنی </t>
  </si>
  <si>
    <t xml:space="preserve">6-هدف برنامه:   پیاده سازی حداقل 20 تا از دستورالعمل‌های فنی و غیرفنی </t>
  </si>
  <si>
    <t>تشکیل کارگروه تخصصی</t>
  </si>
  <si>
    <t>کلیه مدیریت‌ها/تشکیلات و روش‌ها</t>
  </si>
  <si>
    <t>بررسی دستورالعمل‌های موجود</t>
  </si>
  <si>
    <t xml:space="preserve">جمع آوری بازخورد </t>
  </si>
  <si>
    <t>تدوین پیش نویس</t>
  </si>
  <si>
    <t xml:space="preserve">آموزش کارکنان </t>
  </si>
  <si>
    <t>منابع انسانی/تشکیلات و روش‌ها</t>
  </si>
  <si>
    <t>1- عنوان برنامه : طراحی و پیاده سازی سامانه نظارت برای واحد درمان</t>
  </si>
  <si>
    <t>6-هدف برنامه: طراحی و پیاده‌سازی سامانه هوشمند برای نظارت بر عملکرد مراکز درمانی جهت کاهش تخلفات از طریق ارتقای شفافیت و سلامت فرایند ارائه خدمات درمانی.</t>
  </si>
  <si>
    <t>2- مدیر پروژه :   مدیریت تشکیلات و روش‌ها</t>
  </si>
  <si>
    <t>5-تاريخ شروع :    1405/02/01</t>
  </si>
  <si>
    <t>طراحی فرایند نظارت بر مراکز درمانی و user story</t>
  </si>
  <si>
    <t>تشکیلات و روش‌ها/درمان، عمرو حوادث/طرح و برنامه</t>
  </si>
  <si>
    <t xml:space="preserve">طراحی سامانه و اسکریپت نویسی  </t>
  </si>
  <si>
    <t>تشکیلات و روش‌ها وفناوری و اطلاعات و طرح و برنامه</t>
  </si>
  <si>
    <t xml:space="preserve">تست سامانه به منظور پیشگیری از باگ های احتمالی  </t>
  </si>
  <si>
    <t xml:space="preserve">اجرای پایلوت در استان های مورد تایید مدیران </t>
  </si>
  <si>
    <t>تشکیلات و روش‌ها وفناوری و اطلاعات</t>
  </si>
  <si>
    <t xml:space="preserve"> بررسی نتایج اجرای پایلوت و انجام اصلاحات به منظور رفع باگ های گزارش شده حاصل از اجرای پایلوت</t>
  </si>
  <si>
    <t xml:space="preserve">اجرای سراسری در کشور </t>
  </si>
  <si>
    <t>تشکیلات و روش‌ها وفناوری و اطلاعات/ درمان، عمرو حوادث</t>
  </si>
  <si>
    <t>1- عنوان برنامه : نظام پیشنهادات بهبود فرایند</t>
  </si>
  <si>
    <t xml:space="preserve">6-هدف برنامه: طراحی و استقرار نظام پیشنهادات بهبود فرایندها به‌گونه‌ای که امکان ثبت، بررسی و اجرای پیشنهادهای کارکنان در حوزه بهبود فرایندها فراهم شود </t>
  </si>
  <si>
    <t xml:space="preserve">بررسی نسخه فعلی کتابچه فرآیندی شرکت </t>
  </si>
  <si>
    <t xml:space="preserve">تحلیل ورودی وخروجی‌ها (SIPOC)	</t>
  </si>
  <si>
    <t xml:space="preserve">تشکیل جلسات هم اندیشی با مدیریت های مربوطه 	</t>
  </si>
  <si>
    <t xml:space="preserve">بروزرسانی محتوا </t>
  </si>
  <si>
    <t xml:space="preserve"> تشکیلات و روش‌ها/ مدیریت های مربوطه </t>
  </si>
  <si>
    <t xml:space="preserve">بازنویسی ورودی‌ها، فرآیندها ،خروجی‌ها، تامین‌کنندگان، مشتریان، انتظارات و نیازهای ذینفعان روزرسانی محتوا </t>
  </si>
  <si>
    <t xml:space="preserve">تدوین شاخص های جدید  یا اصلاح  شاخص‌های	</t>
  </si>
  <si>
    <t xml:space="preserve">بازنگری مسئولیت بر اساس ساختار مصوب </t>
  </si>
  <si>
    <t xml:space="preserve">اجراو پیاده‌سازی </t>
  </si>
  <si>
    <t>انتشار نسخه نهایی</t>
  </si>
  <si>
    <r>
      <t>پایش و اندازه‌گیری</t>
    </r>
    <r>
      <rPr>
        <b/>
        <sz val="9"/>
        <color theme="1"/>
        <rFont val="B Nazanin"/>
        <charset val="178"/>
      </rPr>
      <t xml:space="preserve"> </t>
    </r>
  </si>
  <si>
    <t xml:space="preserve">اندازه‌گیری عملکرد </t>
  </si>
  <si>
    <r>
      <t>جمع آوری بازخورد</t>
    </r>
    <r>
      <rPr>
        <sz val="9"/>
        <color theme="1"/>
        <rFont val="Pinar DS2 Light"/>
      </rPr>
      <t xml:space="preserve"> </t>
    </r>
  </si>
  <si>
    <t>1- عنوان برنامه : استقرار نظام پایش عملکرد و طبقه‌بندی شعب بر مبنای نتایج حسابرسی از برنامه حسابرسی داخلی</t>
  </si>
  <si>
    <t>6-هدف برنامه:  ارزیابی و طبقه‌بندی شعب بر اساس نتایج حسابرسی، سطح ریسک و سوابق رسیدگی به‌منظور ایجاد دید مدیریتی نسبت به عملکرد شعب.</t>
  </si>
  <si>
    <t>2- مدیر پروژه :   مدیریت حسابرسی داخلی و تطبیق مقررات</t>
  </si>
  <si>
    <t>5-تاريخ شروع :       1405/01/01</t>
  </si>
  <si>
    <t>تجمیع اطلاعات حسابرسی شعب مورد رسیدگی شامل نتایج، تعداد یافته‌ها و تاریخ رسیدگی</t>
  </si>
  <si>
    <t xml:space="preserve"> مدیریت حسابرسی داخلی و تطبیق مقررات</t>
  </si>
  <si>
    <t>طراحی چارچوب  امتیازدهی بر اساس معیارهای کلیدی</t>
  </si>
  <si>
    <t>محاسبه امتیاز و طبقه ‌بندی شعب در سطوح مختلف</t>
  </si>
  <si>
    <t>تهیه گزارش تحلیلی از وضعیت عملکرد شعب</t>
  </si>
  <si>
    <t>به‌روزرسانی و پایش دوره‌ای وضعیت شعب</t>
  </si>
  <si>
    <t>1- عنوان برنامه : بررسی نقاط ضعف و قوت فرآیند بازیافت جهت بهبود عملیات اجرایی و سیستمی در رشته اتومبیل</t>
  </si>
  <si>
    <t>6-هدف برنامه:  
بهبود نقاط ضعف فرآیند بازیافت در رشته اتومبیل</t>
  </si>
  <si>
    <t>2- مدیر پروژه :  مدیریت حسابرسی داخلی و تطبیق مقررات</t>
  </si>
  <si>
    <t xml:space="preserve">تحلیل داده های مرتبط با پروژه و شناسایی نقاط ضعف اجرای فرآیند </t>
  </si>
  <si>
    <t>مدیریت حسابرسی داخلی و تطبیق مقررات</t>
  </si>
  <si>
    <t>پایش و شناسایی نحوه عملکرد کاربر و سیستم در شرکت</t>
  </si>
  <si>
    <t>ارائه راهکار های همگام با سیستم</t>
  </si>
  <si>
    <t>1- عنوان برنامه : بررسی و کنترل  فرآیند دریافت و پرداخت در شرکت به صورت دوره ای جهت تایید اصالت ذینفعان</t>
  </si>
  <si>
    <t>6-هدف برنامه:  ایجاد چارچوب کنترلی جهت نظارت بر نحوه دریافت و پرداخت حق بیمه و جلوگیری از بروز مغایرت‌های مالی.</t>
  </si>
  <si>
    <t>5-تاريخ شروع :      1405/01/01</t>
  </si>
  <si>
    <t>بررسی وضعیت موجود فرآیند دریافت و پرداخت نمایندگان و کارگزاران</t>
  </si>
  <si>
    <t>شناسایی ریسک‌های کلیدی (از جمله مغایرت بین نحوه پرداخت و شرایط قرارداد ها)</t>
  </si>
  <si>
    <t>پیشنهاد ضوابط و کنترل‌های نظارتی شفاف در سیستم یا درگاههای مالی</t>
  </si>
  <si>
    <t>ابلاغ دستورالعمل به شبکه فروش و واحدهای مرتبط</t>
  </si>
  <si>
    <t>ارائه منظم بازخورد به مدیریت ارشد در خصوص تغییرات احتمالی درگاه های واریز و پرداخت</t>
  </si>
  <si>
    <t>1- عنوان برنامه : برنامه ریزی واحد های ستادی و شعب بر اساس چهارچوب COSO و شاخص های مالی و فنی</t>
  </si>
  <si>
    <t>6-هدف برنامه: استقرار نظام برنامه‌ریزی یکپارچه در واحدهای ستادی و شعب بر مبنای چارچوب کنترل‌های داخلی COSO و با اتکا به شاخص‌های مالی و فنی، به‌منظور ارتقای اثربخشی کنترل‌ها، بهبود عملکرد عملیاتی، افزایش شفافیت در ارزیابی عملکرد و همسوسازی فعالیت‌ها با اهداف راهبردی سازمان</t>
  </si>
  <si>
    <t>5-تاريخ شروع :       1405/02/01</t>
  </si>
  <si>
    <t xml:space="preserve">استخراج داده های مرتبط با شعب و واحد های ستادی </t>
  </si>
  <si>
    <t>تجمیع اطلاعات نهایی ریسک</t>
  </si>
  <si>
    <t xml:space="preserve"> طبقه بندی واحد های فنی و غیر توسط مدیریت ریسک</t>
  </si>
  <si>
    <t xml:space="preserve"> مدیریت ریسک و اکچوئری</t>
  </si>
  <si>
    <t>اخذ تاییدیه های لازمه توسط مدیر عامل، کمیته حسابرسی و هیئت مدیره</t>
  </si>
  <si>
    <t>1- عنوان برنامه : بهبود نمونه گیری بر اساس شاخص های ریسک در رشته های بیمه ای</t>
  </si>
  <si>
    <t>6-هدف برنامه: طراحی و پیاده‌سازی نظام نمونه‌گیری مبتنی بر شاخص‌های ریسک در رشته‌های مختلف بیمه‌ای به‌منظور افزایش دقت ارزیابی پرونده‌ها، بهینه‌سازی فرآیند کنترل و نظارت، تمرکز بر موارد پرریسک، کاهش خطا و تقلب، و ارتقای کارایی تصمیم‌گیری در عملیات بیمه‌گری</t>
  </si>
  <si>
    <t xml:space="preserve">شناسایی نقاط قابل تمرکز در فرایند های فنی </t>
  </si>
  <si>
    <t>ایجاد الگوریتم مشترک بین شاخص ها و استخراج جامعه ی آماری</t>
  </si>
  <si>
    <t>ایجاد بستر فناوری اطلاعات مطابق با شاخص های اعلامی حسابرسی توسط بخش IT</t>
  </si>
  <si>
    <t>معاونت فناوری اطلاعات</t>
  </si>
  <si>
    <t>انتخاب نمونه ی نهایی بر اساس حجم، فعالیت و درجه ی شعب</t>
  </si>
  <si>
    <t xml:space="preserve">1- عنوان برنامه : پایش گزارشات حسابرسی داخلی در سنوات قبل از منظر تکرار یافته و بند حسابرسی </t>
  </si>
  <si>
    <t>6-هدف برنامه:   شناسایی ریسک‌های پرتکرار، تحلیل علل ایجاد آن‌ها و تدوین کنترل‌های اصلاحی  و قابل اجرا به‌منظور کاهش تکرار یافته‌های حسابرسی.</t>
  </si>
  <si>
    <t>2- مدیر پروژه : مدیریت حسابرسی داخلی و تطبیق مقررات</t>
  </si>
  <si>
    <t>4- وزن  برنامه:  70</t>
  </si>
  <si>
    <t>استخراج و تجمیع یافته ‌های پرتکرار از گزارش‌ های حسابرسی سنوات اخیر</t>
  </si>
  <si>
    <t>انتخاب و اولویت‌بندی ریسک‌های پرتکرار با اهمیت بیشتر</t>
  </si>
  <si>
    <t xml:space="preserve"> مدیریت ریسک و اکچووری</t>
  </si>
  <si>
    <t>تحلیل اجمالی علل بروز هر ریسک و شناسایی نوع ضعف کنترلی</t>
  </si>
  <si>
    <t>تدوین کنترل‌های پیشنهادی قابل اجرا برای هر ریسک</t>
  </si>
  <si>
    <t>جمع‌بندی نتایج و ارائه به سازمان</t>
  </si>
  <si>
    <t>شناسنامه شرح عملیات/ اقدامات مرتبط با برنامه عملیاتی مدیریت سرمایه انسانی سال 1405</t>
  </si>
  <si>
    <t xml:space="preserve">1- عنوان پروژه : بازنگری و بهینه سازی ساختار سازمانی </t>
  </si>
  <si>
    <t>6-هدف برنامه: تسهیل تصمیم‌گیری و افزایش بهره‌وری واحدها</t>
  </si>
  <si>
    <t>2- مدیر پروژه : مدیر منابع انسانی</t>
  </si>
  <si>
    <t>3- عنوان برنامه: تسهیل تصمیم‌گیری و افزایش بهره‌وری واحدها</t>
  </si>
  <si>
    <t>7-تاريخ شروع :    1405/2/1</t>
  </si>
  <si>
    <t>8- تاریخ خاتمه :  1405/09/30</t>
  </si>
  <si>
    <t>12- هدف کمی
گزارش/مصوبه/دستورالعمل</t>
  </si>
  <si>
    <t>انتخاب شرکت مشاور و بستن قرارداد</t>
  </si>
  <si>
    <t>طراحی ساختار جدید</t>
  </si>
  <si>
    <t>مدیریت تشکیلات و روشها</t>
  </si>
  <si>
    <t>بروزرسانی شناسنامه های شغلی</t>
  </si>
  <si>
    <t>ابلاغ به مدیریت ها و کارکنان</t>
  </si>
  <si>
    <t>شناسنامه شرح عملیات/ اقدامات مرتبط با برنامه عملیاتی مدیریت سرمایه انسانی - سال 1405</t>
  </si>
  <si>
    <t>1- عنوان پروژه : بازنگری و بهینه سازی نظام جبران خدمات</t>
  </si>
  <si>
    <t xml:space="preserve">6-هدف برنامه:  افزایش انگیزه و حس برابری پرداخت‌های شرکت در مقایسه با صنعت </t>
  </si>
  <si>
    <t xml:space="preserve">انتخاب شرکت مشاور و بستن قرارداد </t>
  </si>
  <si>
    <t>   تطبیق پرداخت‌ها با بازار صنعت بیمه</t>
  </si>
  <si>
    <t xml:space="preserve">بازنگری نظام حقوق و مزایا مبتنی بر عملکرد				</t>
  </si>
  <si>
    <t>  طراحی نظام پاداش‌های مبتنی بر KPI</t>
  </si>
  <si>
    <t>تدوین نظام شفاف ارتقا و ترفیع</t>
  </si>
  <si>
    <t xml:space="preserve">اعتبار مورد نیاز ( ریال ) :  </t>
  </si>
  <si>
    <t>شناسنامه شرح عملیات/ اقدامات مرتبط با برنامه عملیاتی مدیریت سال 1404 و 1405</t>
  </si>
  <si>
    <t>1- عنوان پروژه : پیاده سازی و اجرای مدل شایستگی</t>
  </si>
  <si>
    <t>6-هدف برنامه:  شناسایی و تعریف شایستگی‌های کلیدی برای موفقیت سازمان</t>
  </si>
  <si>
    <t>3- عنوان برنامه:پیاده سازی و اجرای مدل شایستگی</t>
  </si>
  <si>
    <t>7-تاريخ شروع :    1404/7/1</t>
  </si>
  <si>
    <t>8- تاریخ خاتمه :  1405/6/30</t>
  </si>
  <si>
    <t>13- زمان اجراي عملیات در سال 1404 و 1405</t>
  </si>
  <si>
    <t xml:space="preserve">  تحلیل مشاغل کلیدی و استخراج شایستگی‌ها</t>
  </si>
  <si>
    <t>   تعریف شایستگی‌های رفتاری، اجرایی، فنی</t>
  </si>
  <si>
    <t xml:space="preserve">  پیاده سازی و اجرای مدل شایستگی </t>
  </si>
  <si>
    <t xml:space="preserve"> آموزش مدیران در استفاده از مدل</t>
  </si>
  <si>
    <t>-</t>
  </si>
  <si>
    <t>1- عنوان پروژه :دیجیتال سازی مدیریت منابع انسانی</t>
  </si>
  <si>
    <t>6-هدف برنامه: افزایش سرعت و دقت و یکپارچگی در اجرای فرایندهای جاری منابع انسانی</t>
  </si>
  <si>
    <t>3- عنوان برنامه: دیجیتال سازی مدیریت منابع انسانی</t>
  </si>
  <si>
    <t>8- تاریخ خاتمه :  1405/9/27</t>
  </si>
  <si>
    <t>   بررسی و انتخاب نرم افزار مناسب فرایندهای منابع انسانی</t>
  </si>
  <si>
    <t>  خرید، نصب و راه اندازی زیرساخت و سامانه مناسب</t>
  </si>
  <si>
    <t>فناوری اطلاعات</t>
  </si>
  <si>
    <t>  طراحی و تکمیل بانک‌ها اطلاعاتی مورد نیاز</t>
  </si>
  <si>
    <t xml:space="preserve"> وارد کردن داده‌ها به سامانه خریداری شده</t>
  </si>
  <si>
    <t>راه اندازی و آموزش کار با سامانه جدید برای کاربران</t>
  </si>
  <si>
    <t>1- عنوان پروژه :ممیزی و بهسازی فرایندهای منابع انسانی</t>
  </si>
  <si>
    <t>6-هدف برنامه: ارتقای کارایی واحد و هم‌افزایی فرآیندها</t>
  </si>
  <si>
    <t>3- عنوان برنامه: ممیزی و بهسازی فرایندهای منابع انسانی</t>
  </si>
  <si>
    <t>7-تاريخ شروع :    1404/9/1</t>
  </si>
  <si>
    <t>بازطراحی فرآیندهای کلیدی منابع انسانی (استخدام، ارزیابی عملکرد، آموزش، جبران خدمات)</t>
  </si>
  <si>
    <t>استقرار سیستم نرم‌افزاری یکپارچه HRIS</t>
  </si>
  <si>
    <t>تعریف نقش‌ها و مسئولیت‌های جدید در واحد</t>
  </si>
  <si>
    <r>
      <t xml:space="preserve">1- عنوان برنامه : </t>
    </r>
    <r>
      <rPr>
        <sz val="14"/>
        <rFont val="B Nazanin"/>
        <charset val="178"/>
      </rPr>
      <t>پایش و ساماندهی فعالیت رسانه‌ای نمایندگان در شبکه‌های اجتماعی</t>
    </r>
  </si>
  <si>
    <r>
      <t>6-هدف برنامه:  ر</t>
    </r>
    <r>
      <rPr>
        <sz val="14"/>
        <rFont val="B Nazanin"/>
        <charset val="178"/>
      </rPr>
      <t>صد و ارزیابی فعالیت نمایندگان در شبکه‌های اجتماعی به‌منظور همسوسازی پیام‌ها با سیاست‌های سازمان، تقویت هویت برند، افزایش تعامل مؤثر با مخاطبان و شناسایی فرصت‌ها و چالش‌های ارتباطی در فضای آنلاین</t>
    </r>
  </si>
  <si>
    <r>
      <t xml:space="preserve">2- مدیر پروژه : </t>
    </r>
    <r>
      <rPr>
        <sz val="14"/>
        <rFont val="B Nazanin"/>
        <charset val="178"/>
      </rPr>
      <t xml:space="preserve"> مدیریت روابط عمومی</t>
    </r>
  </si>
  <si>
    <r>
      <t xml:space="preserve">5-تاريخ شروع :   </t>
    </r>
    <r>
      <rPr>
        <sz val="14"/>
        <rFont val="B Nazanin"/>
        <charset val="178"/>
      </rPr>
      <t xml:space="preserve"> 1 تیر</t>
    </r>
  </si>
  <si>
    <r>
      <t xml:space="preserve">7- تاریخ خاتمه :  </t>
    </r>
    <r>
      <rPr>
        <sz val="14"/>
        <rFont val="B Nazanin"/>
        <charset val="178"/>
      </rPr>
      <t>30 بهمن</t>
    </r>
  </si>
  <si>
    <t xml:space="preserve">شناسایی و فهرست‌برداری از حساب‌ها </t>
  </si>
  <si>
    <t xml:space="preserve"> روابط عمومی</t>
  </si>
  <si>
    <t xml:space="preserve">تدوین شاخص‌ها و چارچوب ارزیابی </t>
  </si>
  <si>
    <t>روابط عمومی</t>
  </si>
  <si>
    <t>پایش و تحلیل مستمر فعالیت‌ها</t>
  </si>
  <si>
    <t xml:space="preserve">ارائه بازخورد و راهنمایی اصلاحی </t>
  </si>
  <si>
    <t>بهبود و توانمندسازی مستمر</t>
  </si>
  <si>
    <t>14 - امضاء مدیربرنامه:</t>
  </si>
  <si>
    <t>15 - امضاء ادارات مجری/ همکار:</t>
  </si>
  <si>
    <t xml:space="preserve">
17- امضاء مسئول کنترل برنامه:
</t>
  </si>
  <si>
    <t>اعتبار مورد نیاز (ریال):</t>
  </si>
  <si>
    <t>نفر ساعت:</t>
  </si>
  <si>
    <t>1- عنوان برنامه : پایش، بهینه‌سازی و توسعه مستمر وب‌سایت</t>
  </si>
  <si>
    <r>
      <rPr>
        <b/>
        <sz val="14"/>
        <rFont val="B Nazanin"/>
        <charset val="178"/>
      </rPr>
      <t xml:space="preserve">6-هدف برنامه:  </t>
    </r>
    <r>
      <rPr>
        <sz val="14"/>
        <rFont val="B Nazanin"/>
        <charset val="178"/>
      </rPr>
      <t>رصد عملکرد وب‌سایت از نظر محتوایی و رفتار کاربران و انجام اصلاحات و بهینه‌سازی‌های لازم به‌منظور ارتقای تجربه کاربری، افزایش تعامل مخاطبان و بهبود اثربخشی وب‌سایت در تحقق اهداف سازمان.</t>
    </r>
  </si>
  <si>
    <t>2- مدیر پروژه :  مدیریت روابط عمومی</t>
  </si>
  <si>
    <t>5-تاريخ شروع :    1 تیر</t>
  </si>
  <si>
    <t>7- تاریخ خاتمه :  15 بهمن</t>
  </si>
  <si>
    <t>•	ارزیابی و آسیب‌شناسی تجربه کاربری سایت فعلی (انجام بررسی تخصصی UX/UI، تحلیل داده‌های رفتار کاربران و شناسایی نقاط ضعف در فرآیندهای کلیدی)</t>
  </si>
  <si>
    <t>طراحی و تدوین سیستم طراحی (Design System)  (استانداردسازی اجزای رابط کاربری شامل رنگ‌بندی، تایپوگرافی، کامپوننت‌ها و الگوهای طراحی جهت ایجاد یکپارچگی در کل اپلیکیشن.)</t>
  </si>
  <si>
    <t>روابط عمومی- فناوری اطلاعات</t>
  </si>
  <si>
    <t>بازطراحی فرآیندها و صفحات کلیدی سایت (بازطراحی تجربه کاربری در بخش‌های اصلی شامل خرید بیمه‌نامه، تمدید بیمه‌نامه، ثبت و پیگیری خسارت با هدف ساده‌سازی و کاهش مراحل کاربر)</t>
  </si>
  <si>
    <t>پایش مستمر محتوای تمامی صفحات</t>
  </si>
  <si>
    <t>پیاده‌سازی، استقرار و پایش عملکرد نسخه جدید سایت</t>
  </si>
  <si>
    <t>1- عنوان برنامه : تدوین برنامه راهبردی روابط عمومی</t>
  </si>
  <si>
    <t>6-هدف برنامه:  هم‌راستاسازی فعالیت‌های ارتباطی شرکت، تقویت تصویر برند بیمه تجارت نو و افزایش اثربخشی ارتباط با مخاطبان و ذی‌نفعان</t>
  </si>
  <si>
    <t>5-تاريخ شروع :    15 اردیبهشت</t>
  </si>
  <si>
    <t>7- تاریخ خاتمه :  30 تیر</t>
  </si>
  <si>
    <t>ارزیابی وضعیت فعلی روابط عمومی شرکت</t>
  </si>
  <si>
    <t>تحلیل ذی‌نفعان و مخاطبان کلیدی</t>
  </si>
  <si>
    <t>تعیین اهداف و اولویت‌های ارتباطی شرکت</t>
  </si>
  <si>
    <t>تدوین استراتژی رسانه‌ای و ارتباط با رسانه‌ها</t>
  </si>
  <si>
    <t>طراحی برنامه مدیریت بحران ارتباطی</t>
  </si>
  <si>
    <t>تعریف شاخص‌های ارزیابی عملکرد روابط عمومی</t>
  </si>
  <si>
    <t>1- عنوان برنامه :تدوین برنامه رویدادها، مجامع و نمایشگاه‌ها</t>
  </si>
  <si>
    <t>6-هدف برنامه:   ارتقای برنامه ریزی هدفمند منابع، هماهنگی‌ها و تصمیم‌گیری‌ها در راستای افزایش بهره‌وری و اثربخشی حضور در رویدادها</t>
  </si>
  <si>
    <t>7- تاریخ خاتمه :  29 اسفند</t>
  </si>
  <si>
    <t>تعیین هدف و خروجی رویدادها</t>
  </si>
  <si>
    <t>تعیین دامنه رویداد و مخاطبانان</t>
  </si>
  <si>
    <t xml:space="preserve"> انتخاب تاریخ و محل برگزاری و تدوین بودجه و تأمین منابع</t>
  </si>
  <si>
    <t>طراحی ساختار برنامه و سناریوی اجرا هر یک از رویدادها</t>
  </si>
  <si>
    <t xml:space="preserve">انتخاب و عقد قرارداد با تأمین‌کنندگان  و آماده‌سازی لجستیک و عملیات اجرایی </t>
  </si>
  <si>
    <t>پشتیبانی</t>
  </si>
  <si>
    <t>ارزیابی و پیگیری پس از رویداد</t>
  </si>
  <si>
    <t>1- عنوان برنامه : طراحی و راه‌اندازی وب کیوسک جهت تبلیغات</t>
  </si>
  <si>
    <t>6-هدف برنامه:  ساماندهی، به‌روزرسانی و بهره‌برداری هدفمند از وب‌کیوسک‌های موجود به‌منظور افزایش اثربخشی اطلاع‌رسانی و تبلیغات سازمان و توسعه بسترهای ارتباطی با مخاطبان</t>
  </si>
  <si>
    <t>2- مدیر پروژه : مدیریت روابط عمومی</t>
  </si>
  <si>
    <t>5-تاريخ شروع :    15 خرداد</t>
  </si>
  <si>
    <t>7- تاریخ خاتمه :  1 اسفند</t>
  </si>
  <si>
    <t>ارزیابی و ساماندهی وضعیت موجود</t>
  </si>
  <si>
    <t>تدوین و اجرای برنامه محتوایی و تبلیغاتی</t>
  </si>
  <si>
    <t>توسعه و بهینه‌سازی شبکه وب‌کیوسک‌ها</t>
  </si>
  <si>
    <t>روابط عمومی- بازاریابی</t>
  </si>
  <si>
    <t>500 میلیون الی 2 میلیارد تومان</t>
  </si>
  <si>
    <t>1- عنوان برنامه : مصاحبه ادواری رسانه‌ای با نمایندگان برتر</t>
  </si>
  <si>
    <t>6-هدف برنامه:  افزایش تعامل با شبکه فروش و تقویت انگیزه نمایندگان و ایجاد الگوهای موفق برای نمایندگان جدید</t>
  </si>
  <si>
    <t>5-تاريخ شروع :    1 اردیبهشت</t>
  </si>
  <si>
    <t>7- تاریخ خاتمه :  15 اسفند</t>
  </si>
  <si>
    <t>شناسایی و انتخاب نمایندگان هدف</t>
  </si>
  <si>
    <t>امور شعب و نمایندگان</t>
  </si>
  <si>
    <t>طراحی چارچوب و پرسش‌های مصاحبه</t>
  </si>
  <si>
    <t>انجام و انتشار مصاحبه</t>
  </si>
  <si>
    <t>تهیه گزارش بازتاب رسانه ای</t>
  </si>
  <si>
    <t>1- عنوان برنامه : ممیزی و بهسازی ارتباطات درون سازمانی</t>
  </si>
  <si>
    <t>6-هدف برنامه:  تقویت تعامل و ارتباط میان کارکنان با هدف افزایش رضایت شغلی، همدلی سازمانی و تقویت برند کارفرمایی شرکت</t>
  </si>
  <si>
    <t>2- مدیر پروژه :  روابط عمومی</t>
  </si>
  <si>
    <t>ارزیابی وضعیت تعامل و رضایت کارکنان</t>
  </si>
  <si>
    <t>سرمایه انسانی</t>
  </si>
  <si>
    <t>تقویت کانال‌های ارتباط داخلی</t>
  </si>
  <si>
    <t>برگزاری رویدادها و برنامه‌های مشارکتی سازمانی</t>
  </si>
  <si>
    <t>روابط عمومی- سرمایه انسانی- پشتیبانی</t>
  </si>
  <si>
    <t>طراحی برنامه‌های معرفی دستاورد کارکنان</t>
  </si>
  <si>
    <t>پایش مستمر و بهبود فرهنگ سازمانی</t>
  </si>
  <si>
    <t>روابط عمومی- سرمایه انسانی</t>
  </si>
  <si>
    <t>1 الی 5 میلیارد تومان</t>
  </si>
  <si>
    <t>1- عنوان برنامه : ممیزی، ارزیابی و همسوسازی  شبکه فروش با هویت برند</t>
  </si>
  <si>
    <t>6-هدف برنامه:  ارتقای توانمندی شبکه فروش در اجرای فعالیت‌های روابط عمومی و بازاریابی به منظور افزایش شناخت برند شرکت در سطح محلی و جذب مشتریان جدید</t>
  </si>
  <si>
    <t>طراحی و ارسال فرم ارزیابی میزان آشنایی شبکه فروش با مفاهیم تبلیغات و برندینگ</t>
  </si>
  <si>
    <t>روابط عمومی/ امور شعب</t>
  </si>
  <si>
    <t>دسته بندی و تحلیل پاسخ شعب و نمایندگان</t>
  </si>
  <si>
    <t>تدوین دستورالعمل و چارچوب فعالیت‌های روابط عمومی شعب</t>
  </si>
  <si>
    <t>برگزاری دوره‌ها و کارگاه‌های آموزشی برای کارکنان شعب</t>
  </si>
  <si>
    <t>تامین ابزارها و محتوای بازاریابی برای شعب</t>
  </si>
  <si>
    <t>اجرای کمپین‌ها و برنامه‌های بازاریابی محلی توسط شعب</t>
  </si>
  <si>
    <t>پایش و ارزیابی عملکرد شعب در حوزه روابط عمومی و مارکتینگ</t>
  </si>
  <si>
    <t>1- عنوان پروژه : استقرار داشبورد یکپارچه ریسک سازمانی</t>
  </si>
  <si>
    <t>6-هدف برنامه:  توسعه زیرساخت اطلاعاتی مدیریت ریسک به‌منظور پشتیبانی از تصمیم‌سازی اثربخش و مبتنی بر داده در سطح مدیریت ارشد</t>
  </si>
  <si>
    <t>2- مدیر پروژه :  مدیریت ریسک و اکچوئری</t>
  </si>
  <si>
    <t>3- عنوان برنامه:   استقرار داشبورد یکپارچه ریسک سازمانی</t>
  </si>
  <si>
    <t xml:space="preserve">7-تاريخ شروع : 1405/02/01    </t>
  </si>
  <si>
    <t>استخراج شاخص‌های کلیدی ریسک (KRI)</t>
  </si>
  <si>
    <t>ریسک و اکچوئری</t>
  </si>
  <si>
    <t>هماهنگی با مدیریت‌های مرتبط جهت دریافت داده</t>
  </si>
  <si>
    <t>ریسک و اکچوئری -مالی - مدیریت های فنی</t>
  </si>
  <si>
    <t>طراحی ساختار داشبورد و گزارش‌دهی</t>
  </si>
  <si>
    <t>ریسک و اکچوئری - فناوری اطلاعات</t>
  </si>
  <si>
    <t>پیاده‌سازی و یکپارچه‌سازی داده‌ها</t>
  </si>
  <si>
    <t>ریسک و اکچوئری/ فناوری اطلاعات</t>
  </si>
  <si>
    <t>تست و بهینه سازی داشبورد</t>
  </si>
  <si>
    <t>ارائه و استقرار داشبورد در سطح مدیریت</t>
  </si>
  <si>
    <t>1- عنوان پروژه : :  استقرار نظام سناریوپردازی و تحلیل ریسک‌های کلان در شرایط بحران جنگ</t>
  </si>
  <si>
    <t>6-هدف برنامه: افزایش آمادگی سازمان در مواجهه با عدم قطعیت‌ها از طریق تحلیل سناریوهای محتمل و پشتیبانی از تصمیم‌سازی مدیریتی</t>
  </si>
  <si>
    <t>3- عنوان برنامه:  :  استقرار نظام سناریوپردازی و تحلیل ریسک‌های کلان در شرایط بحران جنگ</t>
  </si>
  <si>
    <t xml:space="preserve">7-تاريخ شروع : 1405/01/15    </t>
  </si>
  <si>
    <t>8- تاریخ خاتمه :  1405/03/31</t>
  </si>
  <si>
    <t>شناسایی ریسک‌های کلان و پیشران‌های اثرگذار</t>
  </si>
  <si>
    <t>طراحی سناریوهای محتمل (خوشبینانه، محتاطانه، بحرانی)</t>
  </si>
  <si>
    <t>تمامی مدیریت ها</t>
  </si>
  <si>
    <t>تحلیل اثرات هر سناریو بر شرکت</t>
  </si>
  <si>
    <t>تدوین اقدامات پیشنهادی برای هر سناریو</t>
  </si>
  <si>
    <t>ارائه و اخذ تأیید در کمیته ریسک</t>
  </si>
  <si>
    <t>پایش و به‌روزرسانی سناریوها</t>
  </si>
  <si>
    <t>1- عنوان پروژه : :  توسعه و تکمیل زیرساخت‌های نظام مدیریت ریسک مطابق الزامات ISO 31000</t>
  </si>
  <si>
    <t>6-هدف برنامه:تضمین تداوم فعالیت‌های حیاتی شرکت در شرایط بحران و کاهش اثرات اختلالات عملیاتی</t>
  </si>
  <si>
    <t>3- عنوان برنامه:  : توسعه و تکمیل زیرساخت‌های نظام مدیریت ریسک مطابق الزامات ISO 31000</t>
  </si>
  <si>
    <t>8- تاریخ خاتمه :  1405/06/31</t>
  </si>
  <si>
    <t>تحلیل وضعیت موجود و شناسایی شکاف‌ها (Gap Analysis)</t>
  </si>
  <si>
    <t>طراحی مدل تحلیل ذینفعان ریسک</t>
  </si>
  <si>
    <t>ریسک و اکچوئری / تمامی مدیریت های ستادی</t>
  </si>
  <si>
    <t>طراحی و استقرار مدل ABC اولویت‌بندی ریسک‌ها</t>
  </si>
  <si>
    <t>طراحی فرم و فرآیند مدیریت ریسک تغییرات</t>
  </si>
  <si>
    <t>طراحی و استقرار فرم برنامه‌های درمان ریسک</t>
  </si>
  <si>
    <t>طراحی و اجرای ممیزی داخلی مدیریت ریسک</t>
  </si>
  <si>
    <t>ممیزی خارجی ریسک</t>
  </si>
  <si>
    <t>3- عنوان برنامه:  : طراحی و استقرار برنامه تداوم کسب‌وکار (BCP)</t>
  </si>
  <si>
    <t>شناسایی فرآیندهای حیاتی کسب‌وکار</t>
  </si>
  <si>
    <t>ریسک و اکچوئری -مالی - سرمایه گذاری-مدیریت فنی-منابع انسانی-فناوری اطلاعات-طرح و برنامه- امور مشتریان- بازاریابی-امور شعب -حراست</t>
  </si>
  <si>
    <t>تحلیل اثرات کسب‌وکار (BIA)</t>
  </si>
  <si>
    <t>طراحی سناریوهای بحران</t>
  </si>
  <si>
    <t>تدوین برنامه‌های تداوم (BCP)</t>
  </si>
  <si>
    <t>اجرای تست و مانور</t>
  </si>
  <si>
    <t>1- عنوان پروژه : طراحی و استقرار نظام مدیریت و پایش نقدینگی</t>
  </si>
  <si>
    <t>6-هدف برنامه: کنترل و پیش‌بینی جریان نقد شرکت به‌منظور کاهش ریسک نقدینگی و ارتقای پایداری مالی</t>
  </si>
  <si>
    <t>3- عنوان برنامه:  طراحی و استقرار نظام مدیریت و پایش نقدینگی</t>
  </si>
  <si>
    <t xml:space="preserve">7-تاريخ شروع : 1405/03/01    </t>
  </si>
  <si>
    <t>تحلیل وضعیت فعلی جریان نقد شرکت</t>
  </si>
  <si>
    <t>دریافت و تجمیع داده‌های مالی و سرمایه‌گذاری</t>
  </si>
  <si>
    <t>ریسک و اکچوئری -مالی - سرمایه گذاری</t>
  </si>
  <si>
    <t>طراحی مدل پیش‌بینی و سناریوهای نقدینگی</t>
  </si>
  <si>
    <t>تعریف شاخص‌های هشدار (Early Warning)</t>
  </si>
  <si>
    <t>استقرار نظام پایش و ارائه گزارش مدیریتی</t>
  </si>
  <si>
    <t>1- عنوان برنامه : آنالیز بازار و طبقه بندی آن به منظور استخراج طرح های افزایش فروش بهینه</t>
  </si>
  <si>
    <t xml:space="preserve">3- شماره برنامه: 1 </t>
  </si>
  <si>
    <t>6-هدف برنامه:   افزایش فروش بهینه</t>
  </si>
  <si>
    <t xml:space="preserve">2- مدیر پروژه : مدیریت طرح وبرنامه </t>
  </si>
  <si>
    <t xml:space="preserve">5-تاريخ شروع :1405/02/01    </t>
  </si>
  <si>
    <t xml:space="preserve">7- تاریخ خاتمه : 1405/09/30 </t>
  </si>
  <si>
    <t>آنالیز فروش شرکت و صنعت بر اساس نوع محصول، صنعت، رشته، آنلاین/آفلاین، مکمل/انفرادی و شناسایی گپ های بازار برای ورود و توسعه</t>
  </si>
  <si>
    <t>طرح و برنامه/کسب و کار نوین/بازاریابی و مناقصات</t>
  </si>
  <si>
    <t>تهیه و تدوین طرح های افزایش فروش در قالب فروش افزایشی، متقاطع، پروموشن ها، باندل محصولات و طرح ها</t>
  </si>
  <si>
    <t>آنالیز و ارزیابی اقتصادی و ریسک طرح ها</t>
  </si>
  <si>
    <t>طرح و برنامه/مدیریت‌های فنی</t>
  </si>
  <si>
    <t>اولویت بندی و برنامه ریزی برای اجرا</t>
  </si>
  <si>
    <t>طرح و برنامه/ بازاریابی و مناقصات</t>
  </si>
  <si>
    <t>ارائه به واحدهای متولی و پیگیری اجرا</t>
  </si>
  <si>
    <t>1- عنوان برنامه : بهسازی سند استراتژی ها شرکت</t>
  </si>
  <si>
    <t>3- شماره برنامه:  4</t>
  </si>
  <si>
    <t>6-هدف برنامه:  بهسازی سند استراتژی ها شرکت</t>
  </si>
  <si>
    <t>2- مدیر پروژه :  مدیریت طرح و برنامه</t>
  </si>
  <si>
    <t>5-تاريخ شروع :  1405/04/01</t>
  </si>
  <si>
    <t>آنالیز وضع موجود شرکت و تحقق استراتژی های موجود در شرکت</t>
  </si>
  <si>
    <t>طرح و برنامه/کسب و کار</t>
  </si>
  <si>
    <t>اجرای آنالیز های محیط دور و نزدیک، ذینفعان، چرخه عمر سازمان و محصولات، رقبا، شاخص های کلیدی موفقیت و بحرانی و ... با محوریت چابکی در شرایط اقتصادی پرنوسان</t>
  </si>
  <si>
    <t>طرح و برنامه/کلیه مدیریت ها</t>
  </si>
  <si>
    <t>تلفیق نتایج با بروندادهای پروژه عارضه یابی و بهبود عملکرد</t>
  </si>
  <si>
    <t>طرح و برنامه</t>
  </si>
  <si>
    <t>تدوین سند استراتژی های بهسازی شده</t>
  </si>
  <si>
    <t xml:space="preserve">1- عنوان برنامه : تدوین سند برنامه ریزی و ارتقا مدل کسب و کار و  بازاریابی برای 10 شعبه منتخب </t>
  </si>
  <si>
    <t>3- شماره برنامه:  5</t>
  </si>
  <si>
    <t xml:space="preserve">6-هدف برنامه:   ارتقا مدل کسب و کار و  بازاریابی </t>
  </si>
  <si>
    <t>آنالیز فروش شرکت و رقبا و سگمنت بندی بازار</t>
  </si>
  <si>
    <t>طرح و برنامه/مدیرت های فنی</t>
  </si>
  <si>
    <t>تجزیه و تحلیل مدل و بوم کسب و کار شرکت</t>
  </si>
  <si>
    <t>طبقه بندی مشتریان و نیازمندیهای آنها</t>
  </si>
  <si>
    <t>طرح و برنامه/بازاریابی و مناقصات</t>
  </si>
  <si>
    <t>هدف گذاری فروش بر مبنای بودجه مصوب شده</t>
  </si>
  <si>
    <t>پازیشنینگ و طراحی باندل های فروش و بازاریابی</t>
  </si>
  <si>
    <t>تدوین سند بازاریابی و فروش برای بخش منتخب (بخشی از شعب و رشته ها) و پیاده سازی پایلوت</t>
  </si>
  <si>
    <t>بازنویسی نهایی و تهیه سند  برنامه ریزی و ارتقا مدل کسب و کار و  بازاریابی جامع شرکت</t>
  </si>
  <si>
    <t>1- عنوان برنامه : عارضه یابی و بهبود عملکرد سازمانی</t>
  </si>
  <si>
    <t>3- شماره برنامه:  2</t>
  </si>
  <si>
    <t>6-هدف برنامه:  عارضه یابی و بهبود عملکرد سازمانی</t>
  </si>
  <si>
    <t>طراحی مدل بهسازی شده عارضه یابی و تعالی عملکرد بر پایه مدل EFQM</t>
  </si>
  <si>
    <t>برگزاری جلسات هم اندیشی و آسیب شناسی</t>
  </si>
  <si>
    <t>طرح و برنامه/مدیریت‌ها/شعب</t>
  </si>
  <si>
    <t>اولویت بندی و شناسایی راهکارهای عملیاتی</t>
  </si>
  <si>
    <t>برنامه ریزی برای اجرای راهکارهای عملیاتی</t>
  </si>
  <si>
    <t>بهبود و پایش مستمر سالانه</t>
  </si>
  <si>
    <t>1- عنوان برنامه :طراحی و پیاده سازی سیستم هوشمند ارزیابی ریسک تقلب در اعلام خسارت و مراکز درمانی</t>
  </si>
  <si>
    <t xml:space="preserve">6-هدف برنامه:  تشخیص دقیق و به هنگام تقلب و جلوگیری از هدر رفت منابع ریالی </t>
  </si>
  <si>
    <t>شناسایی داده ها و ساختار داده های اعلام خسارت بیمه گذاران و مراکز درمانی</t>
  </si>
  <si>
    <t>درمان</t>
  </si>
  <si>
    <t>طبقه بندی داده ها و شناسایی شاخص های موثر بر کشف تقلب</t>
  </si>
  <si>
    <t>درمان/طرح و برنامه/حسابرسی</t>
  </si>
  <si>
    <t>شناسایی الگوهای کشف تقلب</t>
  </si>
  <si>
    <t>درمان/حسابرسی</t>
  </si>
  <si>
    <t xml:space="preserve">طراحی الگوریتم هوشمند تشخیص تقلب بر پایه الگوهای شناسایی شده	</t>
  </si>
  <si>
    <t>طراحی سیستم آنلاین تشخیص تقلب</t>
  </si>
  <si>
    <t>طرح و برنامه/ فناوری اطلاعات</t>
  </si>
  <si>
    <t>1- عنوان برنامه : هوشمند سازی قیمت گذاری و پیش بینی خسارت در رشته بدنه</t>
  </si>
  <si>
    <t>3- شماره برنامه:  3</t>
  </si>
  <si>
    <t>6-هدف برنامه:  کاهش ریسک و نسبت خسارت در رشته بدنه</t>
  </si>
  <si>
    <t>7- تاریخ خاتمه :  1405/11/30</t>
  </si>
  <si>
    <t>آنالیز رفتار مشتریان رشته بدنه در سالهای گذشته</t>
  </si>
  <si>
    <t>شناسایی قوانین و اگرآنگاه ها مابین شاخص های موثر بر خسارت و قیمت گذاری</t>
  </si>
  <si>
    <t>طرح و برنامه/فنی اتومبیل</t>
  </si>
  <si>
    <t>طراحی الگوریتم قیمت گذاری بر پایه یادگیری ماشین</t>
  </si>
  <si>
    <t>تست و دیباگ با داده های پایلوت</t>
  </si>
  <si>
    <t>طراحی و اجرای سامانه مورد نیاز</t>
  </si>
  <si>
    <t>طرح و برنامه/فناوری اطلاعات</t>
  </si>
  <si>
    <t>1- عنوان پروژه : معرفی و فروش محصول جدید آوید</t>
  </si>
  <si>
    <t>6-هدف برنامه:  برنامه ریزی جهت  فروش محصول جدید آوید</t>
  </si>
  <si>
    <t>2- مدیر پروژه :  مدیریت بیمه های عمروسرمایه گذاری</t>
  </si>
  <si>
    <t xml:space="preserve">5- وزن  برنامه:  </t>
  </si>
  <si>
    <t>3- عنوان برنامه:  معرفی محصول جدید آوید</t>
  </si>
  <si>
    <t xml:space="preserve">7-تاريخ شروع :   1405/01/01 </t>
  </si>
  <si>
    <t>مشخص نمودن مدیر پروژه فروش محصول جدید آوید</t>
  </si>
  <si>
    <t>مدیریت بیمه های عمر و سرمایه گذاری</t>
  </si>
  <si>
    <t>شناسایی اعضای توانمند شبکه فروش و شعب در حوزه فروش محصول</t>
  </si>
  <si>
    <t>مدیریت  بیمه های عمر و سرمایه گذاری</t>
  </si>
  <si>
    <t>برگزاری جلسات آموزشی حرفه ای جهت معرفی محصول به جامعه هدف و شیوه های نوین فروش.</t>
  </si>
  <si>
    <r>
      <t xml:space="preserve">مدیریت  بیمه های عمر و سرمایه گذاری / </t>
    </r>
    <r>
      <rPr>
        <sz val="14"/>
        <color theme="1"/>
        <rFont val="B Nazanin"/>
        <charset val="178"/>
      </rPr>
      <t>مدیریت روابط عمومی</t>
    </r>
    <r>
      <rPr>
        <sz val="14"/>
        <rFont val="B Nazanin"/>
        <charset val="178"/>
      </rPr>
      <t>/آموزش</t>
    </r>
  </si>
  <si>
    <t xml:space="preserve">تهیه محتواهای تبلیغاتی جهت معرفی محصول </t>
  </si>
  <si>
    <r>
      <t>مدیریت بیمه های عمر و سرمایه گذاری/روابط عمومی/</t>
    </r>
    <r>
      <rPr>
        <sz val="14"/>
        <color theme="1"/>
        <rFont val="B Nazanin"/>
        <charset val="178"/>
      </rPr>
      <t>آموزش</t>
    </r>
  </si>
  <si>
    <t xml:space="preserve">برگزاری جشنواره‌های فصلی جهت ایجاد انگیزه در نمایندگان و افزایش فروش محصول </t>
  </si>
  <si>
    <t>مدیریت  بیمه های عمر و سرمایه گذاری/ روابط عمومی/بازاریابی</t>
  </si>
  <si>
    <t>بررسی و نظارت مستمر بر عملکرد شعب و شبکه فروش جهت تحقق بودجه</t>
  </si>
  <si>
    <t xml:space="preserve">بررسی مستمر گزارشات مربوط به نحوه سرمایه گذاری نزد شرکت اتکایی و تامین بودجه در صورت نیاز </t>
  </si>
  <si>
    <t>مدیریت بیمه های عمر و سرمایه گذاری /  مالی / اتکایی</t>
  </si>
  <si>
    <t>1- عنوان پروژه : پروژه فروش محصول جدبد زندگی نو</t>
  </si>
  <si>
    <t>6-هدف برنامه:  طرح و برنامه ریزی جهت فروش محصول جدید " زندگی نو "</t>
  </si>
  <si>
    <t>2- مدیر پروژه :  بیمه های عمروسرمایه گذاری</t>
  </si>
  <si>
    <t>3- عنوان برنامه:  معرفی محصول جدید زندگی نو</t>
  </si>
  <si>
    <t xml:space="preserve"> انتخاب و تعیین مدیر پروژه فروش محصول جدید زندگی نو.</t>
  </si>
  <si>
    <t>شناسایی شبکه فروش و شعب توانمند در حوزه فروش محصول.</t>
  </si>
  <si>
    <t xml:space="preserve">مدیریت  بیمه های عمر و سرمایه گذاری </t>
  </si>
  <si>
    <t>مدیریت  بیمه های عمر و سرمایه گذاری/ روابط عمومی/ آموزش</t>
  </si>
  <si>
    <t>تهیه محتوای تبلیغاتی بازاریابی جهت معرفی محصول جدید زندگی نو.</t>
  </si>
  <si>
    <t>برگزاری جشنواره های فصلی با هدف فروش محصول.</t>
  </si>
  <si>
    <t>مدیریت  بیمه های عمر و سرمایه گذاری/ بازاریابی</t>
  </si>
  <si>
    <t>بررسی وضعیت و نظارت مستمر بر عملکرد شعب و نمایندگان.</t>
  </si>
  <si>
    <t>بررسی مستمر گزارشات مربوط به نحوه سرمایه گذاری، اقساط معوق و اقساط پرداختی توسط مشتریان و پیگیری آنها.</t>
  </si>
  <si>
    <t>مدیریت بیمه های عمر و سرمایه گذاری/ امور مالی/ بازرسی و پیگیری های ویژه</t>
  </si>
  <si>
    <t>8</t>
  </si>
  <si>
    <t>برگزاری جلسات مستمر داخلی با مدیریت های همکار جهت سنجش و ارزیابی برنامه ها و رفع موانع موجود.</t>
  </si>
  <si>
    <t>مدیریت  بیمه های عمر و سرمایه گذاری/  بازاریابی و فروش/ روابط عمومی/ سرمایه گذاری</t>
  </si>
  <si>
    <t>1- عنوان پروژه :توسعه شبکه فروش</t>
  </si>
  <si>
    <t xml:space="preserve">6-هدف برنامه:  برنامه ریزی جهت  توسعه سازمان  فروش </t>
  </si>
  <si>
    <t>3- عنوان برنامه:  توسعه شبکه فروش و نمایندگان</t>
  </si>
  <si>
    <t>8- تاریخ خاتمه :  1405/12/30</t>
  </si>
  <si>
    <t>پشتیبانی  عملیات بیمه گری سازمان فروش در سامانه فن آوران ( داشبورد جهت سازمان فروش)</t>
  </si>
  <si>
    <t>مدیریت  بیمه های عمر و سرمایه گذاری/  مدیریت فناوری اطلاعات</t>
  </si>
  <si>
    <t>برنامه ریزی مستمر جهت آموزش نمایندگان منتخب مدیر ارشد سازمان فروش و انعقاد قرارداد همکاری با افراد توانمند.</t>
  </si>
  <si>
    <t>انجام تبلیغات جهت جذب بازاریاب جهت توسعه سازمان فروش .</t>
  </si>
  <si>
    <t>مدیریت  بیمه های عمر و سرمایه گذاری / روابط عمومی</t>
  </si>
  <si>
    <t>توسعه و ارتقا ارکان سازمان فروش های ایجاد شده در سال 1404</t>
  </si>
  <si>
    <t xml:space="preserve">مدیریت  بیمه های عمر و سرمایه گذاری/ امور شعب و نمایندگان </t>
  </si>
  <si>
    <t>برنامه ریزی جهت برگزاری کلاس های آموزشی در کل کشور و توانمند سازی مدیران ارشد.</t>
  </si>
  <si>
    <t>مدیریت  بیمه های عمر و سرمایه گذاری/ آموزش/امور شعب و نمایندگان/پشتیبانی</t>
  </si>
  <si>
    <t>برگزاری بوت کمپ و جشنواره های فروش</t>
  </si>
  <si>
    <t>مدیریت  بیمه های عمر و سرمایه گذاری/ /روابط عمومی /آموزش/پشتیبانی</t>
  </si>
  <si>
    <t>برگزاری جلسات مستمر داخلی تحت عنوان کمیته راهبری سازمان فروش و سنجش مداوم برنامه ریزی
 جهت ارزیابی اثر گذاری آنها و رفع موانع موجود.</t>
  </si>
  <si>
    <t>1- عنوان پروژه :  بیمه های زندگی متصل به دارایی</t>
  </si>
  <si>
    <t xml:space="preserve">6-هدف برنامه:  طراحی محصول بیمه زندگی  "متصل به دارایی"  جهت به روز رسانی محصولات  بیمه ای و فرایند های  نوین بیمه گری  </t>
  </si>
  <si>
    <t>2- مدیر پروژه :  عمر و سرمایه گذاری</t>
  </si>
  <si>
    <t>3- عنوان برنامه:  طراحی بیمه زندگی متصل به یونیت</t>
  </si>
  <si>
    <t>بررسی و شناسایی دارایی های مورد نیاز بازار و مشتریان.</t>
  </si>
  <si>
    <t>مدیریت عمر و سرمایه گذاری/ کسب و کارهای نوین</t>
  </si>
  <si>
    <t>انعقاد تفاهم نامه همکاری با شرکت نو ظهور تکنو تجارت (داراوان).</t>
  </si>
  <si>
    <t>مدیریت عمر و سرمایه گذاری/ حقوقی</t>
  </si>
  <si>
    <t xml:space="preserve"> انعقاد تفاهم نامه  همکاری با شرکت سبدگردان بورسی جهت سبدگردانی دارایی ها.</t>
  </si>
  <si>
    <t>مدیریت  سرمایه گذاری/ حقوقی</t>
  </si>
  <si>
    <t>راه اندازی محصول در سیستم فناوران و خرید نرم افزار مربوطه .</t>
  </si>
  <si>
    <t>مدیریت عمر و سرمایه گذاری / فناوری اطلاعات</t>
  </si>
  <si>
    <t>دریافت مجوز از بیمه مرکزی ج.ا.ا بابت راه اندازی محصول.</t>
  </si>
  <si>
    <t>مدیریت عمر و سرمایه گذاری</t>
  </si>
  <si>
    <t>تست و پیاده سازی محصول در نرم افزارهای بیمه گری فناوران</t>
  </si>
  <si>
    <t>مدیریت عمر و سرمایه گذاری/  فناوری اطلاعات/  امور مالی</t>
  </si>
  <si>
    <t xml:space="preserve"> تهیه فرم ها و اسناد بیمه نامه ها و دستورالعمل های مربوطه </t>
  </si>
  <si>
    <t>مدیریت عمر و سرمایه گذاری/ تشکیلات و روش ها</t>
  </si>
  <si>
    <t xml:space="preserve">آموزش کارشناسان و نمایندگان جهت ارائه  محصول جدید به بازار </t>
  </si>
  <si>
    <t>مدیریت عمر و سرمایه گذاری/ آموزش</t>
  </si>
  <si>
    <t>9</t>
  </si>
  <si>
    <t>انجام تبلیغات بازاریابی جهت معرفی و فرو ش محصول.</t>
  </si>
  <si>
    <t>10</t>
  </si>
  <si>
    <t>نظارت بر موجودی دارایی ها در PRX شرکت.</t>
  </si>
  <si>
    <t>مدیریت سرمایه گذاری</t>
  </si>
  <si>
    <t>11</t>
  </si>
  <si>
    <t>پیگیری و بررسی عملکرد شبکه فروش.</t>
  </si>
  <si>
    <r>
      <t xml:space="preserve">شماره سند: </t>
    </r>
    <r>
      <rPr>
        <b/>
        <sz val="18"/>
        <rFont val="Arial Narrow"/>
        <family val="2"/>
      </rPr>
      <t>DI-FO-046-00</t>
    </r>
  </si>
  <si>
    <t>1- عنوان برنامه: راه اندازی معاملات آپشن به صورت برون سپاری</t>
  </si>
  <si>
    <t>3- شماره برنامه: 1</t>
  </si>
  <si>
    <t>6-هدف برنامه:  کسب بازدهی بالاتر از صندوق های درآمد ثابت با تحمل ریسک مشابه از طریق معاملات آپشن</t>
  </si>
  <si>
    <t>2- مدیر پروژه:  مدیریت سرمایه گذاری</t>
  </si>
  <si>
    <t>4- وزن  برنامه: 5</t>
  </si>
  <si>
    <t>5-تاريخ شروع:  1405/01/01</t>
  </si>
  <si>
    <t>7- تاریخ خاتمه:  1405/08/30</t>
  </si>
  <si>
    <t>عقد قرارداد</t>
  </si>
  <si>
    <t>1- عنوان برنامه: برون سپاری واحد تحلیل</t>
  </si>
  <si>
    <t>3- شماره برنامه: 2</t>
  </si>
  <si>
    <t>6-هدف برنامه:  تقویت بنیه تحلیلی واحد برای انتخاب بهینه سهام</t>
  </si>
  <si>
    <t>انتخاب فرد یا شرکت خدمات دهنده</t>
  </si>
  <si>
    <t>مذاکره با افراد و شرکتهای منتخب جهت اخذ پروپوزال</t>
  </si>
  <si>
    <t>نامه نگاری با افراد یا شرکتها جهت اخذ پروپوزال</t>
  </si>
  <si>
    <t xml:space="preserve">1- عنوان برنامه: راه اندازی پایگاه داده صندوقهای درآمد ثابت </t>
  </si>
  <si>
    <t>3- شماره برنامه: 3</t>
  </si>
  <si>
    <t>6-هدف برنامه: انتخاب بهترین صندوقهای درآمد ثابت از حیث بازدهی برای سرمایه گذاری منابع نقد شرکت و کسب بالاترین بازدهی ممکن</t>
  </si>
  <si>
    <t>7- تاریخ خاتمه:  1405/06/31</t>
  </si>
  <si>
    <t>تهیه فهرست صندوقها</t>
  </si>
  <si>
    <t>ساخت فایل اکسل یا نرم افزار دیگر برای استخراج اطلاعات از سایت بورس</t>
  </si>
  <si>
    <t>تهیه برنامه اجرایی استفاده از خروجی فایل</t>
  </si>
  <si>
    <t xml:space="preserve">1- عنوان پروژه :تولید بخش طبقه بندی مطالبات(تجزیه سنی) بر اساس آئین نامه 101 مبتنی بر BI </t>
  </si>
  <si>
    <t xml:space="preserve">6-هدف برنامه:  </t>
  </si>
  <si>
    <t xml:space="preserve">2- مدیر پروژه :  مدیر مالی </t>
  </si>
  <si>
    <t xml:space="preserve">3- عنوان برنامه:  </t>
  </si>
  <si>
    <t>7-تاريخ شروع :    1405/02/01</t>
  </si>
  <si>
    <t>طراحی فرمت اکسل بابت طبقه بندی مطالبات بر اساس آئین نامه 101</t>
  </si>
  <si>
    <t>مالی IT</t>
  </si>
  <si>
    <t>طراحی و راه اندازی bi مطابق با آیین نامه 101</t>
  </si>
  <si>
    <t>IT</t>
  </si>
  <si>
    <t xml:space="preserve">کنترل و ارزیابی با داده های واقعی </t>
  </si>
  <si>
    <t xml:space="preserve">مالی </t>
  </si>
  <si>
    <t xml:space="preserve">بهره برداری رسمی و پایش عملکرد </t>
  </si>
  <si>
    <t xml:space="preserve">1- عنوان پروژه :ایجاد امکان ارسال صورتحساب الکترونیکی حواله های کارشناسی خسارت از طریق فناوران  </t>
  </si>
  <si>
    <t>7-تاريخ شروع :    1405/04/01</t>
  </si>
  <si>
    <t>توجیه و ثبت نام کارشناسان</t>
  </si>
  <si>
    <t>آموزش کارشناسان</t>
  </si>
  <si>
    <t xml:space="preserve">مالی -آموزش </t>
  </si>
  <si>
    <t xml:space="preserve">ثبت توسط واحد های فنی </t>
  </si>
  <si>
    <t xml:space="preserve">مالی - فنی </t>
  </si>
  <si>
    <t xml:space="preserve">ایجاد تغییرات لازم در سامانه فن اوران </t>
  </si>
  <si>
    <t>تولید صورتحساب در سامانه فناوران و ثبت آن توسط شبکه فروش در سامانه معاملات فصلی سازمان مالیاتی</t>
  </si>
  <si>
    <t>مالی</t>
  </si>
  <si>
    <t>1- عنوان پروژه :ایجاد امکان تولید صورتحساب‌های اجباری بصورت اتوماتیک بر مبنای صدور بیمه نامه در پایان هر ماه در سامانه فن آوران</t>
  </si>
  <si>
    <t xml:space="preserve">طراحی فرمت اکسل بابت صورتحساب‌های اجباری  بر مبنای صدور بیمه نامه </t>
  </si>
  <si>
    <t>1- عنوان پروژه :ایجاد زیر ساخت تولید شناسه منحصر به فرد برای بیمه گذاران دارای یک کد اقتصادی با کدهای شعب متفاوت در سامانه فن آوران در زمان ارسال صورتحساب الکترونیکی</t>
  </si>
  <si>
    <t>طراحی اکسل با فرمت شناسه منحصر به فرد برای بیمه گذاران دارای یک کد اقتصادی با کدهای شعب متفاوت</t>
  </si>
  <si>
    <t>مالی -IT-فنی</t>
  </si>
  <si>
    <t>ایجاد تغییرات لازم در سامانه فناوران - تغییر در بیمه گذاران با کد اقتصادی یکسان</t>
  </si>
  <si>
    <t>مالی4</t>
  </si>
  <si>
    <t xml:space="preserve">1- عنوان پروژه :ایجاد بایگانی داده متمرکز اسناد و صورتحسابهای پرداختی(بایگانی سیستمی) </t>
  </si>
  <si>
    <t>8- تاریخ خاتمه :  1405/05/31</t>
  </si>
  <si>
    <t xml:space="preserve">بررسی اسناد و مدارک مربوطه </t>
  </si>
  <si>
    <t xml:space="preserve">جمع آوری داده های و بایگانی ها و مترکز کردن آنها </t>
  </si>
  <si>
    <t>مالی5</t>
  </si>
  <si>
    <t xml:space="preserve">1- عنوان پروژه :محاسبه کارمزد بر مبنای صدور کنترل هزینه کارمزد با بودجه </t>
  </si>
  <si>
    <t>7-تاريخ شروع :    1405/06/01</t>
  </si>
  <si>
    <t>8- تاریخ خاتمه :  1405/11/30</t>
  </si>
  <si>
    <t xml:space="preserve">طراحی فرمت اکسل بابت محاسبه کارمزد بر مبنای صدور کنترل هزینه کارمزد با بودجه </t>
  </si>
  <si>
    <t>مالی -IT</t>
  </si>
  <si>
    <t>ایجاد تغییرات لازم در سامانه فناوران</t>
  </si>
  <si>
    <t xml:space="preserve">محاسبه هزینه کارمزد و تطبیق با بودجه </t>
  </si>
  <si>
    <t>1- عنوان پروژه : ایجاد امکان محاسبه کارمزد روزانه در سامانه فن آوران</t>
  </si>
  <si>
    <t>طراحی فرمت اکسل بابت محاسبه  کارمزد روزانه</t>
  </si>
  <si>
    <t>ایجاد امکان محاسبه در سامانه فناوران</t>
  </si>
  <si>
    <t>1- عنوان پروژه : استقرار سامانه یکپارچه نقدینگی و تطبیق وجوه</t>
  </si>
  <si>
    <t>6-هدف برنامه:  مدیریت بهینه جریان‌های نقدی شرکت (ورودی‌ها و خروجی‌ها)، افزایش دقت و سرعت در تطبیق وجوه دریافتی و پرداختی و    کاهش خطاهای انسانی در فرایندهای مالی، کاهش محسوس مغایرت‌ها و تسریع در تصمیم‌گیری مالی،  داشبورد مدیریتی لحظه‌ای برای مدیر مالی</t>
  </si>
  <si>
    <t>2- مدیر پروژه :  مدیریت مالی</t>
  </si>
  <si>
    <t>5- وزن  برنامه:  100</t>
  </si>
  <si>
    <t>3- عنوان برنامه: استقرار سامانه یکپارچه نقدینگی و تطبیق وجوه</t>
  </si>
  <si>
    <t>7-تاريخ شروع :    1404/06/31</t>
  </si>
  <si>
    <t>13- زمان اجراي عملیات در سال 1404</t>
  </si>
  <si>
    <t>بررسی فرایندهای فعلی نقدینگی، گردش وجوه و نقاط ضعف سامانه‌های فعلی</t>
  </si>
  <si>
    <t>تدوین نیازهای نرم‌افزاری و گزارش‌های مدیریتی مورد انتظار</t>
  </si>
  <si>
    <t>مالی/فناوری اطلاعات</t>
  </si>
  <si>
    <t>مقایسه گزینه‌های نرم‌افزاری یا توسعه داخلی سیستم</t>
  </si>
  <si>
    <t>کنترل و ارزیابی</t>
  </si>
  <si>
    <t>نصب، پیکربندی و اتصال به بانک‌ها و سامانه‌های حسابداری</t>
  </si>
  <si>
    <t>آزمون صحت عملکرد، کنترل خطا و رفع مغایرت‌ها</t>
  </si>
  <si>
    <t>آموزش کاربران و تهیه راهنمای کاربری</t>
  </si>
  <si>
    <t>مالی - اموزش</t>
  </si>
  <si>
    <t xml:space="preserve">بهره‌برداری رسمی از سامانه و پایش عملکرد		</t>
  </si>
  <si>
    <t>شناسنامه شرح عملیات/ اقدامات مرتبط با برنامه عملیاتی مدیریت سال 1404و 1405</t>
  </si>
  <si>
    <t>1- عنوان پروژه :چارچوب محاسبه و صحه‌سنجی ذخایر فنی با اکچوئر رسمی</t>
  </si>
  <si>
    <t>6-هدف برنامه:  محاسبه دقیق و به‌موقع ذخایر فنی بیمه‌ای بر اساس الزامات قانونی و استانداردهای حسابداری، صحه‌سنجی محاسبات توسط اکچوئر رسمی تأییدشده بیمه مرکزی، افزایش شفافیت، انضباط و دقت در گزارش‌های مالی،  ایجاد زیرساخت تحلیلی برای مدیریت ریسک و بهبود نرخ سود و زیان بیمه‌ای</t>
  </si>
  <si>
    <t>3- عنوان برنامه:چارچوب محاسبه و صحه‌سنجی ذخایر فنی با اکچوئر رسمی</t>
  </si>
  <si>
    <t>بررسی روش‌های فعلی محاسبه ذخایر، فرمول‌ها، داده‌ها و مغایرت‌ها</t>
  </si>
  <si>
    <t>تدوین مدل محاسبه ذخایر بر اساس داده‌های تاریخی، نرخ خسارت و الزامات بیمه مرکزی</t>
  </si>
  <si>
    <t>طراحی فایل یا سامانه محاسبه خودکار ذخایر Excel  نرم‌افزار داخلی</t>
  </si>
  <si>
    <t xml:space="preserve">گردآوری داده‌های خسارت، حق بیمه، اندوخته‌ها و قراردادها از سیستم‌های عملیاتی </t>
  </si>
  <si>
    <t>اجرای مدل اکچوئری و محاسبه ذخایر فنی برای هر رشته</t>
  </si>
  <si>
    <t xml:space="preserve">  اکچوئر رسمی</t>
  </si>
  <si>
    <t xml:space="preserve">کنترل تطابق محاسبات با داده‌های مالی و بررسی مغایرت‌ها </t>
  </si>
  <si>
    <t>بهره‌برداری رسمی از سامانه و پایش عملکرد</t>
  </si>
  <si>
    <t>تأیید توسط هیئت‌مدیره و ارسال به بیمه مرکزی</t>
  </si>
  <si>
    <t>1- عنوان پروژه :  فرم پیشنهاد آنلاین بیمه نامه</t>
  </si>
  <si>
    <t>6-هدف برنامه:   فرم پیشنهاد آنلاین بیمه نامه</t>
  </si>
  <si>
    <t>3- عنوان برنامه:   فرم پیشنهاد آنلاین بیمه نامه</t>
  </si>
  <si>
    <t xml:space="preserve">7-تاريخ شروع :  1405/01/01  </t>
  </si>
  <si>
    <t>8- تاریخ خاتمه :  1405/12/28</t>
  </si>
  <si>
    <t>ایجاد فرم پیشنهاد هر بیمه نامه در سایت شرکت (هر فصل پنج فرم)</t>
  </si>
  <si>
    <t>فناوری اطلاعات و سایر مدیریت ها</t>
  </si>
  <si>
    <t>تست صحت نحوه پر شدن فرم</t>
  </si>
  <si>
    <t>ارسال فرم ها به واحد صدور مربوطه</t>
  </si>
  <si>
    <t xml:space="preserve">1- عنوان پروژه : طراحی و پیاده سازی داشبورد مطالبات جدید </t>
  </si>
  <si>
    <t>6-هدف برنامه:  طراحی و پیاده سازی داشبورد مطالبات جدید</t>
  </si>
  <si>
    <t xml:space="preserve">3- عنوان برنامه:  طراحی و پیاده سازی داشبورد مطالبات جدید </t>
  </si>
  <si>
    <t>تحلیل ساختار فعلی داشبورد</t>
  </si>
  <si>
    <t>طراحی مدل Tabular</t>
  </si>
  <si>
    <t>اضافه‌کردن Measures با بهترین روش DAX</t>
  </si>
  <si>
    <t>تست Refresh و اندازه مدل و عملکرد داشبورد</t>
  </si>
  <si>
    <t>ایجاد دسترسی و RLS و انتقال به محیط Production</t>
  </si>
  <si>
    <t xml:space="preserve">1- عنوان پروژه : فعال سازی فیچرهای پیشنهادی مدیریت اتکایی طبق درخواست </t>
  </si>
  <si>
    <t xml:space="preserve">6-هدف برنامه:  فعال سازی فیچرهای پیشنهادی مدیریت اتکایی طبق درخواست  </t>
  </si>
  <si>
    <t xml:space="preserve">3- عنوان برنامه:  فعال سازی فیچرهای پیشنهادی مدیریت اتکایی طبق درخواست </t>
  </si>
  <si>
    <t>8- تاریخ خاتمه :  1405/07/01</t>
  </si>
  <si>
    <t xml:space="preserve">ارسال درخواست به فناوران جهت ارسال فیچرهای غیرفعال </t>
  </si>
  <si>
    <t xml:space="preserve">دریافت نامه فناوران و ارسال آن به مدیریت اتکایی </t>
  </si>
  <si>
    <t xml:space="preserve">برگزاری جلسات جهت معرفی و توضیح فیچرهای جدید توسط فناوران </t>
  </si>
  <si>
    <t>فناوری اطلاعات / اتکایی</t>
  </si>
  <si>
    <t xml:space="preserve">ارسال نامه توسط مدیریت اتکایی جهت فعال سازی </t>
  </si>
  <si>
    <t xml:space="preserve">پاسخ به محاوره های ارسالی فناوران و بررسی روی برنامه تستی و تایید آن به فناوران </t>
  </si>
  <si>
    <t xml:space="preserve">فعال سازی روی برنامه آنلاین </t>
  </si>
  <si>
    <t>1- عنوان پروژه : تغییر زیرساخت فایروال شعب</t>
  </si>
  <si>
    <t>6-هدف برنامه:  استاندارد سازی شبکه شعب</t>
  </si>
  <si>
    <t>3- عنوان برنامه:  تغییر زیرساخت فایروال شعب</t>
  </si>
  <si>
    <t>خرید فایروال Fortigate برای هر شعبه</t>
  </si>
  <si>
    <t>فناوری اطلاعات - پشتیبانی</t>
  </si>
  <si>
    <t>نصب فیزیکی تجهیز در شعبه</t>
  </si>
  <si>
    <t>انتقال بستر از میکروتیک به Fortigate</t>
  </si>
  <si>
    <t>اضافه کردن تمام تجهیزات جدید در دستگاه مدیریت رخدادها</t>
  </si>
  <si>
    <t>1- عنوان پروژه : راه اندازی لینک FTTO شعب (18 شعبه)</t>
  </si>
  <si>
    <t>6-هدف برنامه:  بهبود سرعت اتصال شعب</t>
  </si>
  <si>
    <t>3- عنوان برنامه:  راه اندازی لینک FTTO شعب</t>
  </si>
  <si>
    <t>دریافت تایید از مدیرعامل محترم</t>
  </si>
  <si>
    <t>ارسال نامه درخواست و آدرس شعب به مخابرات</t>
  </si>
  <si>
    <t>پیگیری و دریافت هر لینک نصب شده از مخابرات</t>
  </si>
  <si>
    <t>انتقال از بستر اینترنت فعلی به بستر FTTO ( 18 شعبه)</t>
  </si>
  <si>
    <t>1- عنوان برنامه : پایش و نظارت بر عملکرد شعب</t>
  </si>
  <si>
    <t xml:space="preserve">3- شماره برنامه:  2 </t>
  </si>
  <si>
    <t>6-هدف برنامه:  پایش و نظارت مستمر بر عملکرد شعب بر اساس بودجه تخصیصی به‌منظور کنترل انحرافات، شناسایی علل عدم تحقق اهداف، بهبود بهره‌وری و ارتقای اثربخشی شبکه شعب</t>
  </si>
  <si>
    <t>2- مدیر پروژه :  معاونت توسعه بازار و شبکه فروش</t>
  </si>
  <si>
    <t xml:space="preserve">5-تاريخ شروع :  1405/01/01   </t>
  </si>
  <si>
    <t xml:space="preserve">7- تاریخ خاتمه :  1405/11/30 </t>
  </si>
  <si>
    <t>تخصیص بودجه شعب</t>
  </si>
  <si>
    <t>پایش عملکرد سه ماهه آخر سال 1404 شعب بر اساس بودجه</t>
  </si>
  <si>
    <t>بررسی علل عدم تحقق بودجه و ارائه راهکار (شعبه با تحقق بودجه کمتر از 60%)</t>
  </si>
  <si>
    <t>امور شعب و نمایندگان
بازاریابی</t>
  </si>
  <si>
    <t>پایش عملکرد فصلی شعب بر اساس بودجه ابلاغی 1405</t>
  </si>
  <si>
    <t>بازدید میدانی از شعب (هر ماه 3 شعبه)</t>
  </si>
  <si>
    <t>ارائه گزارش مأموریت، پیگیری رفع موانع تا حصول نتیجه</t>
  </si>
  <si>
    <t>1- عنوان برنامه : تأسیس دفاتر منطقه‌ای در شهرهای دارای پتانسیل</t>
  </si>
  <si>
    <t xml:space="preserve">3- شماره برنامه:  4 </t>
  </si>
  <si>
    <t>6-هدف برنامه:   تحلیل ظرفیت بازار، پراکندگی شعب و نمایندگان و عملکرد فروش به منظور تصمیم گیری در خصوص تأسیس باجه، دفاتر منطقه‌ای در مناطق پر بازده</t>
  </si>
  <si>
    <t xml:space="preserve">7- تاریخ خاتمه :  1405/06/31 </t>
  </si>
  <si>
    <t>مطالعه، نیازسنجی و اولویت بندی مناطق جهت تأسیس دفتر</t>
  </si>
  <si>
    <t>ارائه طرح توجیهی جهت مناطق منتخب</t>
  </si>
  <si>
    <t>اخذ تاییدیه از هیئت مدیره</t>
  </si>
  <si>
    <t>امور شعب و نمایندگان
حوزه مدیر عامل</t>
  </si>
  <si>
    <t>شناسایی متقاضیان اخذ دفتر (کارگزاران و نمایندگان منطقه)</t>
  </si>
  <si>
    <t>مصاحبه با متقاضیان</t>
  </si>
  <si>
    <t>شناسایی موقعیت جغرافیایی فضای دفاتر</t>
  </si>
  <si>
    <t>تهیه فضا و تجهیز آن</t>
  </si>
  <si>
    <t>تخصیص بودجه</t>
  </si>
  <si>
    <t>1- عنوان برنامه : تأسیس شعبه در شرق و غرب تهران</t>
  </si>
  <si>
    <t xml:space="preserve">3- شماره برنامه:  3 </t>
  </si>
  <si>
    <t>6-هدف برنامه:  تحلیل ظرفیت بازار، پراکندگی شعب و نمایندگان و عملکرد فروش به منظور تصمیم گیری در خصوص تأسیس شعبه</t>
  </si>
  <si>
    <t>ارائه طرح توجیهی تأسیس شعبه در شرق تهران</t>
  </si>
  <si>
    <t>اخذ تأییدیه از هیئت مدیره</t>
  </si>
  <si>
    <t>شناسایی موقعیت جغرافیایی فضای شعبه</t>
  </si>
  <si>
    <t>تأمین نیروی انسانی</t>
  </si>
  <si>
    <t>منابع انسانی</t>
  </si>
  <si>
    <t>ارائه طرح توجیهی تأسیس شعبه در غرب تهران</t>
  </si>
  <si>
    <t>12</t>
  </si>
  <si>
    <t>جذب 30 نماینده جنرال</t>
  </si>
  <si>
    <t>جذب 20 نماینده جنرال</t>
  </si>
  <si>
    <t>طراحی و اجرای آگهی جذب نماینده جهت انتشار در شبکه‌های اجتماعی پر بازدید بر اساس آنالیز پراکندگی</t>
  </si>
  <si>
    <t>ابلاغ به شعب</t>
  </si>
  <si>
    <t>آنالیز پراکندگی جغرافیایی</t>
  </si>
  <si>
    <t xml:space="preserve">7- تاریخ خاتمه :  1405/12/29 </t>
  </si>
  <si>
    <t>6-هدف برنامه:   گسترش کمی شبکه نمایندگان از طریق جذب هدفمند نمایندگان جدید بر اساس پراکندگی جغرافیایی و ظرفیت بازار به‌منظور افزایش پوشش فروش و توسعه بازار</t>
  </si>
  <si>
    <t xml:space="preserve">3- شماره برنامه:  6 </t>
  </si>
  <si>
    <t>1- عنوان برنامه : جذب نمایندگی و توسعه شبکه فروش</t>
  </si>
  <si>
    <t>1- عنوان برنامه : تجهیز شعب</t>
  </si>
  <si>
    <t xml:space="preserve">3- شماره برنامه:  7 </t>
  </si>
  <si>
    <t>6-هدف برنامه:  برطرف کردن نیازهای سخت افزاری شعب جهت پیش برد راحت‌تر امور محوله</t>
  </si>
  <si>
    <t>نیازسنجی از شعب</t>
  </si>
  <si>
    <t>استعلام وضعیت سیستم‌های کامپیوتری از IT</t>
  </si>
  <si>
    <r>
      <t xml:space="preserve">امور شعب و نمایندگان
</t>
    </r>
    <r>
      <rPr>
        <b/>
        <sz val="16"/>
        <rFont val="Times New Roman"/>
        <family val="1"/>
      </rPr>
      <t>IT</t>
    </r>
  </si>
  <si>
    <t>اخذ تصاویر فضای شعبه به جهت مطابقت با برندینگ شرکت</t>
  </si>
  <si>
    <t>آنالیز وضعیت شعب و ارائه درخواست رفع موارد به پشتیبانی (هر ماه 6 شعبه)</t>
  </si>
  <si>
    <t>تجهیز شعب</t>
  </si>
  <si>
    <t>1- عنوان برنامه : برگزاری جشنواره‌های فصلی فروش</t>
  </si>
  <si>
    <t>3- شماره برنامه:  1</t>
  </si>
  <si>
    <t>6-هدف برنامه:  افزایش فروش، توسعه برند و حمایت از شبکه فروش</t>
  </si>
  <si>
    <t>2- مدیر پروژه :  مدیر بازاریابی و متاقصات؛ حسن قلندری</t>
  </si>
  <si>
    <t>4- وزن  برنامه:  15</t>
  </si>
  <si>
    <t>تجزیه و تحلیل فروش رشته‌ها به تفکیک شعب کشور</t>
  </si>
  <si>
    <t>بازاریابی و مناقصات</t>
  </si>
  <si>
    <t>تعیین اهداف جشنواره</t>
  </si>
  <si>
    <t>انتخاب رشته‌های جشنواره بر اساس تحلیل‌ها</t>
  </si>
  <si>
    <t>تعیین واحدهای فروش (نماینده، کارگزار و ...) و جوایز</t>
  </si>
  <si>
    <t>طراحی جشنواره مناسب با نیازسنجی صورت پذیرفته توسط معاونت‌های فنی</t>
  </si>
  <si>
    <t>بازاریابی و مناقصات، فنی</t>
  </si>
  <si>
    <t>تهیه و تدوین محتوای تبلیغاتی و کمپین‌ها</t>
  </si>
  <si>
    <t>تشکیل کمیته راهبردی جشنواره</t>
  </si>
  <si>
    <t>ابلاغ جشنواره به شعب و شبکه فروش</t>
  </si>
  <si>
    <t>کمک و پشتیبانی شعب برای تحقق اهداف جشنواره</t>
  </si>
  <si>
    <t>بازاریابی و مناقصات، امور شعب و نمایندگان</t>
  </si>
  <si>
    <t>طراحی و ابلاغ چالش‌های میان دوره‌ای</t>
  </si>
  <si>
    <t>ارائه گزارش‌های تحلیلی از نتایج</t>
  </si>
  <si>
    <t>اختتامیه و تخصیص جوایز و اعلام برترین‌ها</t>
  </si>
  <si>
    <t>بازاریابی و مناقصات، روابط عمومی</t>
  </si>
  <si>
    <t>در خصوص جشنواره زمستان این مورد در ماه اول سال بعد انجام می‌پذیرد</t>
  </si>
  <si>
    <t>13</t>
  </si>
  <si>
    <t>تهیه و تدوین سند آموخته‌های جشنواره</t>
  </si>
  <si>
    <t>1- عنوان برنامه : انعقاد حداقل 20 تفاهم‌نامه همکاری با بیمه‌گذاران</t>
  </si>
  <si>
    <t>6-هدف برنامه:  افزایش فروش و بیمه‌گذاران کلان و سازمانی</t>
  </si>
  <si>
    <t>مذاکره با بیمه‌گذاران و کارگزاران</t>
  </si>
  <si>
    <t>متقاعدسازی بیمه‌گذاران جهت همکاری</t>
  </si>
  <si>
    <t>هماهنگی با مدیریت‌های فنی جهت دریافت نرخ و شرایط</t>
  </si>
  <si>
    <t>اخذ تائیدیه‌های فنی و حقوقی</t>
  </si>
  <si>
    <t>بازاریابی و مناقصات، حقوقی</t>
  </si>
  <si>
    <t>انعقاد و امضای تفاهم‌نامه همکاری</t>
  </si>
  <si>
    <t>پایش مستمر عملکرد و تعداد کارگزاران</t>
  </si>
  <si>
    <t>این مورد به صورت تجمیعی و در پایان سال مورد بررسی قرار می‌گیرد</t>
  </si>
  <si>
    <t>برگزاری جلسه معرفی و همکاری با کارگزاران جدید و فعلی جهت توسعه همکاری</t>
  </si>
  <si>
    <t>تهیه ارزش پیشنهادی به کارگزاران</t>
  </si>
  <si>
    <t>شناسایی و اولویت بندی کارگزاران جدید</t>
  </si>
  <si>
    <t>ارائه تعریف و دسته‌بندی کارگزاران به فعال و نیمه‌فعال</t>
  </si>
  <si>
    <t>تحلیل آماری و کمی وضعیت فعلی شبکه کارگزاران</t>
  </si>
  <si>
    <t>6-هدف برنامه:  افزایش فروش و توسعه برند</t>
  </si>
  <si>
    <t>1- عنوان برنامه : جذب کارگزاران جدید و افزایش پرتفوی کارگزاران فعلی</t>
  </si>
  <si>
    <t>بروزرسانی و تدوین دستورالعمل مناقصات و استعلامات</t>
  </si>
  <si>
    <t>تعیین کارشناس بازاریابی در هر شعبه به منظور پیگیری امور بازاریابی و مناقصات و استعلامات</t>
  </si>
  <si>
    <t>تهیه شاخص به تفکیک نماینده جهت شرکت در استعلامات و مناقصات</t>
  </si>
  <si>
    <t>هدف‌گذاری برای شعب جهت موفقیت در مناقصات و استعلامات</t>
  </si>
  <si>
    <t>تهیه لیست مناقصات و اولویت بندی</t>
  </si>
  <si>
    <t>جمع‌آوری داده‌های استعلامات و مناقصات از شعب</t>
  </si>
  <si>
    <t>6-هدف برنامه:  ساماندهی فرآیند برگزاری مناقصات و استعلامات</t>
  </si>
  <si>
    <t>1- عنوان برنامه : هدف‌مندی مناقصات</t>
  </si>
  <si>
    <t>بازاریابی و مناقصات، طرح و برنامه</t>
  </si>
  <si>
    <t>تعامل و اخذ بازخورد از شعب جهت اصلاح و اعمال پیشنهادات</t>
  </si>
  <si>
    <t>تدوین الگوی بازاریابی بر اساس بودجه شعب</t>
  </si>
  <si>
    <t>بررسی و تحلیل داده‌ها و بودجه شعب</t>
  </si>
  <si>
    <t>6-هدف برنامه:  تعیین مسیر بازاریابی جهت تحقق بودجه شعب</t>
  </si>
  <si>
    <t>1- عنوان برنامه : تدوین الگوی بازاریابی بر اساس بودجه ابلاغی شعب</t>
  </si>
  <si>
    <t>ارزیابی اولیه شعب و کیفیت و انطباق بودجه</t>
  </si>
  <si>
    <t>گزارش سه ماهه چهارم در ماه اول سال بعد ارائه می‌گردد</t>
  </si>
  <si>
    <t>ارزیابی عملکرد شعب در صرف بودجه تخصیص یافته</t>
  </si>
  <si>
    <t>گزارش و پایش مستمر شعب در صرف بودجه بازاریابی</t>
  </si>
  <si>
    <t>تدوین و ابلاغ دستورالعمل و چارچوب مصرف بودجه</t>
  </si>
  <si>
    <t>توزیع و تقسیم بودجه بازاریابی بین شعب و مدیریت‌های ستادی</t>
  </si>
  <si>
    <t>4- وزن  برنامه:  10</t>
  </si>
  <si>
    <t>6-هدف برنامه:  جذب مشتریان و پرتفوی کارگزاران برجسته</t>
  </si>
  <si>
    <t>3- شماره برنامه:  6</t>
  </si>
  <si>
    <t>1- عنوان برنامه : توزیع و ابلاغ بودجه بازاریابی به تفکیک شعب و مدیریت‌های ستادی</t>
  </si>
  <si>
    <t>1- عنوان برنامه : تهیه و تدوین مدل کسب و کار بر اساس پروژه مدیر محصول</t>
  </si>
  <si>
    <t>3- شماره برنامه:  7</t>
  </si>
  <si>
    <t>6-هدف برنامه:  آمایش سرزمین و بررسی پرتفوی بیمه‌ای استان و راهبردی در خصوص جذب آن پرتفوی</t>
  </si>
  <si>
    <t>بررسی 3 استان البرز، اصفهان و آذربایجان شرقی</t>
  </si>
  <si>
    <t>انجام تحقیقات بازار (صنعت بیمه و شرکت)</t>
  </si>
  <si>
    <t>تحلیل رقبا</t>
  </si>
  <si>
    <t>تحلیل ذی‌نفعان</t>
  </si>
  <si>
    <t>تجزیه و تحلیل تکنیک‌های بازاریابی در هر منطقه</t>
  </si>
  <si>
    <t>تهیه و تدوین سند استراتژی بازاریابی برای دسته‌‎ها</t>
  </si>
  <si>
    <t>بازاریابی و مناقصات، طرح و برنامه، فنی</t>
  </si>
  <si>
    <t>تهیه و تدوین مدل کسب و کار (بوم)</t>
  </si>
  <si>
    <t>بازاریابی و مناقصات، طرح و برنامه، فنی، امور شعب و نمایندگان</t>
  </si>
  <si>
    <t>1- عنوان برنامه : راه‌اندازی و بهره‌برداری از سامانه مناقصات</t>
  </si>
  <si>
    <t>3- شماره برنامه:  8</t>
  </si>
  <si>
    <t>6-هدف برنامه:  سیستماتیک نمودن فرآیند مناقصات</t>
  </si>
  <si>
    <t>جمع‌آوری نیازمندی‌های فنی و فرایندی سامانه</t>
  </si>
  <si>
    <t>انتخاب یا توسعه نرم‌افزار مناسب (داخلی یا خارجی)</t>
  </si>
  <si>
    <t>طراحی رابط کاربری و پایگاه داده</t>
  </si>
  <si>
    <t>استقرار سامانه در محیط تست و اجرای آزمون‌های کاربری</t>
  </si>
  <si>
    <t>آموزش فرآیند مناقصات به مدیریت‌های فنی و شعب</t>
  </si>
  <si>
    <t>فناروری اطلاعات، بازاریابی و مناقصات</t>
  </si>
  <si>
    <t>بهره‌برداری رسمی سامانه و پایش عملکرد اولیه</t>
  </si>
  <si>
    <t>اصلاحات و بهبود سامانه بر اساس بازخورد کاربران</t>
  </si>
  <si>
    <t>1- عنوان برنامه : تولید و انتشار محتوای مشتری محور در جهت بهبود فرهنگ مشتری مداری  به صورت فصلی .</t>
  </si>
  <si>
    <t>6-هدف برنامه:   ارتقای تصویر برند و افزایش آگاهی  در ارتباط با مشتری</t>
  </si>
  <si>
    <t xml:space="preserve">2- مدیر پروژه :  مدیریت امور مشتریان </t>
  </si>
  <si>
    <t xml:space="preserve">استخراج مهمترین عارضه در پاسخ دهی به مشتریان </t>
  </si>
  <si>
    <t>امور مشتریان</t>
  </si>
  <si>
    <t xml:space="preserve">تولید متن آموزشی </t>
  </si>
  <si>
    <t xml:space="preserve">امور مشتریان </t>
  </si>
  <si>
    <t>ارایه گزارش نهایی</t>
  </si>
  <si>
    <t xml:space="preserve">تحلیل نتایج </t>
  </si>
  <si>
    <t>اجرا نظرسنجی و جمع آوری داده ها</t>
  </si>
  <si>
    <t>امور مشتریان / تشکیلات و روش ها</t>
  </si>
  <si>
    <t>طراحی پرسشنامه نظرسنجی</t>
  </si>
  <si>
    <t>12- زمان اجراي عملیات در سال 1405-1406</t>
  </si>
  <si>
    <t xml:space="preserve">6-هدف برنامه:  ارتقای کیفیت فرآیند ارزیابی خسارت و ارتقا  تصویر برند </t>
  </si>
  <si>
    <t>1- عنوان برنامه : نظرسنجی از نحوه ارزیابی میزان خسارت و عملکرد ارزیاب های حقوقی خسارت اتومبیل</t>
  </si>
  <si>
    <t>تعریف سطوح طبقه‌بندی مشتریان</t>
  </si>
  <si>
    <t>تحلیل آماری و محاسبه توزیع داده‌ها</t>
  </si>
  <si>
    <t>امور مشتریان/ IT</t>
  </si>
  <si>
    <t>یکپارچه‌سازی داده‌ها</t>
  </si>
  <si>
    <t>6-هدف برنامه:  بهبود تجربه، پیش‌بینی رفتار، شخصی‌سازی تجربه مشتریان و جهت دادن به استراتژی‌های بازاریابی از طریق طبقه‌بندی مشتریان</t>
  </si>
  <si>
    <t>1- عنوان برنامه : طبقه‌بندی مشتریان براساس مدل RFML در رشته بدنه اتومبیل</t>
  </si>
  <si>
    <t>1- عنوان برنامه :  برنامه راهبردی ارتقای سطح دانش تخصصی و پیاده‌سازی نظام پاسخگویی متمرکز در مرکز تماس</t>
  </si>
  <si>
    <t>6-هدف برنامه: کاهش  ارجاع تماس به واحدهای فنی، افزایش سرعت پاسخگویی  و ارتقای رضایت مشتری از طریق تسلط کارشناسان بر پاسخ گویی فنی در رشته‌های درمان، ثالث و بدنه.</t>
  </si>
  <si>
    <t>نیازسنجی  و شناسایی نقاط ضعف کارشناسان مرکز تماس با  شناسایی دقیق سوالات پرتکرار مشتریان در رشته‌های درمان، بدنه، ثالث</t>
  </si>
  <si>
    <t xml:space="preserve">امورمشتریان/ مدیریت های اتومبیل و درمان </t>
  </si>
  <si>
    <t>برگزاری دوره آموزش تخصصی رشته ‌های ( بدنه و ثالث و درمان) : آموزش جامع مفاهیم صدور، پوشش‌ها، انواع قرارداد ها و فرآیند خسارت، بخشنامه ها ، آموزش کامل فناوران در رشته های درمان و اتومبیل</t>
  </si>
  <si>
    <t xml:space="preserve">امورمشتریان/ مدیریت های اتومبیل و درمان / مدیریت منابع انسانی </t>
  </si>
  <si>
    <t>ارزشیابی و آزمون‌: برگزاری آزمون‌های کتبی  جهت تایید صلاحیت کارشناسان برای پاسخگویی مستقل</t>
  </si>
  <si>
    <t xml:space="preserve">تدوین جزوات آموزشی به تفکیک هر رشته </t>
  </si>
  <si>
    <t>1- عنوان برنامه :نظرسنجی آنلاین فرآیند بعد از رسیدگی به شکایات</t>
  </si>
  <si>
    <t>6-هدف برنامه: استقرار نظام سنجش رضایت مشتریان جهت اطمینان از اثربخشی پاسخ‌های ارائه‌شده، تبدیل نارضایتی به وفاداری و پیشگیری از ریزش مشتریان.</t>
  </si>
  <si>
    <t>2- مدیر پروژه :  مدیریت امور مشتریان</t>
  </si>
  <si>
    <t>طراحی پرسشنامه استاندارد + متن پیامک</t>
  </si>
  <si>
    <t>ایجادفضای نظرسنجی بر روی سایت شرکت</t>
  </si>
  <si>
    <t xml:space="preserve">اتصال سامانه نظرسنجی شکایات  به نرم‌افزار  CRM برای مشاهده گزارش‌گیری </t>
  </si>
  <si>
    <t xml:space="preserve">ارسال گزارش روند رسیدگی به شکایات </t>
  </si>
  <si>
    <t>اطلاع‌رسانی به شعب و شروع استفاده از پاسخهای استاندارد</t>
  </si>
  <si>
    <t>مهندسی منوها درCRM</t>
  </si>
  <si>
    <t>تقسیم بندی و تدوین پاسخ نهایی استاندارد</t>
  </si>
  <si>
    <t xml:space="preserve">استخراج و تحلیل پاسخهای داده شده توسط شعب در نرم افزار سی ار ام </t>
  </si>
  <si>
    <t xml:space="preserve">6-هدف برنامه: یکپارچه‌سازی  و استانداردسازی پاسخ‌ها در سامانه CRM  توسط مدیران شعب جهت جلوگیری از ارسال پاسخ های غیر استاندارد </t>
  </si>
  <si>
    <t>1- عنوان برنامه : استقرار نظام یکپارچه‌سازی و استانداردسازی پاسخگویی به درخواست مشتریان در سامانهCRM</t>
  </si>
  <si>
    <r>
      <t xml:space="preserve">1- عنوان پروژه : </t>
    </r>
    <r>
      <rPr>
        <sz val="12"/>
        <rFont val="B Titr"/>
        <charset val="178"/>
      </rPr>
      <t>وصول مطالبات بیمه نامه های با حق بیمه بیشتر از پانصد میلیارد ریال</t>
    </r>
  </si>
  <si>
    <r>
      <t xml:space="preserve">6-هدف برنامه:  </t>
    </r>
    <r>
      <rPr>
        <sz val="12"/>
        <rFont val="B Titr"/>
        <charset val="178"/>
      </rPr>
      <t>کاهش مطالبات و افزایش نقدینگی</t>
    </r>
  </si>
  <si>
    <r>
      <t xml:space="preserve">2- مدیر پروژه :  </t>
    </r>
    <r>
      <rPr>
        <b/>
        <sz val="12"/>
        <rFont val="B Titr"/>
        <charset val="178"/>
      </rPr>
      <t>مدیریت بیمه های باربری، کشتی و هواپیما</t>
    </r>
  </si>
  <si>
    <r>
      <t xml:space="preserve">3- عنوان برنامه: </t>
    </r>
    <r>
      <rPr>
        <sz val="12"/>
        <rFont val="B Titr"/>
        <charset val="178"/>
      </rPr>
      <t xml:space="preserve">وصول مطالبات بیمه نامه های با حق بیمه بیشتر از پانصد میلیارد ریال </t>
    </r>
  </si>
  <si>
    <t>7-تاريخ شروع :    خرداد 1405</t>
  </si>
  <si>
    <t>8- تاریخ خاتمه :  اسفند 1405</t>
  </si>
  <si>
    <t xml:space="preserve">تهیه گزارشات مطالبات سنواتی مشمول مبالغ فوق			</t>
  </si>
  <si>
    <t>مدیریت باربری، کشتی و هواپیما  - مدیریت مالی</t>
  </si>
  <si>
    <t>پیگیری مطالبات مذکور مربوط به سال 1403 و 1404 و مکاتبه با بیمه گذاران و یمه گران لیدر</t>
  </si>
  <si>
    <t>ارجاع مطالبات معوق در صورت عدم تسویه ظرف مدت مقرر به مدیریت بازرسی و پیگیری ویژه و مدیریت حقوقی</t>
  </si>
  <si>
    <t>مدیریت باربری، کشتی و هواپیما - مدیریت بازرسی ویژه و پیگیری - مدیریت حقوقی</t>
  </si>
  <si>
    <t>مدیریت پیگیری و بازرسی ویژه</t>
  </si>
  <si>
    <r>
      <t xml:space="preserve">1- عنوان پروژه : </t>
    </r>
    <r>
      <rPr>
        <b/>
        <sz val="12"/>
        <rFont val="B Titr"/>
        <charset val="178"/>
      </rPr>
      <t>حل و فصل و رسیدگی به خسارات باربری بندر شهید رجائی</t>
    </r>
  </si>
  <si>
    <t>6-هدف برنامه: کنترل ضریب خسارت</t>
  </si>
  <si>
    <r>
      <t xml:space="preserve">3- عنوان برنامه: </t>
    </r>
    <r>
      <rPr>
        <sz val="12"/>
        <rFont val="B Titr"/>
        <charset val="178"/>
      </rPr>
      <t xml:space="preserve"> حل و فصل و رسیدگی به خسارات باربری بندر شهید رجائی</t>
    </r>
  </si>
  <si>
    <t>7-تاريخ شروع :    فروردین 1405</t>
  </si>
  <si>
    <t>8- تاریخ خاتمه :  شهریور 1405</t>
  </si>
  <si>
    <t>گزارش تعیین پرونده های باقیمانده از خسارت رجائی</t>
  </si>
  <si>
    <t>مدیریت باربری، کشتی و هواپیما</t>
  </si>
  <si>
    <t>رسیدگی و تعیین و تکلیف پرونده های خسارت شهید رجایی تا شش ماهه ابتدای سال 1405</t>
  </si>
  <si>
    <t xml:space="preserve">مدیریت باربری، کشتی و هواپیما </t>
  </si>
  <si>
    <t>برآورد و مختومه نمون پرونده ها</t>
  </si>
  <si>
    <t>مدیریت باربری، کشتی و هواپیما - مدیریت مالی</t>
  </si>
  <si>
    <r>
      <t xml:space="preserve">1- عنوان پروژه : </t>
    </r>
    <r>
      <rPr>
        <b/>
        <sz val="12"/>
        <rFont val="B Titr"/>
        <charset val="178"/>
      </rPr>
      <t xml:space="preserve">:  افزایش صد در صدی در تعداد شعبی که بودجه سال 1404 را محقق نمودند و رشد پرتفوی بانک تجارت  </t>
    </r>
  </si>
  <si>
    <t xml:space="preserve">6-هدف برنامه:  رشد پرتفوی بانک و شعب </t>
  </si>
  <si>
    <r>
      <t xml:space="preserve">3- عنوان برنامه: </t>
    </r>
    <r>
      <rPr>
        <sz val="12"/>
        <rFont val="B Titr"/>
        <charset val="178"/>
      </rPr>
      <t xml:space="preserve"> افزایش صد در صدی در تعداد شعبی که بودجه سال 1404 را محقق نمودند و رشد پرتفوی بانک تجارت  </t>
    </r>
  </si>
  <si>
    <t xml:space="preserve">شناسایی شعب دارای پتانسیل در رشته باربری </t>
  </si>
  <si>
    <t>مدیریت باربری، کشتی و هواپیما  - مدیریت بازاریابی</t>
  </si>
  <si>
    <t xml:space="preserve">فعال سازی پرتفوی بانک تجارت در استان های منتخب </t>
  </si>
  <si>
    <t>مدیریت باربری، کشتی و هواپیما - مدیریت بانک و بیمه</t>
  </si>
  <si>
    <t>راهبری شعب جهت بازاریابی مستمر در شعب ارزی و سرپرستی بانک تجارت و  نظارت بر عملکرد شعب منتخب و ارائه راهکار</t>
  </si>
  <si>
    <t>مدیریت باربری، کشتی و هواپیما - مدیریت بازاریابی-بانک بیمه</t>
  </si>
  <si>
    <t xml:space="preserve">حفظ شعبی که تحقق 100 درصد داشتند و رساندن شعب بالای 70 درصد تحقق بودجه به 100 درصد </t>
  </si>
  <si>
    <t xml:space="preserve">برگزاری جلسات با شعب ارزی بانک تجارت در تهران </t>
  </si>
  <si>
    <t xml:space="preserve">مدیریت باربری، کشتی و هواپیما - مدیریت بانک و بیمه </t>
  </si>
  <si>
    <t>مذاکره و برگزاری جلسات با ذینفعان و مشتریان بانک تجارت</t>
  </si>
  <si>
    <t xml:space="preserve">مدیریت باربری، کشتی و هواپیما - مدیریت بازاریابی - مدیریت بانک و بیمه </t>
  </si>
  <si>
    <t>ارائه بیمه نامه مطلوب به مشتریان این حوزه</t>
  </si>
  <si>
    <t>مدیریت بازاریابی</t>
  </si>
  <si>
    <t>مدیریت بانک و بیمه</t>
  </si>
  <si>
    <r>
      <t xml:space="preserve">1- عنوان پروژه : </t>
    </r>
    <r>
      <rPr>
        <b/>
        <sz val="12"/>
        <rFont val="B Titr"/>
        <charset val="178"/>
      </rPr>
      <t xml:space="preserve">برگزاری جلسه با پنج مشتری سازمانی جهت حفظ پرتفوی و Up Selling </t>
    </r>
  </si>
  <si>
    <t>6-هدف برنامه:  ماندگاری مشتریان بزرگ سازمانی و افزایش پرتفوی</t>
  </si>
  <si>
    <r>
      <t xml:space="preserve">3- عنوان برنامه: </t>
    </r>
    <r>
      <rPr>
        <sz val="12"/>
        <rFont val="B Titr"/>
        <charset val="178"/>
      </rPr>
      <t>برگزاری جلسه با پنج مشتری سازمانی جهت حفظ پرتفوی و Up Selling</t>
    </r>
  </si>
  <si>
    <t>7-تاريخ شروع :    اردیبهشت 1405</t>
  </si>
  <si>
    <t xml:space="preserve">	شناسایی مشتریان منتخب</t>
  </si>
  <si>
    <t>مدیریت باربری، کشتی و هواپیما - مدیریت بازاریابی</t>
  </si>
  <si>
    <t xml:space="preserve">بازدید از پنج مشتری سازمانی با هدف مشتری مداری و افزایش میزان فروش </t>
  </si>
  <si>
    <t>مشاوره و ارائه خدمات ارزش افزوده نظیر ارزش گذاری دارایی</t>
  </si>
  <si>
    <t>طراحی پکیج بیمه ای مرتبط با توجه به نیاز مشتری</t>
  </si>
  <si>
    <t>مدیریت باربری، کشتی و هواپیما - مدیران فنی</t>
  </si>
  <si>
    <r>
      <t xml:space="preserve">1- عنوان پروژه : </t>
    </r>
    <r>
      <rPr>
        <sz val="12"/>
        <rFont val="B Titr"/>
        <charset val="178"/>
      </rPr>
      <t>توسعه همکاری با کارگزارن</t>
    </r>
  </si>
  <si>
    <r>
      <t xml:space="preserve">6-هدف برنامه:  </t>
    </r>
    <r>
      <rPr>
        <sz val="12"/>
        <rFont val="B Titr"/>
        <charset val="178"/>
      </rPr>
      <t>رشد پرتفوی صادره از طریق کارگزاران</t>
    </r>
  </si>
  <si>
    <r>
      <t xml:space="preserve">3- عنوان برنامه: </t>
    </r>
    <r>
      <rPr>
        <sz val="12"/>
        <rFont val="B Titr"/>
        <charset val="178"/>
      </rPr>
      <t xml:space="preserve"> توسعه همکاری با کارگزارن </t>
    </r>
  </si>
  <si>
    <t>7-تاريخ شروع :    1405/03/01</t>
  </si>
  <si>
    <t xml:space="preserve">برگزاری جلسات با کارگزاران فعال با هدف توسعه همکاری و افزایش پنجاه درصدی پرتفوی فعلی </t>
  </si>
  <si>
    <t xml:space="preserve">	دعوت به همکاری از کارگزاران جدید رشته های این مدیریت و برگزاری جلسات بازاریابی </t>
  </si>
  <si>
    <t xml:space="preserve">مدیریت باربری، کشتی و هواپیما - مدیریت بازریابی </t>
  </si>
  <si>
    <t xml:space="preserve">معرفی به مدیر بازاریابی جهت همکاری و انعقاد تفاهم نامه </t>
  </si>
  <si>
    <r>
      <t xml:space="preserve">1- عنوان پروژه : </t>
    </r>
    <r>
      <rPr>
        <b/>
        <sz val="12"/>
        <rFont val="B Titr"/>
        <charset val="178"/>
      </rPr>
      <t xml:space="preserve">جاری سازی صلاحیت حرفه ای فنی کارشناسان شعب (مدل شایستگی) </t>
    </r>
  </si>
  <si>
    <t>6-هدف برنامه:  ارتقای سطح کارشناسان شعب</t>
  </si>
  <si>
    <r>
      <t xml:space="preserve">3- عنوان برنامه: </t>
    </r>
    <r>
      <rPr>
        <sz val="12"/>
        <rFont val="B Titr"/>
        <charset val="178"/>
      </rPr>
      <t xml:space="preserve"> جاری سازی صلاحیت حرفه ای فنی کارشناسان شعب (مدل شایستگی) </t>
    </r>
  </si>
  <si>
    <t>برنامه‌ریزی و برگزاری یک دوره بازدید کارگاهی برای کارشناسان درجه A  و یک نفر از کارشناسان درجه B در رشته باربری و کشتی</t>
  </si>
  <si>
    <t>مدیریت باربری، کشتی و هواپیما - مدیریت منابع انسانی</t>
  </si>
  <si>
    <t xml:space="preserve">برگزاری 4 جلسه آموزشی آنلاین برای کارشناسان درجه A  با موضوع پرونده‌خوانی به صورت Case Study و مباحث اتکایی </t>
  </si>
  <si>
    <t xml:space="preserve">مدیریت باربری، کشتی و هواپیما - مدیریت منابع انسانی - مدیریت اتکائی </t>
  </si>
  <si>
    <t xml:space="preserve">انتخاب رابطین ستاد از کارشناسان درجه A   در شعب منتخب و اعطای محدود سرپرستی یک یا چند شعبه به کارشناسان رابط </t>
  </si>
  <si>
    <t>مدیریت باربری، کشتی و هواپیما - مدیریت امور شعب و نمایندگان</t>
  </si>
  <si>
    <t>برگزاری 5 جلسه آموزشی بصورت آنلاین برای کارشناسان درجه B جهت ارتقا حداقل ده درصد از کارشناسان به درجه A</t>
  </si>
  <si>
    <t xml:space="preserve">مدیریت باربری، کشتی و هواپیما - مدیریت منابع انسانی </t>
  </si>
  <si>
    <t>برگزاری جلسات آموزشی تئوریک و آیین‌نامه خوانی برای کارشناسان درجه C توسط کارشناسان گروه A</t>
  </si>
  <si>
    <t xml:space="preserve">تشکیل گروه شبکه اجتماعی به منظور ارائه منابع آموزشی و اطلاع رسانی  </t>
  </si>
  <si>
    <t xml:space="preserve">برگزاری آزمون پایان دوره از کارشناسان درجه A و B با هدف سنجش و ارزیابی مجدد کارشناسان و ارتقای 20 درصد از B به A و 10 درصد از C به B  </t>
  </si>
  <si>
    <t>مدیریت منابع انسانی</t>
  </si>
  <si>
    <t>مدیریت امور شعب و نمایندگان</t>
  </si>
  <si>
    <t>مدیریت اتکائی</t>
  </si>
  <si>
    <t>مدیریت باربری، کشتی و هواپیما  - مدیران فنی</t>
  </si>
  <si>
    <t>برگزاری جلسه با مدیر پروژه و همکاران به منظور تبیین و تعیین اهداف و برنامه های مدل کسب و کار</t>
  </si>
  <si>
    <t>تبیین  مدل کسب و کار با شعبه رابط</t>
  </si>
  <si>
    <t>بررسی ظرفیت شعب جهت انتخاب شعبه دارای پتانسیل  اجرای مدیریت محصول (اختصاصی)</t>
  </si>
  <si>
    <t>بررسی ظرفیت شعب جهت انتخاب شعبه دارای پتانسیل  اجرای مدیریت محصول (عمومی)</t>
  </si>
  <si>
    <r>
      <t xml:space="preserve">3- عنوان برنامه: </t>
    </r>
    <r>
      <rPr>
        <sz val="12"/>
        <rFont val="B Titr"/>
        <charset val="178"/>
      </rPr>
      <t xml:space="preserve"> اجرای مدل بوم و کسب و کار و مدیریت محصول در شعب منتخب</t>
    </r>
  </si>
  <si>
    <t>6-هدف برنامه: ارتقا ظرفیت و تحقق بودجه شعب</t>
  </si>
  <si>
    <r>
      <t xml:space="preserve">1- عنوان پروژه : </t>
    </r>
    <r>
      <rPr>
        <b/>
        <sz val="12"/>
        <rFont val="B Titr"/>
        <charset val="178"/>
      </rPr>
      <t>اجرای مدل بوم و کسب و کار و مدیریت محصول در شعب منتخب</t>
    </r>
  </si>
  <si>
    <t>1- عنوان برنامه :جاری سازی صلاحیت حرفه ای فنی کارشناسان شعب</t>
  </si>
  <si>
    <t>6-هدف برنامه:  ارتقا سطح دانش و مهارت فنی کارشناسان  شعب</t>
  </si>
  <si>
    <t>2- مدیر پروژه :  مدیریت بیمه های اتومبیل</t>
  </si>
  <si>
    <t>5-تاريخ شروع :    خرداد 1405</t>
  </si>
  <si>
    <t xml:space="preserve">7- تاریخ خاتمه : اسفند 1405 </t>
  </si>
  <si>
    <t>برنامه‌ریزی و برگزاری یک دوره بازدید کارگاهی برای کارشناسان خسارت بدنی درجه A</t>
  </si>
  <si>
    <t>اتومبیل/مدیریت منابع انسانی</t>
  </si>
  <si>
    <t>برنامه‌ریزی و برگزاری یک دوره بازدید کارگاهی برای کارشناسان خسارت مالی درجه A</t>
  </si>
  <si>
    <t>برگزاری 4 جلسه آموزشی آنلاین برای کارشناسان خسارت درجه A  با موضوع پرونده‌خوانی به صورت Case Study</t>
  </si>
  <si>
    <t>انتخاب رابطین ستاد از کارشناسان درجه A   در شعب منتخب و اعطای محدود سرپرستی یک یا چند شعبه به کارشناسان رابط</t>
  </si>
  <si>
    <t>اتومبیل-امورشعب و نمایندگان</t>
  </si>
  <si>
    <t>برگزاری 4جلسه آموزشی بصورت آنلاین برای کارشناسان درجه B جهت ارتقا حداقل 25درصد از کارشناسان به درجه A</t>
  </si>
  <si>
    <t xml:space="preserve">برگزاری آزمون پایان دوره از کارشناسان درجه A و B با هدف سنجش و ارزیابی مجدد کارشناسان و ارتقای 10 درصد از B به A و 5 درصد از C به B  </t>
  </si>
  <si>
    <t>5-تاريخ شروع :    فروردین 1405</t>
  </si>
  <si>
    <t>اتومبیل</t>
  </si>
  <si>
    <t>اتومبیل/بازاریابی</t>
  </si>
  <si>
    <t xml:space="preserve">1- عنوان پروژه :توسعه مرکز تخصصی ارزیابی خسارت </t>
  </si>
  <si>
    <t>6-هدف برنامه: کاهش متوسط زمان ارزیابی خسارت</t>
  </si>
  <si>
    <t>2- مدیر پروژه :  مدیریت بیمه‌های اتومبیل</t>
  </si>
  <si>
    <t>3- عنوان برنامه: توسعه مرکز تخصصی ارزیابی خسارت</t>
  </si>
  <si>
    <t>7-تاريخ شروع :   فروردین1405</t>
  </si>
  <si>
    <t>اضافه نمودن استان ها به مرکز تخصصی خسارت</t>
  </si>
  <si>
    <t>اتومبیل/ ای تی/امور مشتریان</t>
  </si>
  <si>
    <t>پایش و ارزیابی عملکرد</t>
  </si>
  <si>
    <t xml:space="preserve">اتومبیل </t>
  </si>
  <si>
    <t>ساماندهی ارزیابان خسارت</t>
  </si>
  <si>
    <t>1- عنوان برنامه :افزایش 10 درصدی  شعب محقق کننده بودجه 1404 درسال 1405</t>
  </si>
  <si>
    <t>6-هدف برنامه:  کمک به تحقق اهداف درآمدی و سودآوری شرکت،ایجاد انگیزه و رقابت سازنده بین شعب</t>
  </si>
  <si>
    <t>شناسایی شعب منتخب در راستای جاری سازی مدل کسب و کار</t>
  </si>
  <si>
    <t>شناسایی ظرفیت بازار هر شعبه منتخب</t>
  </si>
  <si>
    <t>لینک کارشناس رتبه A به شعب منتخب</t>
  </si>
  <si>
    <t>تدوین ارزش پیشنهادی و تشویقی</t>
  </si>
  <si>
    <t>مدیریت مهندسی و انرژی-مدیریتهای فنی</t>
  </si>
  <si>
    <t xml:space="preserve"> برگزاری جلسه با مدیر پروژه و همکاران و تعیین اهداف و برنامه های مدل کسب و کار</t>
  </si>
  <si>
    <t>مدیرت مهندسی-مدیریت امور شعب</t>
  </si>
  <si>
    <t xml:space="preserve"> تبیین  مدل کسب و کار با شعبه رابط</t>
  </si>
  <si>
    <t>مدیریت مهندسی و انرژی</t>
  </si>
  <si>
    <t xml:space="preserve"> بررسی ظرفیت شعب جهت انتخاب شعبه دارای پتانسیل  اجرای مدیریت محصول (اختصاصی)</t>
  </si>
  <si>
    <t xml:space="preserve"> بررسی ظرفیت شعب جهت انتخاب شعبه دارای پتانسیل  اجرای مدیریت محصول (عمومی)</t>
  </si>
  <si>
    <r>
      <t xml:space="preserve">3- عنوان برنامه:  </t>
    </r>
    <r>
      <rPr>
        <sz val="14"/>
        <rFont val="B Nazanin"/>
        <charset val="178"/>
      </rPr>
      <t>اجرای مدل بوم و کسب و کار و مدیریت محصول در شعب منتخب</t>
    </r>
  </si>
  <si>
    <t>2- مدیر پروژه :  مدیریت بیمه های مهندسی و انرژی</t>
  </si>
  <si>
    <t>6-هدف برنامه:  کسب درامد و تحقق پرتفو</t>
  </si>
  <si>
    <r>
      <t>1- عنوان پروژه :</t>
    </r>
    <r>
      <rPr>
        <sz val="14"/>
        <rFont val="B Nazanin"/>
        <charset val="178"/>
      </rPr>
      <t>اجرای مدل بوم و کسب و کار و مدیریت محصول در شعب منتخب</t>
    </r>
  </si>
  <si>
    <r>
      <t>1- عنوان پروژه :</t>
    </r>
    <r>
      <rPr>
        <sz val="14"/>
        <rFont val="B Nazanin"/>
        <charset val="178"/>
      </rPr>
      <t xml:space="preserve">برگزاری جلسه با پنج مشتری سازمانی جهت حفظ و افزایش پرتفوی </t>
    </r>
  </si>
  <si>
    <t>6-هدف برنامه:  حفظ مشتریان فعلی و افزایش درآمد</t>
  </si>
  <si>
    <t>2- مدیر پروژه :  مدیریت مهندسی و انرژی</t>
  </si>
  <si>
    <r>
      <t xml:space="preserve">3- عنوان برنامه: </t>
    </r>
    <r>
      <rPr>
        <sz val="14"/>
        <rFont val="B Nazanin"/>
        <charset val="178"/>
      </rPr>
      <t xml:space="preserve"> برگزاری جلسه با پنج مشتری سازمانی جهت حفظ و افزایش پرتفوی </t>
    </r>
  </si>
  <si>
    <t xml:space="preserve"> شناسایی مشتریان منتخب</t>
  </si>
  <si>
    <t xml:space="preserve"> بازدید و جلسه با پنج مشتری سازمانی با هدف مشتری مداری و افزایش میزان فروش </t>
  </si>
  <si>
    <r>
      <t>1- عنوان پروژه :</t>
    </r>
    <r>
      <rPr>
        <sz val="14"/>
        <rFont val="B Nazanin"/>
        <charset val="178"/>
      </rPr>
      <t>توسعه همکاری با کارگزاران</t>
    </r>
  </si>
  <si>
    <t>6-هدف برنامه:  حفظ ارتباطات با کارگزاران و افزایش درآمد</t>
  </si>
  <si>
    <r>
      <t xml:space="preserve">3- عنوان برنامه:  </t>
    </r>
    <r>
      <rPr>
        <b/>
        <sz val="14"/>
        <rFont val="B Nazanin"/>
        <charset val="178"/>
      </rPr>
      <t>توسعه همکاری با کارگزاران</t>
    </r>
  </si>
  <si>
    <t xml:space="preserve"> برگزاری جلسات با کارگزاران فعال با هدف توسعه همکاری و افزایش  پرتفوی فعلی </t>
  </si>
  <si>
    <t xml:space="preserve">  شروع همکاری با ارائه بیمه نامه و خدمات ویژه بیمه ای </t>
  </si>
  <si>
    <t xml:space="preserve"> معرفی به مدیر بازاریابی جهت همکاری و انعقاد تفاهم نامه </t>
  </si>
  <si>
    <t>مدیریت بازاریابی و مناقصات</t>
  </si>
  <si>
    <t>مدیریت مهندسی وانرژی- مدیریت منابع انسانی</t>
  </si>
  <si>
    <t xml:space="preserve">برگزاری آزمون پایان دوره از کارشناسان درجه A و B با هدف سنجش و ارزیابی مجدد کارشناسان و ارتقای 10 درصد از B به A و 20 درصد از C به B  </t>
  </si>
  <si>
    <t>مدیریت مهندسی وانرژی</t>
  </si>
  <si>
    <t xml:space="preserve"> تشکیل گروه شبکه اجتماعی به منظور ارائه منابع آموزشی و اطلاع رسانی  </t>
  </si>
  <si>
    <t xml:space="preserve">برگزاری جلسات آموزشی تئوریک و آیین‌نامه خوانی برای کارشناسان درجه C توسط کارشناسان گروه A </t>
  </si>
  <si>
    <t xml:space="preserve"> برگزاری 5 جلسه آموزشی بصورت آنلاین برای کارشناسان درجه B جهت ارتقا حداقل ده درصد از کارشناسان به درجه A</t>
  </si>
  <si>
    <t>مدیریت مهندسی وانرژی- مدیریت منابع انسانی- مدیریت امور شعب و نمایندگان</t>
  </si>
  <si>
    <t xml:space="preserve"> انتخاب رابطین ستاد از کارشناسان درجه A   در شعب منتخب و اعطای محدود سرپرستی یک یا چند شعبه به کارشناسان رابط </t>
  </si>
  <si>
    <t>مدیریت مهندسی وانرژی- مدیریت منابع انسانی- مدیریت اتکایی</t>
  </si>
  <si>
    <t xml:space="preserve"> برگزاری 4 جلسه آموزشی آنلاین برای کارشناسان درجه A  با موضوع پرونده‌خوانی به صورت Case Study و مباحث اتکایی </t>
  </si>
  <si>
    <t xml:space="preserve"> برنامه‌ریزی و برگزاری یک دوره بازدید کارگاهی برای کارشناسان درجه A  و یک نفر از کارشناسان درجه B در رشته مهندسی</t>
  </si>
  <si>
    <t xml:space="preserve">8- تاریخ خاتمه : 1405/12/29 </t>
  </si>
  <si>
    <t xml:space="preserve">7-تاريخ شروع : 1405/01/01   </t>
  </si>
  <si>
    <r>
      <t xml:space="preserve">3- عنوان برنامه:  </t>
    </r>
    <r>
      <rPr>
        <sz val="14"/>
        <rFont val="B Nazanin"/>
        <charset val="178"/>
      </rPr>
      <t>جاری سازی صلاحیت حرفه ای فنی کارشناسان شعب (مدل شایستگی)</t>
    </r>
  </si>
  <si>
    <r>
      <t xml:space="preserve">6-هدف برنامه: </t>
    </r>
    <r>
      <rPr>
        <b/>
        <sz val="14"/>
        <rFont val="B Nazanin"/>
        <charset val="178"/>
      </rPr>
      <t xml:space="preserve"> کارایی برنامه های آموزشی با توجه به سطح بندی کارشناسان 
-افزایش انگیزه کارکنان برای ارتقا و کسب مزایای ناشی از آن</t>
    </r>
  </si>
  <si>
    <r>
      <t xml:space="preserve">1- عنوان پروژه : </t>
    </r>
    <r>
      <rPr>
        <sz val="14"/>
        <rFont val="B Nazanin"/>
        <charset val="178"/>
      </rPr>
      <t>جاری سازی صلاحیت حرفه ای فنی کارشناسان شعب (مدل شایستگی)</t>
    </r>
  </si>
  <si>
    <r>
      <t>1- عنوان پروژه :</t>
    </r>
    <r>
      <rPr>
        <sz val="14"/>
        <rFont val="B Nazanin"/>
        <charset val="178"/>
      </rPr>
      <t xml:space="preserve">وصول مطالبات بیمه نامه های با حق بیمه بیشتر از پانصد میلیارد ریال </t>
    </r>
  </si>
  <si>
    <t>6-هدف برنامه:  کاهش حجم مطالبات و کمک به جریان ورودی نقدی شرکت</t>
  </si>
  <si>
    <r>
      <t xml:space="preserve">3- عنوان برنامه: </t>
    </r>
    <r>
      <rPr>
        <b/>
        <sz val="14"/>
        <rFont val="B Nazanin"/>
        <charset val="178"/>
      </rPr>
      <t xml:space="preserve"> وصول مطالبات بیمه نامه های با حق بیمه بیشتر از پانصد میلیارد ریال </t>
    </r>
  </si>
  <si>
    <t xml:space="preserve">تهیه گزارشات مطالبات سنواتی  بالای 500 میلیارد ریال </t>
  </si>
  <si>
    <t>تهیه صورت وضعیت فنی و مالی هر بیمه نامه</t>
  </si>
  <si>
    <t>مدیریت مهندسی و انرژی- مدیریت مالی</t>
  </si>
  <si>
    <t xml:space="preserve">مکاتبه با بیمه گذاران یا بیمه گران لیدر جهت تسویه مطالبات </t>
  </si>
  <si>
    <t>ثبت اسناد مالی حق بیمه های دریافتی</t>
  </si>
  <si>
    <t xml:space="preserve">ارجاع مطالبات معوق مستقیم در صورت عدم تسویه ظرف مهلت مقرر به مدیریت بازرسی و پیگیری ویژه و مدیریت حقوقی </t>
  </si>
  <si>
    <t>مدیریت بازرسی و پیگیری ویژه</t>
  </si>
  <si>
    <t>مدیریت مسئولیت- مدیریت منابع انسانی</t>
  </si>
  <si>
    <t>مدیریت مسئولیت</t>
  </si>
  <si>
    <t xml:space="preserve">	برگزاری 4جلسه آموزشی آنلاین برای کارشناسان درجه A  با موضوع پرونده های خسارت   </t>
  </si>
  <si>
    <t xml:space="preserve">برنامه‌ریزی و برگزاری یک دوره کارگاهی برای کارشناسان درجه A  و یک نفر از کارشناسان درجه B </t>
  </si>
  <si>
    <t>2- مدیر پروژه :  مدیریت بیمه های مسئولیت و طرحهای خاص</t>
  </si>
  <si>
    <t>6- هدف برنامه : ارتقاء سطح فنی کارشناسان</t>
  </si>
  <si>
    <t>1- عنوان پروژه : اصلاح زیرساختهای فنی و ایجاد امکان نرخ دهی سیستمی</t>
  </si>
  <si>
    <t>6- هدف برنامه : تسهیل در صدور-کاهش خطا</t>
  </si>
  <si>
    <t xml:space="preserve">3- عنوان برنامه:  اصلاح زیرساختها </t>
  </si>
  <si>
    <t xml:space="preserve">بررسی میزان تطبیق  سیستم فناوران  با نرخنامه مصوب و مشخص نمودن مغایرتها </t>
  </si>
  <si>
    <t>مشخص نمودن سایر مشکلات سیستمی</t>
  </si>
  <si>
    <t xml:space="preserve">دسته بندی مغایرتها و مشکلات ( از منظر رفع توسط شرکت فناوران یا مدیریت بیمه های مسئولیت) </t>
  </si>
  <si>
    <t>مدیریت مسئولیت-مدیریت فناوری اطلاعات</t>
  </si>
  <si>
    <t>رفع مغایرتها و مشکلات  توسط این مدیریت در سیستم</t>
  </si>
  <si>
    <t>مکاتبه جهت رفع مغایرتها و مشکلات توسط شرکت فناوران</t>
  </si>
  <si>
    <t>رفع مغایرتها توسط شرکت فناوران</t>
  </si>
  <si>
    <t>مدیریت فناوری اطلاعات</t>
  </si>
  <si>
    <t xml:space="preserve">مدیریت فناوری اطاعات </t>
  </si>
  <si>
    <t xml:space="preserve">
</t>
  </si>
  <si>
    <t>1- عنوان پروژه : نظام مند سازی فرآیند رسیدگی و پرداخت خسارات</t>
  </si>
  <si>
    <t>6- هدف برنامه : تعیین تکلیف پرونده های خسارت</t>
  </si>
  <si>
    <t>3- عنوان برنامه:  نظام مند سازی فرآیند رسیدگی و پرداخت خسارات</t>
  </si>
  <si>
    <t xml:space="preserve">	دسته بندی شعب از منظر عملکرد فنی و نیاز به ساماندهی پرونده های خسارت</t>
  </si>
  <si>
    <t xml:space="preserve">	بازدید دوره ای از شعب به ترتیب اولویت مشخص شده به منظور کاهش مغایرتها با دستورالعملهای مربوطه</t>
  </si>
  <si>
    <t>مدیریت مسئولیت-</t>
  </si>
  <si>
    <t xml:space="preserve">	آموزش حین کار (حضوری و غیرحضوری) و سنجش کارکنان هر 6 ماه یکبار</t>
  </si>
  <si>
    <t>مدیریت مسئولیت-مدیریت منابع انسانی</t>
  </si>
  <si>
    <t xml:space="preserve">	گزارش گیری و بررسی جهت سنجش میزان ساماندهی و تعیین تکلیف پرونده های خسارت هر 3 ماه یکبار</t>
  </si>
  <si>
    <t xml:space="preserve"> </t>
  </si>
  <si>
    <t>1- عنوان پروژه : توسعه فروش بیمه نامه متصدیان حمل و نقل داخلی</t>
  </si>
  <si>
    <t>6- هدف برنامه : افزایش پرتفو</t>
  </si>
  <si>
    <t>3- عنوان برنامه:  افزایش فروش بیمه نامه متصدیان حمل و نقل داخلی</t>
  </si>
  <si>
    <t>مذاکره با عامل فروش در هر استان</t>
  </si>
  <si>
    <t>ارزیابی میزان پرتفو و سود آوری از منظر مطلوبیت ریسک</t>
  </si>
  <si>
    <t>بررسی شرایط و درخواست عامل فروش</t>
  </si>
  <si>
    <t>ارائه گزارش در خصوص مطلوبیت ریسک و شرایط  مورد درخواست عامل فروش به معاون محترم فنی جهت اخذ تاییدیه صدور</t>
  </si>
  <si>
    <t xml:space="preserve">صدور بیمه نامه   </t>
  </si>
  <si>
    <t>1- عنوان پروژه : محصول جدید بیمه نامه تصدیق</t>
  </si>
  <si>
    <t>6- هدف برنامه : افزایش پرتفو-افزایش سهم از بازار</t>
  </si>
  <si>
    <t>3- عنوان برنامه:  محصول جدید بیمه نامه تصدیق</t>
  </si>
  <si>
    <t>بررسی و تعیین نرخ توسط اکچوئر</t>
  </si>
  <si>
    <t>مدیریت ریسک و اکچوئری</t>
  </si>
  <si>
    <t>تدوین شرایط خصوصی و عمومی</t>
  </si>
  <si>
    <t>اخذ مصوبه هیأت مدیره شرکت</t>
  </si>
  <si>
    <t>حوزه مدیرعامل</t>
  </si>
  <si>
    <t>ارسال به بیمه مرکزی جهت تأیید</t>
  </si>
  <si>
    <t xml:space="preserve">پیاده سازی در سیستم فناوران	</t>
  </si>
  <si>
    <t>76</t>
  </si>
  <si>
    <t xml:space="preserve">
مدیریت فناوری اطاعات 
</t>
  </si>
  <si>
    <t>طراحی و پیاده سازی برنامه بازدید آنلاین</t>
  </si>
  <si>
    <t>رفع ایرادات و مشکلات</t>
  </si>
  <si>
    <t xml:space="preserve">بررسی نسخه دمو </t>
  </si>
  <si>
    <t>برگزاری جلسات با شرکت پیمانکار و همکاران آی تی و اعلام موارد مورد نیاز</t>
  </si>
  <si>
    <t>بررسی و مشخص نمودن آیتمهای مورد نیاز در برنامه بازدید آنلاین</t>
  </si>
  <si>
    <t>3- عنوان برنامه:  بازدید آنلاین برای رشته متصدیان حمل و نقل داخلی</t>
  </si>
  <si>
    <t>6- هدف برنامه : تسهیل در فروش</t>
  </si>
  <si>
    <t>1- عنوان پروژه : بازدیدآنلاین برای رشته متصدیان حمل و نقل داخلی</t>
  </si>
  <si>
    <t>مدیریت آتش سوزی-بازاریابی</t>
  </si>
  <si>
    <t>مدیریت آتش سوزی</t>
  </si>
  <si>
    <t xml:space="preserve">بررسی ظرفیت شعب  اختصاصی جهت انتخاب شعبه دارای پتانسیل  اجرای مدیریت محصول </t>
  </si>
  <si>
    <t>3- عنوان برنامه:  بوم و  کسب و کارمدیریت محصول  در رشته آتش سوزی</t>
  </si>
  <si>
    <t xml:space="preserve">هدف برنامه : شد 60درصدی پرتفو نسبت به سال 1404  </t>
  </si>
  <si>
    <t xml:space="preserve">1- عنوان پروژه :بوم و  کسب و کارمدیریت محصول  در رشته آتش سوزی </t>
  </si>
  <si>
    <t xml:space="preserve">آتش سوزی -بازاریابی و منقصات </t>
  </si>
  <si>
    <t>آنالیز سوابق مناقصات و استعلامات و شناسایی اهم موارد و مذاکره با مدیریت بازاریابی</t>
  </si>
  <si>
    <t xml:space="preserve">ارائه طرح های تشویقی ویژه بیمه نامه های قابلیت تمدید </t>
  </si>
  <si>
    <t>پشتیبانی  شعب جهت بازاریابی در شعب بانک تجارت</t>
  </si>
  <si>
    <t xml:space="preserve">معرفی استان های منتخب جهت جذب پرتفوی حداکثری </t>
  </si>
  <si>
    <t xml:space="preserve">شناسایی شعب منتخب در راستای جاری سازی مدل کسب و کار </t>
  </si>
  <si>
    <t xml:space="preserve">3- عنوان برنامه:  :  افزایش پرتفو  شعب موفق به تحقق بودجه در سال 1404  در رشته آتش سوزی </t>
  </si>
  <si>
    <t xml:space="preserve">1- عنوان پروژه : افزایش پرتفو  شعب موفق به تحقق بودجه در سال 1404  در رشته آتش سوزی </t>
  </si>
  <si>
    <t>2- عنوان پروژه :  برگزاری جلسه با پنج مشتری سازمانی جهت حفظ پرتفوی وUp Selling</t>
  </si>
  <si>
    <t>3- عنوان برنامه:    برگزاری جلسه با پنج مشتری سازمانی جهت حفظ پرتفوی وUp Selling</t>
  </si>
  <si>
    <t xml:space="preserve">شناسایی مشتریان منتخب </t>
  </si>
  <si>
    <t xml:space="preserve">آتش سوزی </t>
  </si>
  <si>
    <t xml:space="preserve">بازاریابی -آتش سوزی </t>
  </si>
  <si>
    <t>بازاریابی</t>
  </si>
  <si>
    <t>مدیریت آتش سوزی -بازاریابی</t>
  </si>
  <si>
    <t>دعوت به همکاری از کارگزاران جدید رشته های این مدیریت و برگزاری جلسات بازاریابی</t>
  </si>
  <si>
    <t xml:space="preserve">مدیریت آتش سوزی </t>
  </si>
  <si>
    <t>3- عنوان برنامه:  توسعه همکاری با کارگزاران</t>
  </si>
  <si>
    <t>1- عنوان پروژه :توسعه همکاری با کارگزاران</t>
  </si>
  <si>
    <t xml:space="preserve">      1- عنوان پروژه  : جاری سازی صلاحیت حرفه ای فنی کارشناسان شعب (مدل شایستگی) </t>
  </si>
  <si>
    <t xml:space="preserve">        3- عنوان برنامه صلاحیت حرفه ای کارشناسان :  </t>
  </si>
  <si>
    <t xml:space="preserve">7-تاريخ شروع 1405/01/01:    </t>
  </si>
  <si>
    <t xml:space="preserve">8- تاریخ خاتمه : 1405/06/31 </t>
  </si>
  <si>
    <t>برنامه‌ریزی و برگزاری یک دوره بازدید کارگاهی برای کارشناسان درجه A  و یک نفر از کارشناسان درجه B در رشته آتش سوزی</t>
  </si>
  <si>
    <t xml:space="preserve">آتش سوزی -منابع انسانی </t>
  </si>
  <si>
    <t xml:space="preserve">آتش سوزی -منابع انسانی-اتکایی </t>
  </si>
  <si>
    <t xml:space="preserve">آتش سوزی -منابع انسانی-امور شعب </t>
  </si>
  <si>
    <t xml:space="preserve">برگزاری جلسات آموزشی تئوریک و آیین‌نامه خوانی برای  کارشناسان درجه C توسط کارشناسان گروه A
</t>
  </si>
  <si>
    <t>آتش سوزی -منابع انسانی</t>
  </si>
  <si>
    <t>1- عنوان پروژه :وصول مطالبات در رشته  بیمه های آتش سوزی</t>
  </si>
  <si>
    <t xml:space="preserve">6-هدف برنامه:  تسویه مطالبات و اجرای دستور العمل </t>
  </si>
  <si>
    <t>3- عنوان برنامه:  وصول مطالبات در رشته  بیمه های آتش سوزی</t>
  </si>
  <si>
    <t xml:space="preserve">تهیه گزارشات مطالبات سنواتی </t>
  </si>
  <si>
    <t>آتش سوزی</t>
  </si>
  <si>
    <t>پیگیری مطالبات مذکور مربوط به سال 1403 و 1404 و مکاتبه با بیمه گذاران و بیمه گران لیدر</t>
  </si>
  <si>
    <t>ارجاع مطالبات معوق در صورت عدم تسویه ظرف مهلت مقرر به مدیریت بازرسی و پیگیری ویژه و مدیریت حقوقی</t>
  </si>
  <si>
    <t>مدیریت بازرسی وحقوقی</t>
  </si>
  <si>
    <r>
      <t xml:space="preserve">1- عنوان پروژه : </t>
    </r>
    <r>
      <rPr>
        <sz val="12"/>
        <rFont val="B Titr"/>
        <charset val="178"/>
      </rPr>
      <t>آموزش شعب توسط اداره حقوقی در قالب مکاتبات و تدریس حقوق بیمه</t>
    </r>
  </si>
  <si>
    <t>6-هدف برنامه:  افزایش سطح دانش حقوقی همکاران شعب</t>
  </si>
  <si>
    <t>2- مدیر پروژه :  مدیریت حقوقی و امور قراردادها</t>
  </si>
  <si>
    <t>3- عنوان برنامه:  آموزش حقوقی به همکاران شعب</t>
  </si>
  <si>
    <t>7-تاريخ شروع :   فروردین 1405</t>
  </si>
  <si>
    <t>8- تاریخ خاتمه :  اسنفد 1405</t>
  </si>
  <si>
    <t>گردآوری و دسته‌بندی مطالب</t>
  </si>
  <si>
    <t>مدیریت حقوقی و امور قراردادها</t>
  </si>
  <si>
    <t>ایجاد دسترسی در سامانه مربوطه</t>
  </si>
  <si>
    <t>ارائه مکاتبات آموزشی به همکاران شعب</t>
  </si>
  <si>
    <t>تعیین زیرساخت و اعلام برگزاری دوره</t>
  </si>
  <si>
    <t>اداره آموزش</t>
  </si>
  <si>
    <t>برگزاری دوره</t>
  </si>
  <si>
    <t>مدیریت حقوقی و اداره آموزش</t>
  </si>
  <si>
    <t>برگزاری آزمون</t>
  </si>
  <si>
    <t>ارزیابی و تحلیل نتایج آزمون</t>
  </si>
  <si>
    <r>
      <t xml:space="preserve">1- عنوان پروژه : </t>
    </r>
    <r>
      <rPr>
        <sz val="12"/>
        <rFont val="B Titr"/>
        <charset val="178"/>
      </rPr>
      <t>تبدیل بایگانی فیزیکی به الکترونیک (اعم از پرونده و قرارداد)</t>
    </r>
  </si>
  <si>
    <t>6-هدف برنامه: کاهش مصرف کاغذ</t>
  </si>
  <si>
    <t>3- عنوان برنامه:  حذف بایگانی فیزیکی</t>
  </si>
  <si>
    <t>ترتیب و اولویت بندی اوراق فیزیکی</t>
  </si>
  <si>
    <t>اخذ رونوشت از فیزیک پرونده‌ها و قراردادها</t>
  </si>
  <si>
    <t>تکمیل بایگانی الکترونیک</t>
  </si>
  <si>
    <t xml:space="preserve">حذف بایگانی فیزیکی	</t>
  </si>
  <si>
    <t>مدیریت حقوقی و 
فناوری اطلاعات</t>
  </si>
  <si>
    <t>ارزیابی خروجی و رفع نواقص</t>
  </si>
  <si>
    <t>طراحی داشبورد در BI</t>
  </si>
  <si>
    <t>مدیریت حقوقی و طرح و برنامه</t>
  </si>
  <si>
    <t>تصویب نسخه تهیه شده با همکاری واحد طرح و برنامه</t>
  </si>
  <si>
    <t xml:space="preserve">مدیریت حقوقی </t>
  </si>
  <si>
    <t>تهیه نسخه اولیه در محیط اکسل برای شاخص های شناسایی شده به همراه تحلیل نموداری</t>
  </si>
  <si>
    <t xml:space="preserve">مدیریت حقوقی  </t>
  </si>
  <si>
    <t>شناسایی شاخص های آماری له و علیه به تفکیک وضعیت پرونده</t>
  </si>
  <si>
    <t>شناسایی شاخص های مورد نیاز برای ارزیابی در داشبورد</t>
  </si>
  <si>
    <t>3- عنوان برنامه:  داشبورد BI مدیریت حقوقی</t>
  </si>
  <si>
    <t>2- مدیر پروژه :  مدیریت حقوقی</t>
  </si>
  <si>
    <t>6-هدف برنامه:  ایجاد داشبورد BI مدیریت حقوقی به وسیله سامانه دادرس</t>
  </si>
  <si>
    <t>1- عنوان پروژه : داشبورد BI مدیریت حقوقی</t>
  </si>
  <si>
    <t>شناسنامه شرح عملیات/ اقدامات مرتبط با برنامه عملیاتی مدیریت سال 1404</t>
  </si>
  <si>
    <r>
      <t xml:space="preserve">1- عنوان پروژه : </t>
    </r>
    <r>
      <rPr>
        <sz val="12"/>
        <rFont val="B Titr"/>
        <charset val="178"/>
      </rPr>
      <t>منطبق سازی نحوه رسیدگی به دعاوی ماده 50 با دستورالعمل</t>
    </r>
  </si>
  <si>
    <t>6-هدف برنامه:  کاهش خطا و بار مالی در پرونده های ماده 50</t>
  </si>
  <si>
    <t>شناسایی ریسک‌های وارد بر دعاوی ماده 50 ذیل آیین‌نامه</t>
  </si>
  <si>
    <t>مدیریت‌های حقوقی و اتومبیل</t>
  </si>
  <si>
    <t>بررسی ریسک‌ها</t>
  </si>
  <si>
    <t>تصمیم‌گیری درخصوص کاهش ریسک‌ها</t>
  </si>
  <si>
    <t>ارائه نحوه برخورد با ریسک‌ها به ذی‌ربطان</t>
  </si>
  <si>
    <t>ارزیابی و درصورت لزوم بررسی مجدد</t>
  </si>
  <si>
    <t>200/000/000/000 ریال</t>
  </si>
  <si>
    <t>14 - امضاء مدیر برنامه :</t>
  </si>
  <si>
    <t>حراست-پشتیبانی-امورشعب</t>
  </si>
  <si>
    <t>کنترل دوره ای تجهیزات</t>
  </si>
  <si>
    <t>نصب و راه اندازی تجهیزات</t>
  </si>
  <si>
    <t>خرید تجهیزات مورد نیاز</t>
  </si>
  <si>
    <t>مدیریت امور شعب-پشتیبانی</t>
  </si>
  <si>
    <t>تهیه آمار تجهیزات مورد نیاز</t>
  </si>
  <si>
    <t>2- مدیر پروژه :  مدیریت حراست</t>
  </si>
  <si>
    <t>6-هدف برنامه: اطمینان از  عدم آسیب به ساختمان و تجهیزات و ملزوات اداری</t>
  </si>
  <si>
    <t>1- عنوان برنامه : ایجاد سامانه اعلام و اطفاء حریق در شعب</t>
  </si>
  <si>
    <t>20/000/000/000 ریال</t>
  </si>
  <si>
    <t>مدیریت فناوری اطلاعات-حراست</t>
  </si>
  <si>
    <t>6-هدف برنامه:  ایجاد اطمینان از ضبط تصاویر دوربین های مداربسته در خاموشی های بلند مدت</t>
  </si>
  <si>
    <t>1- عنوان برنامه : ایجاد سامانه برق اضطراری مجزا (UPS) برای دوربین های مداربسته شعب</t>
  </si>
  <si>
    <t>8/000/000/000 ریال</t>
  </si>
  <si>
    <t>بروزرسانی و تست دوره ای عملکرد شبکه</t>
  </si>
  <si>
    <t>نصب و راه اندازی شبکه سیستم ها</t>
  </si>
  <si>
    <t>مدیریت پشتیبانی-حراست</t>
  </si>
  <si>
    <t>خرید تجهیزات و پهنای باند اختصاصی</t>
  </si>
  <si>
    <t>ایجاد زیر ساخت مستقل از شبکه اینترنت شرکت</t>
  </si>
  <si>
    <t>6-هدف برنامه:  ارتقاء امنیت شبکه حراست</t>
  </si>
  <si>
    <t>1- عنوان برنامه : ایجاد خط امن و شبکه مجزا حراست</t>
  </si>
  <si>
    <t>واحد مبارزه با پولشویی_ واحد آموزش</t>
  </si>
  <si>
    <t>ارائه گواهی پایان دوره</t>
  </si>
  <si>
    <t xml:space="preserve">گزارش بازخورد و ارزیابی </t>
  </si>
  <si>
    <t>آماده سازی محتوای آموزشی و ابزارها</t>
  </si>
  <si>
    <t>طراحی قالب برگزاری(حضوری،آنلاین و یا ترکیبی)</t>
  </si>
  <si>
    <t>واحد مبارزه با پولشویی</t>
  </si>
  <si>
    <t>تعیین مدرس</t>
  </si>
  <si>
    <t>نیازسنجی و طراحی محتوا</t>
  </si>
  <si>
    <t>طبقه بندی سطوح آموزشی برای کارکنان میز خدمت و مدیران</t>
  </si>
  <si>
    <t>7- تاریخ خاتمه :  1405/06/01</t>
  </si>
  <si>
    <t>2- مدیر پروژه :  واحد مبارزه با پولشویی و تاًمین مالی تروریسم</t>
  </si>
  <si>
    <t xml:space="preserve">6-هدف برنامه: آشنایی پرسنل میز خدمت با مبانی و مفاهیم مبارزه با پولشویی و تاًمین مالی تروریسم به صورت دوره‌ای </t>
  </si>
  <si>
    <t>1- عنوان برنامه :برگزاری کارگاه‌های آموزشی مبارزه با پولشویی</t>
  </si>
  <si>
    <t>واحد مبارزه با پولشویی و تأمین مالی تروریسم_ مدیریت فناوری اطلاعات</t>
  </si>
  <si>
    <t xml:space="preserve">تدوین و ابلاغ فرم شناسایی مضاعف اشخاص حقیقی و حقوقی </t>
  </si>
  <si>
    <t>واحد مبارزه با پولشویی و تأمین مالی تروریسم_ مدیریت‌تشکیلات و روش‌ها</t>
  </si>
  <si>
    <t>7- تاریخ خاتمه :  1405/12/20</t>
  </si>
  <si>
    <t>5-تاريخ شروع :    1405/01/17</t>
  </si>
  <si>
    <t>6-هدف برنامه: تهیه و تدوین رویه‌های شناسایی مقتضی پیش از برقراری هرگونه تعامل‌کاری با ارباب‌رجوع و ارائه راهکارهای منطقی برای مدیریت ریسک</t>
  </si>
  <si>
    <t xml:space="preserve">1- عنوان برنامه : رویه های شناسایی ارباب‌رجوع </t>
  </si>
  <si>
    <t>رایگان</t>
  </si>
  <si>
    <t xml:space="preserve">مدیریت مبارزه با پولشویی </t>
  </si>
  <si>
    <t>ارائه مطالب آموزشی به رؤسای شعب (توسط مدیر مبارزه با پولشویی و تأمین مالی تروریسم)</t>
  </si>
  <si>
    <t>واحد آموزش</t>
  </si>
  <si>
    <t>هماهنگی جهت برگزاری جلسه آموزشی</t>
  </si>
  <si>
    <t>تهیه و تدوین مباحث آموزشی مورد نیاز (توسط مدیریت مبارزه با پولشویی و تأمین مالی تروریسم)</t>
  </si>
  <si>
    <t>5-تاريخ شروع :    1405/07/01</t>
  </si>
  <si>
    <t>2- مدیر پروژه :  مدیریت مبارزه با پولشویی و تأمین مالی تروریسم</t>
  </si>
  <si>
    <t>6-هدف برنامه:  ارتقاء دانش همکاران به مباحث مبارزه با پولشویی</t>
  </si>
  <si>
    <t>1- عنوان برنامه : آموزش مباحث مبارزه با پولشویی به  شعب و نمایندگان</t>
  </si>
  <si>
    <t>حسابرسی داخلی</t>
  </si>
  <si>
    <t>تکمیل چک لیست توسط رؤسای شعب (صحت سنجی توسط کارکنان حسابرسی داخلی)</t>
  </si>
  <si>
    <t>مدیریت مبارزه با پولشویی / تشکیلات و روش ها</t>
  </si>
  <si>
    <t>تهیه و تدوین چک لیست (توسط مدیریت مبارزه با پولشویی و تأمین مالی تروریسم)</t>
  </si>
  <si>
    <t>6-هدف برنامه:  اطمینان از اجرای مفاد مبارزه با پولشویی قوانین مبارزه با پولشویی و تأمین مالی تروریسم در شعب</t>
  </si>
  <si>
    <t>1- عنوان برنامه : تهیه چک لیست رعایت مفاد قانون مبارزه با پولشویی و تأمین مالی تروریسم در شعب</t>
  </si>
  <si>
    <t>1- عنوان پروژه: بیمه مرهونات مشتریان در تمامی شعب بانک</t>
  </si>
  <si>
    <t>4- شماره برنامه: 1</t>
  </si>
  <si>
    <r>
      <t>6-هدف برنامه:</t>
    </r>
    <r>
      <rPr>
        <b/>
        <sz val="10"/>
        <rFont val="B Nazanin"/>
        <charset val="178"/>
      </rPr>
      <t xml:space="preserve">  </t>
    </r>
    <r>
      <rPr>
        <b/>
        <sz val="14"/>
        <rFont val="B Nazanin"/>
        <charset val="178"/>
      </rPr>
      <t>سهولت در نحوه صدور بیمه‌نامه‌های مرهونات و جلوگیری از ریزش پرتفوی</t>
    </r>
  </si>
  <si>
    <t>2- مدیر پروژه: مدیریت بانک - بیمه</t>
  </si>
  <si>
    <t>5- وزن برنامه:  100%</t>
  </si>
  <si>
    <t>3- عنوان برنامه: بیمه مرهونات مشتریان در تمامی شعب بانک</t>
  </si>
  <si>
    <t>7-تاريخ شروع: اردیبهشت 1405</t>
  </si>
  <si>
    <t>8- تاریخ خاتمه: اسفند 1405</t>
  </si>
  <si>
    <t>ارائه برنامه پیشنهادی جهت اجرای نرم‌افزار بیمه مرهونات</t>
  </si>
  <si>
    <t>بانک-بیمه</t>
  </si>
  <si>
    <t>تهیه مستند فرآیند صدور بیمه‌های مرهونات (مسکونی، غیرصنعتی، صنعتی و انبار) از طریق API؛ آماده سازی API صدور گواهی بیمه</t>
  </si>
  <si>
    <t>بانک-بیمه و آتش‌سوزی و فناوری اطلاعات</t>
  </si>
  <si>
    <t>طراحی و پیاده‌سازی نرم‌افزار مرهونات توسط بانک مبتنی بر API های تهیه شده توسط بیمه تجارت نو</t>
  </si>
  <si>
    <t>بانک-بیمه و فناوری اطلاعات</t>
  </si>
  <si>
    <t xml:space="preserve">طراحی و پیاده‌سازی ثبت الحاقیه ابطال، فسخ و تغییرات و مجوزدار کردن صدور مرهونات با سرمایه‌های بالا </t>
  </si>
  <si>
    <t xml:space="preserve">استقرار نرم‌افزار مرهونات مسکونی، غیرصنعتی، صنعتی و انبار در کلیه شعب بانک، صدور بخشنامه توسط سازمان و روشهای بانک جهت صدور در سامانه </t>
  </si>
  <si>
    <t>ارائه گزارش از عملکرد مرهونات و درآمدهای بانک به مدیران ستادی ذیربط بانک و مدیران مناطق از عملکرد ماهانه و تجمعی هر یک از شعب و مناطق بصورت مقایسه‌ای به منظور تهیج مدیران بانک از بابت از دست دادن فرصتها و درآمدهای غیر مشاعی بانک</t>
  </si>
  <si>
    <t xml:space="preserve">بانک-بیمه </t>
  </si>
  <si>
    <t>ایجاد سپرده بانکی در شعب منتخب استانی بانک متناسب با جذب پرتفوی</t>
  </si>
  <si>
    <t>بانک-بیمه و مالی</t>
  </si>
  <si>
    <t xml:space="preserve">18- امضاء مسئول کنترل پروژه:
</t>
  </si>
  <si>
    <t>آتش‌سوزی</t>
  </si>
  <si>
    <t>شعبه بانک-بیمه</t>
  </si>
  <si>
    <t>معاونت توسعه بازار</t>
  </si>
  <si>
    <t>درمان، عمر و حوادث</t>
  </si>
  <si>
    <t>بانک-بیمه و شعبه بانک-بیمه</t>
  </si>
  <si>
    <t>بازدید و تشریح بیمه عمر مانده بدهکار برای کارکنان شعب بانک</t>
  </si>
  <si>
    <t xml:space="preserve">برگزاری جشنواره برای شعب استانی هر یک از مناطق </t>
  </si>
  <si>
    <t>ارائه گزارش از عملکرد عمر مانده بدهکار و درآمدهای بانک به مدیران ستادی ذیربط بانک و مدیران مناطق از عملکرد ماهانه و تجمعی هر یک از شعب و مناطق بصورت مقایسه‌ای به منظور تهیج مدیران بانک از بابت از دست دادن فرصتها و درآمدهای غیر مشاعی بانک</t>
  </si>
  <si>
    <t xml:space="preserve">استقرار نرم‌افزار عمرمانده بدهکار مبتنی بر API در کلیه شعب بانک، صدور بخشنامه توسط سازمان و روشهای بانک جهت صدور در سامانه </t>
  </si>
  <si>
    <t>بانک-بیمه، فناوری اطلاعات</t>
  </si>
  <si>
    <t>طراحی و پیاده‌سازی نرم‌افزار عمرمانده‌ بدهکار توسط بانک مبتنی بر API های تهیه شده توسط بیمه تجارت نو</t>
  </si>
  <si>
    <t>بانک-بیمه و فناوری اطلاعات و درمان، عمر و حوادث</t>
  </si>
  <si>
    <t>تهیه مستند فرآیند صدور بیمه‌های عمرمانده بدهکار از طریق API؛ آماده سازی API صدور گواهی بیمه</t>
  </si>
  <si>
    <t>تغییر در فرآیند اجرا (صدور پیش‌فرض بیمه نامه در زمان اعطای تسهیلات) و در صورت عدم تمایل مشتری، ابطال بیمه‌نامه همراه با اخذ فرم ابطال</t>
  </si>
  <si>
    <t>ارائه برنامه پیشنهادی توسعه بیمه‌های عمر مانده بدهکار</t>
  </si>
  <si>
    <t>3- عنوان برنامه:  بیمه عمر مانده بدهکار مشتریان بانک تجارت</t>
  </si>
  <si>
    <r>
      <t>6-هدف برنامه:</t>
    </r>
    <r>
      <rPr>
        <b/>
        <sz val="10"/>
        <rFont val="B Nazanin"/>
        <charset val="178"/>
      </rPr>
      <t xml:space="preserve"> </t>
    </r>
    <r>
      <rPr>
        <b/>
        <sz val="14"/>
        <rFont val="B Nazanin"/>
        <charset val="178"/>
      </rPr>
      <t xml:space="preserve"> سهولت در نحوه صدور بیمه‌نامه‌های عمر مانده بدهکار مشتریان و جلوگیری از ریزش پرتفوی</t>
    </r>
  </si>
  <si>
    <t>4- شماره برنامه:  2</t>
  </si>
  <si>
    <t>1- عنوان پروژه: بیمه عمر مانده بدهکار مشتریان بانک تجارت</t>
  </si>
  <si>
    <t>باربری</t>
  </si>
  <si>
    <t>بانک-بیمه و باربری</t>
  </si>
  <si>
    <t>برنامه‌ریزی برای فعال کردن شعب شرکت از طریق سامانه بنوبانک و یا تخصیص نمایندگان شرکت برای جذب پرتفوی باربری در هر یک از شعب استانی بانک و یا با همکاری مشتری‌یاران چابک تجارت</t>
  </si>
  <si>
    <t>صدور بخشنامه تاکیدی توسط معاونت ارزی برای استفاده از خدمات شرکت بیمه تجارت نو</t>
  </si>
  <si>
    <t xml:space="preserve">برگزاری جلسات حضوری با مشتریان معرفی شده بانک </t>
  </si>
  <si>
    <t>دریافت لیست مشتریان مشمول بیمه باربری از معاونت ارزی بانک</t>
  </si>
  <si>
    <t xml:space="preserve">ارائه برنامه پیشنهادی توسعه بیمه‌های باربری </t>
  </si>
  <si>
    <t>3- عنوان برنامه:  بیمه باربری مشتریان بانک تجارت</t>
  </si>
  <si>
    <r>
      <t>6-هدف برنامه:</t>
    </r>
    <r>
      <rPr>
        <b/>
        <sz val="10"/>
        <rFont val="B Nazanin"/>
        <charset val="178"/>
      </rPr>
      <t xml:space="preserve"> </t>
    </r>
    <r>
      <rPr>
        <b/>
        <sz val="14"/>
        <rFont val="B Nazanin"/>
        <charset val="178"/>
      </rPr>
      <t>جذب حداکثری پرتفوی باربری بانک تجارت</t>
    </r>
  </si>
  <si>
    <t>4- شماره برنامه:  3</t>
  </si>
  <si>
    <t>1- عنوان پروژه: بیمه باربری مشتریان بانک تجارت</t>
  </si>
  <si>
    <t>شعبه بانک - بیمه</t>
  </si>
  <si>
    <t>بانک-بیمه  و شعبه بانک-بیمه</t>
  </si>
  <si>
    <t>برگزاری جلسات با مدیران مناطق استانها در خصوص طرح اجرایی پس از دریافت بازخورد از نتایج بندهای 2 و 3</t>
  </si>
  <si>
    <t>برگزاری جلسات با شعب منتخب در خصوص طرح اجرایی</t>
  </si>
  <si>
    <t xml:space="preserve">بانک-بیمه  </t>
  </si>
  <si>
    <t>برگزاری جلسات با مدیران مناطق تهران بانک در خصوص طرح اجرایی با حضور مدیرعامل محترم</t>
  </si>
  <si>
    <t>تفکیک استانی لیست مشتریان حقوقی بانک و غربالگری مشتریان بالقوه جهت جذب پرتفوی</t>
  </si>
  <si>
    <t>7-تاريخ شروع: فروردین 1405</t>
  </si>
  <si>
    <t>3- عنوان برنامه: جذب پرتفوی جدید از مشتریان بانک تجارت</t>
  </si>
  <si>
    <r>
      <t>6-هدف برنامه:</t>
    </r>
    <r>
      <rPr>
        <b/>
        <sz val="10"/>
        <rFont val="B Nazanin"/>
        <charset val="178"/>
      </rPr>
      <t xml:space="preserve"> </t>
    </r>
    <r>
      <rPr>
        <b/>
        <sz val="14"/>
        <rFont val="B Nazanin"/>
        <charset val="178"/>
      </rPr>
      <t>افزایش پرتفوی خرد و تکمیل سبد بیمه‌ای مشتریان بانکی</t>
    </r>
  </si>
  <si>
    <t>4- شماره برنامه: 4</t>
  </si>
  <si>
    <t>1- عنوان پروژه:  جذب پرتفوی جدید از مشتریان بانک تجارت</t>
  </si>
  <si>
    <t>15 - امضاء مدیر برنامه :</t>
  </si>
  <si>
    <t>بانک-بیمه و روابط عمومی</t>
  </si>
  <si>
    <t xml:space="preserve">برگزاری جشنواره فروش به تفکیک استان </t>
  </si>
  <si>
    <t>مکاتبه با شعب استانی بانک در خصوص طرح اجرایی با فرمت اعلامی مدیریت بانک و بیمه بهمراه تشکیل گروه کاری در شبکه اجتماعی بله برای پاسخگویی به سوالات کارکنان شعب و ارائه گزارشات تشویقی هفتگی</t>
  </si>
  <si>
    <t xml:space="preserve">بانک-بیمه ، فناوری اطلاعات ، روابط عمومی </t>
  </si>
  <si>
    <t xml:space="preserve">مکاتبه و برگزاری جلسات با شعب استان تهران بانک در خصوص طرح اجرایی بهمراه تشکیل گروه کاری در شبکه اجتماعی بله برای پاسخگویی به سوالات کارکنان شعب و ارائه گزارشات تشویقی هفتگی </t>
  </si>
  <si>
    <t>بانک-بیمه ، کسب و کارنوین و روابط عمومی</t>
  </si>
  <si>
    <t>تدوین طرح اجرایی توسعه فروش از طریق بنوبانک</t>
  </si>
  <si>
    <t>8- تاریخ خاتمه:  اسفند 1405</t>
  </si>
  <si>
    <t>7-تاريخ شروع:  اردیبهشت 1405</t>
  </si>
  <si>
    <t>3- عنوان برنامه: بازاریابی از طریق کارکنان بانک (طرح بنوبانک)</t>
  </si>
  <si>
    <t>2- مدیر پروژه:  مدیریت بانک - بیمه</t>
  </si>
  <si>
    <t>6-هدف برنامه:  تقویت ارتباط با بانک تجارت بخصوص کارکنان آن، افزایش حس وفاداری ایشان و ایجاد شبکه‌ی پایدار فروش در پرسنل بانک</t>
  </si>
  <si>
    <t>4- شماره برنامه: 7</t>
  </si>
  <si>
    <t>1- عنوان پروژه: بازاریابی از طریق کارکنان بانک (طرح بنوبانک)</t>
  </si>
  <si>
    <t>مدیریت</t>
  </si>
  <si>
    <t>نام برنامه</t>
  </si>
  <si>
    <t>ارتقای درجه نمایندگان</t>
  </si>
  <si>
    <t>پایش و نظارت بر عملکرد شعب(شعبه با تحقق بودجه کمتر از 60%)</t>
  </si>
  <si>
    <t>پورتال جامع نمایندگان (جاری سازی و توسعه)</t>
  </si>
  <si>
    <t>تاسیس دفاتر منطقه‌ای در شهرهای دارای پتانسیل</t>
  </si>
  <si>
    <t>تأسیس شعبه در غرب و شرق تهران</t>
  </si>
  <si>
    <t>جذب نمایندگی و توسعه شبکه فروش (50 نماینده)</t>
  </si>
  <si>
    <t>برگزاری جشنواره‌های فصلی فروش</t>
  </si>
  <si>
    <t>انعقاد حداقل 20 تفاهم‌نامه همکاری با بیمه‌گذاران</t>
  </si>
  <si>
    <t>جذب کارگزاران جدید و افزایش پرتفوی کارگزاران فعلی</t>
  </si>
  <si>
    <t>هدف‌مندی مناقصات</t>
  </si>
  <si>
    <t>تدوین الگوی بازاریابی بر اساس بودجه ابلاغی شعب</t>
  </si>
  <si>
    <t>توزیع و ابلاغ بودجه بازاریابی به تفکیک شعب و مدیریت‌های ستادی</t>
  </si>
  <si>
    <t>تهیه و تدوین مدل کسب و کار بر اساس پروژه مدیر محصول</t>
  </si>
  <si>
    <t>راه‌اندازی و بهره‌برداری از سامانه مناقصات</t>
  </si>
  <si>
    <t>تولید و انتشار محتوای مشتری محور با همکاری روابط عمومی بصورت فصلی</t>
  </si>
  <si>
    <t>نظرسنجی از نحوه ارزیابی میزان خسارت و عملکرد ارزیاب های خسارت (اتومبیل)</t>
  </si>
  <si>
    <t>استقرار نظام یکپارچه‌سازی و استاندارسازی پاسخگویی به درخواست مشتریان در سامانه CRM</t>
  </si>
  <si>
    <t>ارتقای سطح دانش تخصصی و پیاده‌سازی نظام پاسخگویی متمرکز در مرکز تماس</t>
  </si>
  <si>
    <t>طبقه بندی مشتریان براساس مدل RFML</t>
  </si>
  <si>
    <t>نظرسنجی آنلاین فرآیند بعد از رسیدگی به شکایات</t>
  </si>
  <si>
    <t>بیمه های باربری، هواپیما و کشتی</t>
  </si>
  <si>
    <t>وصول مطالبات بیمه نامه های با حق بیمه بیشتر از پانصد میلیارد ریال</t>
  </si>
  <si>
    <t>حل و فصل و رسیدگی به خسارات باربری بندر شهید رجائی</t>
  </si>
  <si>
    <t>برگزاری جلسه با پنج مشتری سازمانی جهت حفظ پرتفوی و Up Selling</t>
  </si>
  <si>
    <t>توسعه همکاری با کارگزاران</t>
  </si>
  <si>
    <t>جاری سازی صلاحیت حرفه ای فنی کارشناسان شعب (مدل شایستگی)</t>
  </si>
  <si>
    <t>.اجرای مدل بوم کسب و کار و مدیریت محصول در شعب منتخب</t>
  </si>
  <si>
    <t>بیمه های اتومبیل</t>
  </si>
  <si>
    <t>توسعه  مرکز تخصصی ارزیابی خسارت</t>
  </si>
  <si>
    <t>افزایش 10 درصدی شعب محقق کننده بودجه1404 در سال 1405</t>
  </si>
  <si>
    <t>بیمه های مهندسی و انرژی</t>
  </si>
  <si>
    <t>اجرای مدل بوم و کسب و کار و مدیریت محصول در شعب منتخب</t>
  </si>
  <si>
    <t>برگزاری جلسه با پنج مشتری سازمانی جهت حفظ و افزایش پرتفوی</t>
  </si>
  <si>
    <t>مسئولیت و طرح های خاص</t>
  </si>
  <si>
    <t>اصلاح زیرساختهای فنی و ایجاد امکان نرخ دهی سیستمی</t>
  </si>
  <si>
    <t>نظام مندسازی فرآیند رسیدگی و پرداخت خسارات</t>
  </si>
  <si>
    <t>افزایش فروش بیمه نامه متصدیان حمل و نقل داخلی</t>
  </si>
  <si>
    <t>محصول جدید بیمه نامه تصدیق</t>
  </si>
  <si>
    <t>بازدید انلاین برای رشته متصدیان حمل و نقل داخلی</t>
  </si>
  <si>
    <t>بیمه های آتش سوزی</t>
  </si>
  <si>
    <t>اجرای مدل بوم و کسب و کار و مدیریت محصول در شعب منتخب </t>
  </si>
  <si>
    <t>افزایش پرتفو  شعب موفق به تحقق بودجه در سال 1404  در رشته آتش سوزی  </t>
  </si>
  <si>
    <t xml:space="preserve">وصول مطالبات بیمه نامه ها با حق بیمه معوق در رشته آتش سوزی </t>
  </si>
  <si>
    <t>حقوقی و امور قراردادها</t>
  </si>
  <si>
    <t>آموزش شعب توسط اداره حقوقی در قالب مکاتبات و تدریس حقوق بیمه</t>
  </si>
  <si>
    <t>تبدیل بایگانی فیزیکی به الکترونیک (اعم از پرونده و قرارداد)</t>
  </si>
  <si>
    <r>
      <t xml:space="preserve">ایجاد داشبورد </t>
    </r>
    <r>
      <rPr>
        <sz val="18"/>
        <color theme="1"/>
        <rFont val="FarhangFaNum"/>
      </rPr>
      <t>BI مدیریت حقوقی به وسیله سامانه دادرس</t>
    </r>
  </si>
  <si>
    <t>منطبق سازی نحوه رسیدگی به دعاوی ماده 50 با آیین‌نامه</t>
  </si>
  <si>
    <t>حراست</t>
  </si>
  <si>
    <t>ایجاد سامانه اعلام و اطفاء حریق در شعب</t>
  </si>
  <si>
    <t>ایجاد سامانه برق اضطراری مجزا (UPS) برای دوربین های مداربسته شعب</t>
  </si>
  <si>
    <t xml:space="preserve"> ایجاد خط امن و شبکه مجزا حراست</t>
  </si>
  <si>
    <t xml:space="preserve"> مبارزه با پولشویی و تامین مالی تروریسم</t>
  </si>
  <si>
    <t>برگزاری کارگاه‌های آموزشی مبارزه با پولشویی</t>
  </si>
  <si>
    <t>تهیه و تدوین رویه‌های شناسایی مقتضی پیش از برقراری هرگونه تعامل‌کاری با ارباب‌رجوع و ارائه راهکارهای منطقی برای مدیریت ریسک</t>
  </si>
  <si>
    <t>آموزش مباحث مبارزه با پولشویی به شعب و نمایندگان</t>
  </si>
  <si>
    <t xml:space="preserve"> تهیه چک لیست رعایت مفاد قانون مبارزه با پولشویی و تأمین مالی تروریسم در شعب</t>
  </si>
  <si>
    <t>مرکز بانک - بیمه</t>
  </si>
  <si>
    <t>بیمه مرهونات مشتریان در تمامی شعب بانک</t>
  </si>
  <si>
    <t>بیمه عمر مانده بدهکار مشتریان بانک تجارت</t>
  </si>
  <si>
    <t>بیمه باربری مشتریان بانک تجارت</t>
  </si>
  <si>
    <t>جذب پرتفوی جدید از مشتریان بانک تجارت</t>
  </si>
  <si>
    <t>بیمه پذیرندگان شرکت اعتباری ایران کیش</t>
  </si>
  <si>
    <t>بازاریابی از طریق مشتری یاران شرکت چابک تجارت</t>
  </si>
  <si>
    <t>جشنواره بنوبانک</t>
  </si>
  <si>
    <t>استقرار نظام پایش عملکرد و طبقه‌بندی شعب بر مبنای نتایج حسابرسی از برنامه حسابرسی داخلی</t>
  </si>
  <si>
    <t xml:space="preserve"> بررسی نقاط ضعف و قوت فرآیند بازیافت جهت بهبود عملیات اجرایی و سیستمی در رشته اتومبیل</t>
  </si>
  <si>
    <t>بررسی و کنترل  فرآیند پرداخت در شرکت به صورت دوره ای جهت تایید اصالت ذینفعان</t>
  </si>
  <si>
    <t xml:space="preserve">  برنامه ریزی واحد های ستادی و شعب بر اساس چهارچوب COSO و شاخص های مالی و فنی</t>
  </si>
  <si>
    <t>پایش گزارشات حسابرسی داخلی در سنوات قبل از منظر تکرار یافته و بند حسابرسی</t>
  </si>
  <si>
    <t>بهبود نمونه گیری بر اساس شاخص های ریسک در رشته های بیمه ای</t>
  </si>
  <si>
    <t xml:space="preserve"> استقرار داشبورد یکپارچه ریسک سازمانی</t>
  </si>
  <si>
    <t>استقرار نظام سناریوپردازی و تحلیل ریسک‌های کلان در شرایط بحران جنگ</t>
  </si>
  <si>
    <t xml:space="preserve">  توسعه و تکمیل زیرساخت‌های نظام مدیریت ریسک مطابق الزامات ISO 31000</t>
  </si>
  <si>
    <t>طراحی و استقرار برنامه تداوم کسب‌وکار (BCP)</t>
  </si>
  <si>
    <t>طراحی و استقرار نظام مدیریت و پایش نقدینگی</t>
  </si>
  <si>
    <t xml:space="preserve"> فناوری اطلاعات</t>
  </si>
  <si>
    <t>راه اندازی لینک FTTO شعب (18 شعبه)</t>
  </si>
  <si>
    <t>تغییر زیرساخت فایروال شعب</t>
  </si>
  <si>
    <t>طراحی داشبورد مطالبات</t>
  </si>
  <si>
    <t xml:space="preserve">فعال سازی فیچرهای پیشنهادی مدیریت اتکایی </t>
  </si>
  <si>
    <t>ایجاد فرم پیشنهاد آنلاین بیمه نامه ها</t>
  </si>
  <si>
    <t>کسب و کارهای نوین</t>
  </si>
  <si>
    <t xml:space="preserve">  بهینه سازی SEO وب سایت بیمه تجارت نو</t>
  </si>
  <si>
    <t>پیاده سازی Cross-Selling و Up-Selling برای طرح های بیمه ای</t>
  </si>
  <si>
    <t xml:space="preserve">طراحی محصول جدید و طرح های موضوعی </t>
  </si>
  <si>
    <t>عارضه یابی و بهبود عملکرد سازمانی</t>
  </si>
  <si>
    <t xml:space="preserve">تدوین سند برنامه ریزی و ارتقا مدل کسب و کار و  بازاریابی برای 10 شعبه منتخب </t>
  </si>
  <si>
    <t>آنالیز بازار و طبقه بندی آن به منظور استخراج طرح های افزایش فروش بهینه</t>
  </si>
  <si>
    <t>هوشمند سازی قیمت گذاری و پیش بینی خسارت در رشته بدنه</t>
  </si>
  <si>
    <t>طراحی و پیاده سازی سیستم هوشمند ارزیابی ریسک تقلب در اعلام خسارت و مراکز درمانی</t>
  </si>
  <si>
    <t>بهسازی سند استراتژی ها شرکت</t>
  </si>
  <si>
    <t>تشکیلات و روشها</t>
  </si>
  <si>
    <t xml:space="preserve"> ارزیابی و ارتقای سطح بلوغ فرایندهای منتخب سازمان</t>
  </si>
  <si>
    <t>انتخاب سامانه BPMS</t>
  </si>
  <si>
    <t>پیاده سازی فرایند تیکتینگ در سامانه BPMS</t>
  </si>
  <si>
    <t xml:space="preserve">  پیاده سازی فرایند مناقصات در سامانه BPMS</t>
  </si>
  <si>
    <t xml:space="preserve">پیاده سازی حداقل 20 تا از دستورالعمل‌های فنی و غیر فنی </t>
  </si>
  <si>
    <t>استقرار و بهبود سیستم رسیدگی به شکایات مشتریان بر اساس استاندارد ISO 10002</t>
  </si>
  <si>
    <t>طراحی و پیاده‌سازی سامانه نظارت برای واحد درمان</t>
  </si>
  <si>
    <t xml:space="preserve"> نظام پیشنهادات بهبود فرایند</t>
  </si>
  <si>
    <t>استانداردسازی و استقرار شاخص‌های فرآیندی در سامانه هوش تجاری (BI)</t>
  </si>
  <si>
    <t>بیمه های عمر، حوادث و درمان</t>
  </si>
  <si>
    <t>فروش بیمه نامه مانا حداقل به میزان 30،000،000،000 ریال</t>
  </si>
  <si>
    <t>فروش بیمه نامه پناه حداقل به میزان 30،000،000،000 ریال</t>
  </si>
  <si>
    <t>کنترل تکرار پرداخت خسارت درمان تکمیلی</t>
  </si>
  <si>
    <t>نظام ارزیابی و رتبه بندی ارزیابان خسارت درمان تکمیلی</t>
  </si>
  <si>
    <t>بیمه های عمر و سرمایه گذاری</t>
  </si>
  <si>
    <t>طرح و برنامه ریزی جهت فروش محصول آوید</t>
  </si>
  <si>
    <t xml:space="preserve"> طرح و برنامه ریزی جهت فروش محصول " زندگی نو "</t>
  </si>
  <si>
    <t xml:space="preserve">طرح و برنامه ریزی جهت توسعه سازمان فروش بیمه های زندگی </t>
  </si>
  <si>
    <t>طراحی محصول تحت عنوان "بیمه های عمر متصل به دارایی (یونیت لینک)</t>
  </si>
  <si>
    <t>امور مالی</t>
  </si>
  <si>
    <t>ایجاد امکان ارسال صورتحساب الکترونیکی حواله های کارشناسی خسارت از طریق فناوران</t>
  </si>
  <si>
    <t>استقرار سامانه یکپارچه نقدینگی و تطبیق وجوه</t>
  </si>
  <si>
    <t xml:space="preserve">  چارچوب محاسبه و صحه‌سنجی ذخایر فنی با اکچوئر رسمی</t>
  </si>
  <si>
    <t>ایجاد امکان تولید صورتحساب‌های اجباری بصورت اتوماتیک بر مبنای صدور بیمه نامه در پایان هر ماه در سامانه فن آوران</t>
  </si>
  <si>
    <t>ایجاد زیر ساخت تولید شناسه منحصر به فرد برای بیمه گذاران دارای یک کد اقتصادی با کدهای شعب متفاوت در سامانه فن آوران در زمان ارسال صورتحساب الکترونیکی</t>
  </si>
  <si>
    <t>ایجاد بایگانی داده متمرکز اسناد و صورتحسابهای پرداختی(بایگانی سیستمی)</t>
  </si>
  <si>
    <t>تولید بخش طبقه بندی مطالبات(تجزیه سنی) بر اساس آئین نامه 101 مبتنی بر BI</t>
  </si>
  <si>
    <t>ایجاد امکان محاسبه کارمزد بر مبنای صدور کنترل هزینه کارمزد با بودجه مصوب در سامانه فن آوران</t>
  </si>
  <si>
    <t xml:space="preserve"> ایجاد امکان محاسبه کارمزد روزانه در سامانه فن آوران</t>
  </si>
  <si>
    <t>راه اندازی معاملات آپشن به صورت برون سپاری</t>
  </si>
  <si>
    <t xml:space="preserve"> برون سپاری واحد تحلیل</t>
  </si>
  <si>
    <t xml:space="preserve">راه اندازی پایگاه داده صندوقهای درآمد ثابت </t>
  </si>
  <si>
    <t xml:space="preserve"> منابع انسانی</t>
  </si>
  <si>
    <t>بازنگری و بهینه سازی نظام جبران خدمات</t>
  </si>
  <si>
    <t xml:space="preserve">بازنگری و بهینه سازی ساختار سازمانی </t>
  </si>
  <si>
    <t>ممیزی و بهسازی فرایندهای منابع انسانی</t>
  </si>
  <si>
    <t>پیاده سازی و اجرای مدل شایستگی</t>
  </si>
  <si>
    <t>دیجیتال سازی مدیریت منابع انسانی</t>
  </si>
  <si>
    <t>همانندسازی رفتار کارکنان با فرهنگ سازمان</t>
  </si>
  <si>
    <t>آموزش مبتنی بر شایستگی CBT کارشناسان شعب</t>
  </si>
  <si>
    <t>بازنگری نظام آموزش مبتنی بر استاندارد ISO30422:2022</t>
  </si>
  <si>
    <t>راه اندازی باشگاه مدرسان داخلی</t>
  </si>
  <si>
    <t>راه اندازی باشگاه کتابخوانی</t>
  </si>
  <si>
    <t>راه اندازی کافه دانش</t>
  </si>
  <si>
    <t>اجرا و پیاده سازی خردیادگیری Microlearning</t>
  </si>
  <si>
    <t>بهبود و ارتقاء فرآیند انبار و اموال</t>
  </si>
  <si>
    <t>بهبود، ارتقاء و ارائه خدمات عمومی و تشریفات</t>
  </si>
  <si>
    <t>ساخت و انتقال مرکز داده به مکان جدید</t>
  </si>
  <si>
    <t>ساماندهی خودرو های شرکت</t>
  </si>
  <si>
    <t>ساماندهی امور تنخواه شعب و ستاد</t>
  </si>
  <si>
    <t>بروزرسانی تابلو سر درب شعب منتخب(7شعبه)</t>
  </si>
  <si>
    <t>خرید ملک برای شعب استانی(3شعبه)</t>
  </si>
  <si>
    <t>نوسازی تجهیزات شعب استانی(7شعبه)</t>
  </si>
  <si>
    <t>بازرسی و پیگیریهای ویژه</t>
  </si>
  <si>
    <t xml:space="preserve"> بهسازی شیوه نامه روش اجرایی تضامین نمایندگان در بدو ورود و حین ورود </t>
  </si>
  <si>
    <t xml:space="preserve">عدم امکان جایگزینی چک جدید به جای چک های از قبل دریافت شده </t>
  </si>
  <si>
    <t>پایش پرونده های بازیافتی در سطح کشور</t>
  </si>
  <si>
    <t xml:space="preserve"> بیمه های اتکائی و بین الملل</t>
  </si>
  <si>
    <t>طراحی نظام ارزیابی قرارداد های اتکایی نسبی و غیر نسبی(خلاصه عملکردقراردادی 1404)</t>
  </si>
  <si>
    <t>قرارداد جامع اتکایی رشته های غیرزندگی</t>
  </si>
  <si>
    <t>نظام یکپارچه شناسایی و رفع مغایرت ها با بیمه مرکزی</t>
  </si>
  <si>
    <t>داشبورد مالی اتکایی</t>
  </si>
  <si>
    <t>قرارداد اتکایی نسبی رشته زندگی</t>
  </si>
  <si>
    <t>روابط عمومی و ارتباطات</t>
  </si>
  <si>
    <t>پایش و ساماندهی فعالیت رسانه‌ای نمایندگان در شبکه‌های اجتماعی</t>
  </si>
  <si>
    <t>پایش، بهینه‌سازی و توسعه مستمر وب‌سایت</t>
  </si>
  <si>
    <t>تدوین برنامه راهبردی روابط عمومی</t>
  </si>
  <si>
    <t>تدوین برنامه رویدادها، مجامع و نمایشگاه‌ها</t>
  </si>
  <si>
    <t>طراحی و راه اندازی وب‌کیوسک جهت تبلیغات</t>
  </si>
  <si>
    <t>مصاحبه ادواری رسانه‌ای با نمایندگان برتر</t>
  </si>
  <si>
    <t xml:space="preserve">   ممیزی و بهسازی ارتباطات درون سازمانی</t>
  </si>
  <si>
    <t>ممیزی، ارزیابی و همسوسازی  شبکه فروش با هویت برند</t>
  </si>
  <si>
    <t>1- عنوان پروژه : ممیزی و تأمین نیازمندی های نرم افزاری بانک تجارت</t>
  </si>
  <si>
    <t>6-هدف برنامه: ارتقای سطح امنیتی و الزامات ایمنی</t>
  </si>
  <si>
    <t>3- عنوان برنامه:  ممیزی و تأمین نیازمندی های نرم افزاری بانک تجارت</t>
  </si>
  <si>
    <t xml:space="preserve">دریافت فایل نهایی الزامات از بانک تجارت	</t>
  </si>
  <si>
    <t xml:space="preserve">پیاده سازی الزامات در تمام تجهیزات	</t>
  </si>
  <si>
    <t xml:space="preserve">ممیزی اقدامات اصلاحی انجام شده </t>
  </si>
  <si>
    <t>اخذ تاییدیه بانک تجارت برای تغییرات</t>
  </si>
  <si>
    <t>تهیه مستندات اقدامات صورت گرفته بصورت مدون</t>
  </si>
  <si>
    <t>1- عنوان پروژه : طراحی داشبورد فرآیند پرداخت درمان</t>
  </si>
  <si>
    <t>3- عنوان برنامه:  طراحی داشبورد فرآیند پرداخت درمان</t>
  </si>
  <si>
    <t xml:space="preserve">7-تاريخ شروع :  1405/04/01  </t>
  </si>
  <si>
    <t>8- تاریخ خاتمه :  1405/07/30</t>
  </si>
  <si>
    <t>تشکیل جلسات و شناسایی شاخص های مورد نظر مدیریت درمان</t>
  </si>
  <si>
    <t>فناوری اطلاعات - درمان</t>
  </si>
  <si>
    <t>طراحی مدل داده متصل به سامانه سیناد و فناوران</t>
  </si>
  <si>
    <t>شناسایی شاخص ها و  نمودار های مورد نیاز مدیریت درمان</t>
  </si>
  <si>
    <t xml:space="preserve">طراحی مدل داده نهایی </t>
  </si>
  <si>
    <t>طراحی داشبورد bi نهایی</t>
  </si>
  <si>
    <t xml:space="preserve">تست پرفورمنس و دیباگ داشبورد </t>
  </si>
  <si>
    <t>آموزش نحوه استفاده</t>
  </si>
  <si>
    <t>وزن برنامه</t>
  </si>
  <si>
    <t>واحدهای همکار</t>
  </si>
  <si>
    <t>امورمشتریان</t>
  </si>
  <si>
    <t>بانک بیمه</t>
  </si>
  <si>
    <t>امورشعب و نمایندگان</t>
  </si>
  <si>
    <t>پولشویی</t>
  </si>
  <si>
    <t>اتکایی و اموربین الملل</t>
  </si>
  <si>
    <t>ریبسک و اکچوئری</t>
  </si>
  <si>
    <t>تشکیلات و روش ها</t>
  </si>
  <si>
    <t>سرمایه گذاری</t>
  </si>
  <si>
    <t>مهندسی و انرژی</t>
  </si>
  <si>
    <t>باربری،کشتی،هواپیما</t>
  </si>
  <si>
    <t>مسئولیت</t>
  </si>
  <si>
    <t>عمر و سرمایه گذاری</t>
  </si>
  <si>
    <t>عمر حوادث درمان</t>
  </si>
  <si>
    <t>آموزش-طرح و برنامه-تشکیلات و روش ها</t>
  </si>
  <si>
    <t>طرح و برنامه-بازاریابی</t>
  </si>
  <si>
    <t>کسب و کار نوین-روابط عمومی-فاوا-طرح و برنامه</t>
  </si>
  <si>
    <t>حوزه مدیرعامل-پشتیبانی-طرح و برنامه</t>
  </si>
  <si>
    <t>حوزه مدیرعامل-پشتیبانی-طرح و برنامه-منابع انسانی</t>
  </si>
  <si>
    <t>پشتیبانی-فاوا</t>
  </si>
  <si>
    <t>طرح و برنامه-روابط عمومی-امور شعب و نمایندگان-مالی-مدیریت های فنی</t>
  </si>
  <si>
    <t>مدیریت های فنی- حقوقی و امورقراردادها</t>
  </si>
  <si>
    <t>امورشعب و نمایندگان-تشکیلات و روش ها-مدیریتهای فنی</t>
  </si>
  <si>
    <t>مدیریتهای فنی- امورشعب و نمایندگان- طرح و برنامه</t>
  </si>
  <si>
    <t>طرح و برنامه-فاوا</t>
  </si>
  <si>
    <t>_</t>
  </si>
  <si>
    <t>درمان،عمر و حوادث-منابع انسانی-اتومبیل</t>
  </si>
  <si>
    <t>فاوا</t>
  </si>
  <si>
    <t>مالی-بازرسی-حقوقی</t>
  </si>
  <si>
    <t>بانک بیمه-بازاریابی</t>
  </si>
  <si>
    <t>مدیران فنی-بازاریابی</t>
  </si>
  <si>
    <t>منابع انسانی-اتکایی-امورشعب و نمایندگان</t>
  </si>
  <si>
    <t>امورشعب و نمایندگان-مدیران فنی</t>
  </si>
  <si>
    <t>آموزش-امورشعب و نمایندگان</t>
  </si>
  <si>
    <t>طرح و برنامه-بازاریابی و مناقصات</t>
  </si>
  <si>
    <t>فاوا-امورمشتریان</t>
  </si>
  <si>
    <t>امورشعب-مدیریت های فنی</t>
  </si>
  <si>
    <t>مدیریت های فنی</t>
  </si>
  <si>
    <t>بازاریابی و مناقصلت</t>
  </si>
  <si>
    <t>آموزش-اتکایی و امور بین الملل-امور شعب و نمایندگان</t>
  </si>
  <si>
    <t>مالی-بازرسی و پیگیری های ویژه</t>
  </si>
  <si>
    <t>ریسک و اکچوئری-فاوا-حوزه مدیرعامل</t>
  </si>
  <si>
    <t>امورشعب و نمایندگان-بازاریابی و مناقصات</t>
  </si>
  <si>
    <t>فاوا-آموزش</t>
  </si>
  <si>
    <t>طرح و برنامه- فاوا</t>
  </si>
  <si>
    <t>امورشعب-پشتیبانی</t>
  </si>
  <si>
    <t>ریسک و اکچوئری-تشکیلات و روش ها-فاوا-مدیریت های فنی</t>
  </si>
  <si>
    <t>تشکیلات و روش ها-حسابرسی داخلی</t>
  </si>
  <si>
    <t>آتش سوزی-فاوا-مالی</t>
  </si>
  <si>
    <t>درمان عمر و حوادث-فاوا-شعبه بانک بیمه-معاونت توسعه بازار-مالی</t>
  </si>
  <si>
    <t>باربری کشتی و هواپیما</t>
  </si>
  <si>
    <t>شعبه بانک بیمه</t>
  </si>
  <si>
    <t>مدیریتهای فنی-مالی-فاوا-کسب و کار نوین</t>
  </si>
  <si>
    <t>مدیریتهای فنی-مالی-فاوا</t>
  </si>
  <si>
    <t>روابط عمومی-کسب و کار نوین-مدیریتهای فنی-فاوا</t>
  </si>
  <si>
    <t>فناوری و اطلاعات- مدیریت های فنی</t>
  </si>
  <si>
    <t>مالی-سرمایه گذاری- امور مشتریان-منابع انسانی-طرح و برنامه-فنی-امورشعب-بازاریابی-فناوری اطلاعات-حراست</t>
  </si>
  <si>
    <t>مالی-سرمایه گذاری</t>
  </si>
  <si>
    <t>طرح و برنامه-روابط عمومی</t>
  </si>
  <si>
    <t>طرح و برنامه-IT-مدیران فنی</t>
  </si>
  <si>
    <t>کلیه مدیریتها</t>
  </si>
  <si>
    <t>بازاریابی-مدیران فنی</t>
  </si>
  <si>
    <t>بازاریابی -کسب و کار-مدیران فنی</t>
  </si>
  <si>
    <t>فنی اتومبیل -IT</t>
  </si>
  <si>
    <t>کلیه مدیریت ها</t>
  </si>
  <si>
    <t>کلیه مدیریتها-</t>
  </si>
  <si>
    <t>مدیریت های مربوطه- مدیریت امور مشتریان</t>
  </si>
  <si>
    <t>فناوری اطلاعات-عمر حوادث و درمان</t>
  </si>
  <si>
    <t xml:space="preserve">مدیریت‌فناوری اطلاعات </t>
  </si>
  <si>
    <t>فناوری اطلاعات-مدیریت طرح و برنامه</t>
  </si>
  <si>
    <t>مدیریت طرح و برنامه</t>
  </si>
  <si>
    <t>مدیریت بازاریابی/ مدیریت امور مالی
 مدیریت روابط عمومی /مدیریت منابع انسانی (آموزش)/ مدیریت بیمه های اتکایی</t>
  </si>
  <si>
    <t>مدیریت بازار یابی و مناقصات/ مدیریت امور مالی/ مدیریت روابط عمومی/مدیریت منابع انسانی(واحد آموزش)/مدیریت سرمایه گذاری/ مدیریت بازرسی و پیگیری های ویژه( وصول مطالبات)</t>
  </si>
  <si>
    <t>مدیریت امور شعب و نمایندگان/  مدیریت روابط عمومی/ مدیریت پشتیبانی /مدیریت فناوری اطلاعات
/مدیریت منابع انسانی (آموزش)</t>
  </si>
  <si>
    <t>مدیریت فناوری اطلاعات/ مدیریت کسب و کارهای نوین/ مدیریت سرمایه گذاری/ مدیریت امور مالی/ مدیریت منابع انسانی(واحد آموزش)/ مدیریت تشکیلات و روش ها/مدیریت روابط عمومی/مدیریت حقوقی</t>
  </si>
  <si>
    <t>فناوری اطلاعات /فنی/آموزش</t>
  </si>
  <si>
    <t>فناوری اطلاعات /آموزش</t>
  </si>
  <si>
    <t>فناوری اطلاعات /فنی-اکچوئر رسمی</t>
  </si>
  <si>
    <t>فناوری اطلاعات-فنی</t>
  </si>
  <si>
    <t xml:space="preserve">تشکیلات روشها </t>
  </si>
  <si>
    <t>معاونت اموال و اشخاص</t>
  </si>
  <si>
    <t>اتکایی-بازرسی-حقوقی-پولشویی</t>
  </si>
  <si>
    <t>تشکیلات و روش ها، فناوری و اطلاعات</t>
  </si>
  <si>
    <t>حقوقی-مالی</t>
  </si>
  <si>
    <t xml:space="preserve">مالی .تشکیلات و روش ها </t>
  </si>
  <si>
    <t>مالی-حقوقی</t>
  </si>
  <si>
    <t>مدیریت امور شعب و نمایندگان – مدیریت مالی –مدیریت تشکیلات و  روش ها</t>
  </si>
  <si>
    <t xml:space="preserve">مدیریت امور شعب و نمایندگان – مدیریت مالی </t>
  </si>
  <si>
    <t>مدیریت بازیافت – مدیریت امور شعب و نمایندگان – مدیریت حقوقی – مدیران فنی</t>
  </si>
  <si>
    <t>فناوری اطلاعات / مدیریت ریسک</t>
  </si>
  <si>
    <t>مدیریت عمر و سرمایه گذاری-مدیرت درمان-عمر حادثه</t>
  </si>
  <si>
    <t>مدیریت سرمایه انسانی، مدیریت پشتیبانی</t>
  </si>
  <si>
    <t>امور شعب</t>
  </si>
  <si>
    <t>میزان افزایش آگاهی از برند در مناطق هدف (بر اساس نظرسنجی یا پایش بازار)
تعداد و تنوع فعالیت‌های تبلیغاتی و بازاریابی اجراشده توسط شعب در بازه زمانی مشخص
میزان رشد فروش یا صدور بیمه‌نامه در شعبی که فعالیت تبلیغاتی انجام داده‌اند</t>
  </si>
  <si>
    <t>کاهش یا عدم افزایش آگاهی از برند در بازارهای محلی
از دست رفتن فرصت جذب مشتریان جدید در مناطق مختلف
کاهش توان رقابتی شعب در برابر شرکت‌های بیمه رقیب با فعالیت‌های تبلیغاتی فعال‌تر
وابستگی بیش از حد به تبلیغات ستادی و کاهش چابکی در بازاریابی محلی
فاصله گرفتن شعب از بازار هدف و نیازهای ارتباطی مشتریان در هر منطقه</t>
  </si>
  <si>
    <t>عدم هماهنگی پیام‌ها و هویت برند در شعب مختلف و ایجاد تصویر ناهماهنگ از برند
اجرای فعالیت‌های تبلیغاتی غیرحرفه‌ای در برخی شعب به دلیل کمبود دانش یا تجربه بازاریابی
افزایش هزینه‌های تبلیغاتی بدون بازگشت سرمایه قابل‌توجه
استفاده از ابزارها یا کانال‌های تبلیغاتی نامناسب در سطح محلی
احتمال بروز تعارض با دستورالعمل‌های برندینگ یا سیاست‌های ارتباطی شرکت</t>
  </si>
  <si>
    <t>1405/12/29</t>
  </si>
  <si>
    <t>1405/02/15</t>
  </si>
  <si>
    <t>نتایج نظرسنجی رضایت شغلی کارکنان در دوره‌های زمانی مشخص
میزان مشارکت کارکنان در برنامه‌ها و رویدادهای داخلی سازمان
نرخ ماندگاری کارکنان و کاهش نرخ ترک خدمت</t>
  </si>
  <si>
    <t>کاهش یا عدم بهبود سطح رضایت شغلی کارکنان
تضعیف همدلی و انسجام سازمانی میان واحدها و کارکنان                                           افزایش احتمال فرسودگی شغلی یا کاهش انگیزه کاری
تضعیف برند کارفرمایی شرکت در مقایسه با رقبا
افزایش احتمال ترک خدمت نیروهای توانمند و دشواری در جذب استعدادهای جدید</t>
  </si>
  <si>
    <t>ایجاد انتظارات بالاتر در میان کارکنان که در صورت برآورده نشدن می‌تواند منجر به نارضایتی شود
احتمال برداشت نادرست از برنامه‌ها به عنوان اقدامات نمایشی در صورت نبود پیگیری مدیریتی
صرف زمان و منابع سازمانی بدون دستیابی به نتایج ملموس در کوتاه‌مدت
بروز حساسیت یا احساس تبعیض در صورت مشارکت نابرابر واحدها یا کارکنان در برنامه‌ها
چالش در مدیریت و هدایت گفت‌وگوها یا بازخوردهای کارکنان در بسترهای تعاملی</t>
  </si>
  <si>
    <t>1405/02/01</t>
  </si>
  <si>
    <t>تعداد مصاحبه‌ها یا جلسات گفت‌وگو انجام‌شده با نمایندگان برتر
میزان مشارکت نمایندگان در ارائه بازخورد و پیشنهادها</t>
  </si>
  <si>
    <t>عدم شناخت دقیق نیازها، چالش‌ها و انتظارات شبکه نمایندگی
فاصله گرفتن تصمیمات سازمان از واقعیت‌های بازار و فعالیت نمایندگان
کاهش رضایت و انگیزه نمایندگان در همکاری با شرکت
از دست رفتن فرصت بهبود فرآیندها و خدمات بر اساس تجربیات میدانی نمایندگان</t>
  </si>
  <si>
    <t>احتمال مطرح شدن انتظارات یا مطالباتی از سوی نمایندگان که تحقق آن‌ها در کوتاه‌مدت برای شرکت ممکن نباشد
سوگیری در نتایج در صورت محدود بودن جامعه مصاحبه یا انتخاب نادرست نمایندگان
عدم بیان صریح مسائل و چالش‌ها از سوی برخی نمایندگان به دلیل ملاحظات سازمانی
افزایش حساسیت یا توقع سایر نمایندگان در صورت تمرکز بیشتر بر نمایندگان برتر
دشواری در تبدیل بینش‌های کیفی به اقدامات اجرایی مشخص در سازمان</t>
  </si>
  <si>
    <t>1405/12/15</t>
  </si>
  <si>
    <t xml:space="preserve">
تعداد و نظم به‌روزرسانی محتوای تبلیغاتی در وب‌کیوسک‌ها</t>
  </si>
  <si>
    <t>استفاده غیربهینه از ظرفیت وب‌کیوسک‌های موجود 
قدیمی شدن محتوا و کاهش اثرگذاری ابزار اطلاع‌رسانی 
از دست رفتن فرصت‌های تبلیغاتی و ارتباط مستقیم با مخاطبان در محیط‌های فیزیکی.</t>
  </si>
  <si>
    <t>نیاز به صرف منابع مالی و انسانی برای مدیریت و به‌روزرسانی مستمر 
احتمال بروز مشکلات فنی یا نگهداری تجهیزات 
عدم استقبال کافی مخاطبان در صورت ضعف در طراحی محتوا یا محل استقرار</t>
  </si>
  <si>
    <t>1405/12/01</t>
  </si>
  <si>
    <t>1405/03/15</t>
  </si>
  <si>
    <t>10 الی 15 میلیارد تومان</t>
  </si>
  <si>
    <t xml:space="preserve">  تصمیم‌گیری‌های موردی و غیرهمسو با اهداف سازمان 
  از دست رفتن فرصت حضور در رویدادهای مهم و اثرگذار 
  ناهماهنگی بین روابط عمومی و سایر واحدهای سازمان 
  افزایش هزینه‌ها به دلیل تصمیم‌های دیرهنگام</t>
  </si>
  <si>
    <t xml:space="preserve">  محدود شدن انعطاف‌پذیری در تصمیم‌گیری‌های مقطعی 
وابستگی برنامه به پیش‌بینی‌هایی که ممکن است تغییر کنند 
  تخصیص منابع به رویدادهایی که بعداً اولویتشان کاهش می‌یابد-   افزایش تعهدات سازمانی در برابر برگزارکنندگان یا شرکا </t>
  </si>
  <si>
    <t>تدوین و تصویب برنامه جامع روابط عمومی در دوره زمانی مشخص 
تعداد و کیفیت برنامه‌ها و کمپین‌های ارتباطی اجراشده بر اساس برنامه مصوب
میزان تحقق اهداف ارتباطی تعیین‌شده در برنامه (مانند افزایش پوشش رسانه‌ای، آگاهی از برند یا تعامل مخاطبان)</t>
  </si>
  <si>
    <t>انجام فعالیت‌های روابط عمومی به‌صورت مقطعی، پراکنده و بدون جهت‌گیری مشخص
اتلاف منابع به دلیل نبود اولویت‌بندی و برنامه‌ریزی هدفمند
کاهش اثربخشی اقدامات ارتباطی و رسانه‌ای سازمان
ناهماهنگی میان فعالیت‌های اطلاع‌رسانی، تبلیغات و ارتباطات سازمانی -کاهش توان روابط عمومی در مدیریت تصویر و اعتبار سازمان در بلندمدت</t>
  </si>
  <si>
    <t>عدم هم‌راستایی برنامه روابط عمومی با اهداف و استراتژی‌های کلان سازمان
تدوین برنامه‌ای بیش از حد کلی یا غیرقابل اجرا به دلیل نبود داده و تحلیل کافی
عدم همکاری یا مشارکت مناسب سایر واحدهای سازمان در اجرای برنامه‌های ارتباطی
تغییرات ناگهانی در اولویت‌های مدیریتی یا شرایط محیطی که اجرای برنامه را مختل کند
ضعف در نظام پایش و ارزیابی که باعث شود اثربخشی برنامه به‌درستی سنجیده نشود</t>
  </si>
  <si>
    <t>1405/04/30</t>
  </si>
  <si>
    <t xml:space="preserve">میزان رضایت کاربران از تجربه کاربری سایت(بر اساس نظرسنجی یا امتیاز کاربران)
میانگین زمان انجام خدمات یا فرایندها </t>
  </si>
  <si>
    <t>قدیمی شدن ظاهر و تجربه کاربری سایت نسبت به رقبا
ارائه اطلاعات اشتباه و منقضی شده به مخاطبان
دشواری استفاده از خدمات برای کاربران و کاهش رضایت آن‌ها
افزایش احتمال نرخ پرش کاربران
کاهش نرخ استفاده از خدمات دیجیتال شرکت
افزایش مراجعات حضوری یا تماس با مرکز پشتیبانی به دلیل پیچیدگی فرایندها در سایت</t>
  </si>
  <si>
    <t>عدم تطابق طراحی جدید با نیازها و الگوی استفاده واقعی کاربران در صورت نبود تحقیقات کاربری
ناهماهنگی میان تیم‌های طراحی، فنی و کسب‌وکار در اجرای تغییرات
کاهش موقت رضایت کاربران در دوره انتقال به نسخه جدید</t>
  </si>
  <si>
    <t>1405/11/15</t>
  </si>
  <si>
    <t>1405/04/01</t>
  </si>
  <si>
    <t>درصد نمایندگان فعال و پایش‌شده در شبکه‌های اجتماعی
کاهش موارد محتوای نامناسب یا مغایر با سیاست‌های سازمان</t>
  </si>
  <si>
    <t>انتشار محتوای ناهماهنگ یا مغایر با سیاست‌ها و هویت برند سازمان
ایجاد برداشت‌های نادرست از برند یا خدمات در فضای آنلاین
از دست رفتن فرصت‌های ارتباطی و بازاریابی در شبکه‌های اجتماعی
دشواری مدیریت بحران‌های احتمالی ناشی از انتشار محتوای نامناسب توسط برخی نمایندگان</t>
  </si>
  <si>
    <t>ایجاد حساسیت یا مقاومت در برخی نمایندگان به‌دلیل برداشت از نظارت مستقیم بر فعالیت‌هایشان 
احتمال برداشت محدودکننده از سوی نمایندگان و کاهش خلاقیت در تولید محتوا 
  نیاز به منابع انسانی و زمانی برای پایش، تحلیل و ارائه بازخورد مستمر</t>
  </si>
  <si>
    <t>1405/11/30</t>
  </si>
  <si>
    <t>مدیریت ریسک و سودآوری</t>
  </si>
  <si>
    <t>عدم ایفای تعهدات بیمه گر اتکایی</t>
  </si>
  <si>
    <t>عدم همکاری واحد همکار/ عدم اجرا برنامه در زمانبندی مشخص شده/ عدم اجرای برخی از گزارشات</t>
  </si>
  <si>
    <t>1405/01/01</t>
  </si>
  <si>
    <t>چابک سازی سازمان</t>
  </si>
  <si>
    <t>عدم محاسبه سود و زیان بیمه‌نامه و تاثیر در صورت مالی شرکت</t>
  </si>
  <si>
    <t>به حداقل رساندن مغایرت بیمه مرکزی در پایان سال</t>
  </si>
  <si>
    <t>عدم تایید صورت مالی به دلیل اختلاف بالای 1 درصد</t>
  </si>
  <si>
    <t>مشکلات واکشی از سامانه سنهاب/ اختلال در سامانه سنهاب/ عدم اجرا برنامه در زمانبندی مشخص شده</t>
  </si>
  <si>
    <t xml:space="preserve">مدیریت ریسک </t>
  </si>
  <si>
    <t>عدم اجرا برنامه در زمانبندی مشخص شده/ عدم اجرای برخی از گزارشات</t>
  </si>
  <si>
    <t xml:space="preserve">تعیین تکلیف از محل پرونده های بازیافتی شرکت </t>
  </si>
  <si>
    <t xml:space="preserve">اجرا نشدن آن باعث رسوب می شود </t>
  </si>
  <si>
    <t>تولید بخشی از مطالبات محاسبه نشده</t>
  </si>
  <si>
    <t>1405/01/15</t>
  </si>
  <si>
    <t>جلوگیری از اختلال نظام مالی شرکت</t>
  </si>
  <si>
    <t>در صورت تعهد واگذار کننده چک اول به شرکت بیمه گر و عدم تعهد با توجه به اینکه اگر با اکتفا به مبلغ آن چک جدید صادر کرده است در صورت نبود وجه چک شرکت بیمه گر برگشت خورده و باعث تبعاتی از جمله اعتبار شرکت شده و باعث انسداد سیستم مالی شرکت می شود .</t>
  </si>
  <si>
    <t xml:space="preserve">جلوگیری از اختلال در نظام مالی شرکت </t>
  </si>
  <si>
    <t xml:space="preserve">پشتوانه مطالبات آتی </t>
  </si>
  <si>
    <t xml:space="preserve">افزایش بدهی – ایجاد مطالبات حقوقی – اخلال در روند پرداخت خسارت </t>
  </si>
  <si>
    <t>بخشی از اموال شرکت پوشش داده می شود-اهرم فشار برای دریافت بدهی از نمایندگان-بازدارندگی برای شرکت جهت خروج نمایندگان و وصول مطالبات با رویکرد رعایت تعامل</t>
  </si>
  <si>
    <t>سالانه</t>
  </si>
  <si>
    <t>70%-100%</t>
  </si>
  <si>
    <t xml:space="preserve">افزایش میزان رضایت پرسنل -میزان سلامت تجهیزات شعب </t>
  </si>
  <si>
    <t xml:space="preserve">ایجاد هزینه در صورت خرابی دارایی های مستهلک شده </t>
  </si>
  <si>
    <t xml:space="preserve">تامین مالی جهت نوسازی و بازسازی شعب منتخب </t>
  </si>
  <si>
    <t>افزایش دارایی های ثابت شرکت</t>
  </si>
  <si>
    <t>در صورت عدم خرید نیاز به اجاره با هزینه های رو به رشد با توجه به تورم بالا و همچنین هزینه های سربار جا به جایی سالانه شعب _ عدم بهره وری از سود افزایش قیمت املاک</t>
  </si>
  <si>
    <t>نوسانات قیمت بازار مسکن و خرید در قیمت های بالاتر از ارزش واقعی _ عدم تامین بودجه لازم</t>
  </si>
  <si>
    <t>زیباسازی نمای  شعب منتخب</t>
  </si>
  <si>
    <t xml:space="preserve">عدم اعتماد مشتریان و ایجاد نقطه ضعف در برندینگ شعب </t>
  </si>
  <si>
    <t xml:space="preserve">عدم تامین مالی مورد نیاز </t>
  </si>
  <si>
    <t>استانداردسازی فرآیند تنخواه گردانی</t>
  </si>
  <si>
    <t>ایجاد ناهماهنگی و عدم کنترل کافی بر مدیریت تنخواه شعب کل کشور</t>
  </si>
  <si>
    <t>پس از تحلیل و بازنگری در نتیجه کاهش مبلغ تنخواه شعب کل کشور</t>
  </si>
  <si>
    <t xml:space="preserve">بهبود و افزایش روند خدمات رسانی </t>
  </si>
  <si>
    <t>عدم هماهنگی در ارائه خدمات ترابری ، ریسک جانی و مالی در صورت عدم سرویس دوره ای</t>
  </si>
  <si>
    <t xml:space="preserve">افزایش امنیت سرور </t>
  </si>
  <si>
    <t xml:space="preserve">فضای کوچک و نامناسب مرکزداده در نتیجه افزایش ریسک نگهداری بر خلاف استاندارد </t>
  </si>
  <si>
    <t xml:space="preserve">افزایش هزینه نگهداری و تعمیرات </t>
  </si>
  <si>
    <t>نظم و هماهنگی در ارائه خدمات</t>
  </si>
  <si>
    <t xml:space="preserve">ایجاد بی نظمی و عدم وحدت رویه در ارایه خدمات </t>
  </si>
  <si>
    <t xml:space="preserve">عدم پیروی از استاندارهای وضع شده </t>
  </si>
  <si>
    <t xml:space="preserve">تطبیق اموال با گزارشات مالی </t>
  </si>
  <si>
    <t>خرابی و عدم تعمیر  اموال و انبار و در نتیجه افزایش هزینه ها _ مفقود شدن اموال سرمایه ای</t>
  </si>
  <si>
    <t>70%-75%</t>
  </si>
  <si>
    <t>تعداد دوره های اجرا شده به برنامه ریزی شده-ارزیابی اثربخشی دوره های آموزشی از طریق خردیادگیری</t>
  </si>
  <si>
    <t>سامانه مدیریت یادگیری-نرم افزارهای ویرایش ویدئو</t>
  </si>
  <si>
    <t>عدم پوشش کامل نیازهای آموزشی کارکنان – کاهش بهره‌وری نظام یادگیری سازمان</t>
  </si>
  <si>
    <t xml:space="preserve">عدم دسترسی به دوره های آموزشی به علت قطع اینترنت یا محدودیت های امنیتی </t>
  </si>
  <si>
    <t>1405/12/25</t>
  </si>
  <si>
    <t>تعداد جلسات برگزار شده به برنامه ریزی شده-اثربخشی جلسات انتقال تجربه از نظر مخاطبان</t>
  </si>
  <si>
    <t>فضای مجازی جهت برگزری جلسات</t>
  </si>
  <si>
    <t>خروج دانش و تجربیات کارکنان همزمان با خروج کارکنان از شرکت، عدم اشتراک گذاری تجربیات و تکرار خطاها</t>
  </si>
  <si>
    <t>عدم اشتراک گذاری برخی تجربیات ارزشمند – عدم توجه سایر کارکنان در به کارگیری تجربیات بیان شده</t>
  </si>
  <si>
    <t>تعداد جلسات برگزار شده به برنامه ریزی شده-میانگین ارزیابی مطلوبیت جلسات از نظر مخاطبان</t>
  </si>
  <si>
    <t>کتاب ها-بستر برگزاری جلسات آنلاین</t>
  </si>
  <si>
    <t>عدم ترویج و توسعه فرهنگ مطالعه و کتابخوانی – مغفول شدن از محتوای ارزشمند کتاب‌ها</t>
  </si>
  <si>
    <t>عدم استقبال کارکنان – انتخاب موضوعات کمتر مرتبط یا غیر جذاب</t>
  </si>
  <si>
    <t>سالانه-سالانه</t>
  </si>
  <si>
    <t>70%-70%</t>
  </si>
  <si>
    <t>تعداد دوره های برگزار شده به برنامه ریزی شده-ارزیابی اثربخشی دوره های آموزشی برگزار شده</t>
  </si>
  <si>
    <t>کلاس-سالن کنفرانس-دوربین فیلم برداری-پایه تبلت-اسکنر</t>
  </si>
  <si>
    <t>عدم بهره مندی از ظرفیت‌های داخلی – هزینه قابل توجه مدرسین خارجی – کاهش اشتراک گذاری دانش سازمانی</t>
  </si>
  <si>
    <t>انگیزه پایین مدرسان داخلی – عدم همکاری و تعامل مفید و موثر – عدم رعایت دستورالعمل ها</t>
  </si>
  <si>
    <t>تعداد فرم‌های اصلاح شده به کل فرم‌های نظام یادگیری و توسعه-میزان مشارکت ذینفعان در یادگیری و اجرای الزامات استاندارد</t>
  </si>
  <si>
    <t>عدم انطباق با الزامات استانداردهای ISO9001:2015 – اجرای غیرصحیح برخی فرایندهای آموزشی</t>
  </si>
  <si>
    <t>استقرار ناقص نظام یادگیری و توسعه کارکنان – عدم اجرای کامل نظام نامه توسط مدرسان یا موسسات</t>
  </si>
  <si>
    <t>تعداد کارشناسان فنی با شایستگی احصا شده به کل کارشناسان شعب-تعداد دوره برگزار شده به دوره‌های نیازسنجی شده</t>
  </si>
  <si>
    <t>آموزش غیر هدفمند – افزایش هزینه آموزش و کاهش نرخ مشارکت و بهره‌وری فرایند یادگیری</t>
  </si>
  <si>
    <t>خطا در فرایند ارزیابی شایستگی‌های فنی مخاطبان – خطای قابل توجه در تحلیل فاصله شایستگی</t>
  </si>
  <si>
    <t>80%-75%</t>
  </si>
  <si>
    <t>میزان مشارکت کارکنان در برنامه‌های فرهنگی-نتایج نظرسنجی فرهنگ سازمانی</t>
  </si>
  <si>
    <t>عملکرد جزیره ای مدیریت های مختلف شرکت</t>
  </si>
  <si>
    <t>75% - 60%</t>
  </si>
  <si>
    <t xml:space="preserve">	کاهش زمان انجام عملیات منابع انسانی-درصد فرآیندهای دیجیتال‌شده</t>
  </si>
  <si>
    <t>1نفر</t>
  </si>
  <si>
    <t>توافقی با شرکت منتخب</t>
  </si>
  <si>
    <t xml:space="preserve">کاهش بهره وری واحد و پراکندگی داده های کارکنان </t>
  </si>
  <si>
    <t>مقاومت برخی کارکنان در برابر فناوریهای جدید</t>
  </si>
  <si>
    <t>1405/09/27</t>
  </si>
  <si>
    <t>1404/10/01</t>
  </si>
  <si>
    <t>تصویب مدل شایستگی در کمیته انتصابات-میزان بکارگیری مدل در فرآیندهای منابع انسانی</t>
  </si>
  <si>
    <t>تمدید قراردادبا کانون ارزیابی</t>
  </si>
  <si>
    <t>500 میلیون تومان</t>
  </si>
  <si>
    <t>کاهش انگیزه و حس نابرابری در ارتقاها و انتصابات</t>
  </si>
  <si>
    <t>احتمال نادیده گرفتن برخی نتایج کانون ارزیابی بدلیل وجود میزان خطای ممکن در ارزیابی و شرایط تصمیم گیری</t>
  </si>
  <si>
    <t>1405/06/31</t>
  </si>
  <si>
    <t>1404/07/01</t>
  </si>
  <si>
    <t>90%-85%</t>
  </si>
  <si>
    <t>بهره‌وری واحد منابع انسانی (نسبت خروجی به ورودی)-کاهش زمان پاسخ‌دهی به درخواست‌ها</t>
  </si>
  <si>
    <t>انجام وظایف اداری به جای نقش واقعی مدیریت سرمایه انسانی</t>
  </si>
  <si>
    <t>مقاومت برخی از همکاران در برابر نقش و مسئولیت های جدید</t>
  </si>
  <si>
    <t>کاهش نسبت پست‌های غیرضرور به کل پست‌ها-کاهش میانگین زمان تصمیم گیری</t>
  </si>
  <si>
    <t xml:space="preserve">افزایش هزینه ها و عدم همخوانی استانداردهای مدیریت منابع انسانی </t>
  </si>
  <si>
    <t>نارضایتی برخی از مدیریت ها به خاطر حذف برخی پست ها</t>
  </si>
  <si>
    <t>1405/09/30</t>
  </si>
  <si>
    <t>کاهش شکاف پرداخت با متوسط صنعت-درصد رضایت کارکنان از نظام پاداش</t>
  </si>
  <si>
    <t>قرارداد مشاوره</t>
  </si>
  <si>
    <t>توافقی با تیم مشاوران</t>
  </si>
  <si>
    <t>کاهش افزایش انگیزه و عدالت در پرداخت‌هاکاهش انگیزه و حس نابرابری پرداخت‌ها در مقایسه با کارکنان صنعت</t>
  </si>
  <si>
    <t>افزایش هزینه های پرسنلی در صورت عدم رشد فروش شرکت</t>
  </si>
  <si>
    <t>1405/03/31</t>
  </si>
  <si>
    <t>1405/08/30</t>
  </si>
  <si>
    <t>تسهیل در  محاسبه کارمزد روزانه</t>
  </si>
  <si>
    <t xml:space="preserve">تاخیر در محاسبه کارمزد روزانه </t>
  </si>
  <si>
    <t xml:space="preserve">تغییر در نرخ کارمزد  </t>
  </si>
  <si>
    <t xml:space="preserve">تطابق هزینه کارمزد با بودجه مصوب در سامانه فن آوران </t>
  </si>
  <si>
    <t>عدم تطابق هزینه کارمزد با بودجه مصوب</t>
  </si>
  <si>
    <t>تغییر نرخ کارمزد</t>
  </si>
  <si>
    <t>1405/06/01</t>
  </si>
  <si>
    <t>تسهیل در گزارشگیری مطالبات و تسریع در وصول مطالبات</t>
  </si>
  <si>
    <t>عدم پیگیری مطالبات سنوات گذشته</t>
  </si>
  <si>
    <t xml:space="preserve">عدم تحقق داده های واقعی سنوات گذشته با داشبورد مطالبات </t>
  </si>
  <si>
    <t xml:space="preserve">دسترسی آسان به اسناد و مدارک </t>
  </si>
  <si>
    <t>عدم دسترسی آسان به اسناد و مدارک</t>
  </si>
  <si>
    <t xml:space="preserve">سنگین بودن قایل اسناد و مدارک  </t>
  </si>
  <si>
    <t>1405/05/31</t>
  </si>
  <si>
    <t xml:space="preserve">شفافیت در گزارشگیری    </t>
  </si>
  <si>
    <t>اجراعدم شفافیت گزارش و پیچیدگی آن</t>
  </si>
  <si>
    <t xml:space="preserve">عدم تطابق کد اقتصادی بیمه گذاران با کد شعب   </t>
  </si>
  <si>
    <t xml:space="preserve">تسهیل در گزارشگیری  صورتحساب‌های اجباری   </t>
  </si>
  <si>
    <t>عدم گزارشگیری دقیق و قابل اتکا</t>
  </si>
  <si>
    <t xml:space="preserve">عدم مطابقت صورتحساب‌های اجباری برمبنای صدور بیمه نامه یا شروع بیمه نامه  </t>
  </si>
  <si>
    <t>محاسبه دقیق و به‌موقع ذخایر فنی بیمه‌ای بر اساس الزامات قانونی و استانداردهای حسابداری، صحه‌سنجی محاسبات توسط اکچوئر رسمی تأییدشده بیمه مرکزی، افزایش شفافیت، انضباط و دقت در گزارش‌های مالی،  ایجاد زیرساخت تحلیلی برای مدیریت ریسک و بهبود نرخ سود و زیان بیمه‌ای</t>
  </si>
  <si>
    <t>•	ریسک عدم اجرا: عدم  محاسبه دقیق و به‌موقع ذخایر فنی بیمه‌ای بر اساس الزامات قانونی و استانداردهای حسابداری</t>
  </si>
  <si>
    <t xml:space="preserve">اشتباه در داده‌های تاریخی و  نرخ خسارت </t>
  </si>
  <si>
    <t>1404/06/31</t>
  </si>
  <si>
    <t>مدیریت بهینه جریان‌های نقدی شرکت (ورودی‌ها و خروجی‌ها)، افزایش دقت و سرعت در تطبیق وجوه دریافتی و پرداختی و    کاهش خطاهای انسانی در فرایندهای مالی، کاهش محسوس مغایرت‌ها و تسریع در تصمیم‌گیری مالی،  داشبورد مدیریتی لحظه‌ای برای مدیر مالی</t>
  </si>
  <si>
    <t xml:space="preserve">کاهش دقت و سرعت در گزارش های  مالی </t>
  </si>
  <si>
    <t>مشکلات فنی اتصال به بانک‌ها، مغایرت در داده‌های بانکی</t>
  </si>
  <si>
    <t>تسهیل در پرداخت خسارت</t>
  </si>
  <si>
    <t>تاخیر در  در پرداخت خسارت</t>
  </si>
  <si>
    <t xml:space="preserve">عدم زیر ساخت های مطمئن  </t>
  </si>
  <si>
    <t>میزان تحقق برنامه در زمان بندی اعلام شده.</t>
  </si>
  <si>
    <t>150.000.000.000 ریال</t>
  </si>
  <si>
    <t>عدم توسعه و به روز رسانی فرآیند های بیمه گری و حفظ فضای سنتی مربوطه.
از دست دادن مشتریان علاقه مند به استفاده از محصولات جدید بیمه ای و سرمایه گذاری منابع مربوطه.</t>
  </si>
  <si>
    <t>عدم توانایی رقابت با محصولات موجود.
ایجاد محدودیت در فرایند سرمایه گذاری شرکت و محدود نمودن آن.
عدم توانایی شرکت سبد گردان در مدیریت دارایی های متناسب با تقاضای بیمه گزاران.
عدم توانایی نرم افزارهای همکار در پاسخگویی به مشتریان(داراوان)</t>
  </si>
  <si>
    <t>(IT)1405/06/31       (1405/12/29 عمروسرمایه گذاری)</t>
  </si>
  <si>
    <t>جذب 350 نفر(ارکان سازمان)</t>
  </si>
  <si>
    <t>تعداد ارکان سازمان فروش بیمه های زندگی</t>
  </si>
  <si>
    <t>50.000.000.000 ریال</t>
  </si>
  <si>
    <t>عدم افزایش ارکان سازمان فروش مطابق با اهداف در نظر گرفته شده ، عدم تحقق فروش و بودجه مصوب</t>
  </si>
  <si>
    <t>عدم شرکت متقاضیان در کلاس های آموزشی ، کاهش تعداد افراد جذب شده در سازمان فروش بعد از جذب، عدم همکاری مناسب نمایندگان منتخب مدیر ارشدی ، عدم پشتبانی مناسب و همسو با برنامه توسط مدیریت های همکار</t>
  </si>
  <si>
    <t>150میلیارد تومان</t>
  </si>
  <si>
    <t>میزان فروش محصول و تحقق بودجه مصوب مربوطه</t>
  </si>
  <si>
    <t>عدم تحقق بودجه مصوب، عدم امکان رقابت با محصولات مشابه سایر شرکت ها</t>
  </si>
  <si>
    <t>عدم استقبال شبکه فروش و عدم توانایی رقابت محصول با محصولات مشابه موجود در بازار، پیچیدگی فرایند دریافت اعتبار از بانک تجارت.</t>
  </si>
  <si>
    <t>30میلیارد تومان</t>
  </si>
  <si>
    <t xml:space="preserve">میزان فروش محصول </t>
  </si>
  <si>
    <t>30.000.000.000 ریال</t>
  </si>
  <si>
    <t xml:space="preserve">عدم تحقق فروش و بودجه مصوب 
از دست دادن بازار بالقوه 
عدم امکان رقابت با سایر شرکت ها </t>
  </si>
  <si>
    <t xml:space="preserve">عدم استقبال شبکه فروش و عدم جذابیت محصول </t>
  </si>
  <si>
    <t>3ماهه</t>
  </si>
  <si>
    <t>رتبه بندی و انتخاب مناسب و عادلانه ارزیابان بر اساس مدل طراحی شده و افزایش سطح رضایت مندی بیمه گذاران</t>
  </si>
  <si>
    <t>عدم طبقه بندی شرکت های ارزیابی بر مبنای توانایی و واگذاری های نامتناسب،  کاهش سطح رضایت بیمه شدگان و ریزش پرتفوی درمان تکمیلی</t>
  </si>
  <si>
    <t>خطای گزارش و تصمیم گیری های نامناسب، حذف برخی از شرکت های ارزیابی</t>
  </si>
  <si>
    <t>1405/10/30</t>
  </si>
  <si>
    <t>3 ماهه</t>
  </si>
  <si>
    <t>جلوگیری از پرداخت خسارت تکراری به بیمه شدگان به منظور کنترل ضریب خسارت و عدم پرداخت خسارت من غیر حق</t>
  </si>
  <si>
    <t>پرداخت خسارت مضاعف و من غیر حق</t>
  </si>
  <si>
    <t>خطای گزارش گیری و تصمیمات غیر صحیح</t>
  </si>
  <si>
    <t>1405/03/01</t>
  </si>
  <si>
    <t>خرده فروشی و افزایش نقدینگی ناشی از افزایش حجم فروش بیمه های عمر و حوادث</t>
  </si>
  <si>
    <t>عدم تحقق بودجه مصوب حوادث</t>
  </si>
  <si>
    <t>4ماهه</t>
  </si>
  <si>
    <t>درصد پوشش فرآیندهای مستندشده در داشبورد BI نسبت به کل فرآیندهای سازمان</t>
  </si>
  <si>
    <t>تداوم سردرگمی در فرآیندها به دلیل نبود زبان مشترک، تصمیم‌گیری‌های غیرداده‌محور و افزایش خطاهای عملیاتی</t>
  </si>
  <si>
    <t>مقاومت سازمانی در پذیرش داشبورد به‌جای کتابچه سنتی</t>
  </si>
  <si>
    <t>1405/09/01</t>
  </si>
  <si>
    <t>7 ماهه</t>
  </si>
  <si>
    <t xml:space="preserve">تعداد فرآیندهای بروزرسانی شده  </t>
  </si>
  <si>
    <t>تداوم مشکلات و گلوگاه‌های فرایندی بدون شناسایی و بهبود
کاهش انگیزه و حس مشارکت کارکنان</t>
  </si>
  <si>
    <t>عدم مشارکت کارکنان در ارائه پیشنهاد
عدم همکاری مدیران در بررسی و اجرای پیشنهادات
طراحی پیچیده یا غیر کاربردی فرایند</t>
  </si>
  <si>
    <t>6ماهه</t>
  </si>
  <si>
    <t>تعداد یا درصد کاهش موارد مغایرت کشف‌شده نسبت به سال قبل</t>
  </si>
  <si>
    <t>تداوم تخلفات و مغایرت‌های احتمالی در ارائه خدمات درمانی
نبود شفافیت در عملکرد مراکز درمانی طرف قرارداد
افزایش هزینه‌های درمانی ناشی از عدم نظارت مؤثر
نبود داده‌های تحلیلی برای تصمیم‌گیری مدیریتی در حوزه درمان</t>
  </si>
  <si>
    <t>تأخیر در توسعه یا پیاده‌سازی سامانه توسط واحد فناوری اطلاعات--بروز مشکلات فنی یا ناسازگاری سامانه با سیستم‌های موجود شرکت</t>
  </si>
  <si>
    <t>9 ماهه</t>
  </si>
  <si>
    <t>100%-100%</t>
  </si>
  <si>
    <t>درصد رضایت مشتریان نسبت به سال گذشته   - درصد اجرایی(CAPA)= اقدامات اصلاحی انجام شده / اقدامات اصلاحی برنانه ریزی شده *100</t>
  </si>
  <si>
    <t>تداوم نارضایتی مشتریان و افزایش شکایات تکراری
خدشه به اعتبار و برند سازمان
عدم شناسایی ریشه‌ای مشکلات داخلی</t>
  </si>
  <si>
    <t xml:space="preserve"> عدم استفاده مشتری و کارکنان  به علت طراحی فرآیند پیچیده و طولانی 
عدم مشارکت واحدهای درگیر
عدم شکایت مشتریان به دلیل کانال‌های محدود ارتباطی
عدم پایداری سیستم‌ها
تعیین نامشخص مسئولیت‌ها
عدم آموزش صحیح کارکنان</t>
  </si>
  <si>
    <t>3مااهه-3 ماهه</t>
  </si>
  <si>
    <t>50%-50%</t>
  </si>
  <si>
    <t>درصد فرایندهای دارای دستورالعمل مدون--درصد دستورالعمل‌های به‌روز</t>
  </si>
  <si>
    <t>استمرار رویه‌های سلیقه ای به علت عدم وجود دستورالعمل‌های مدون و قابل دسترس
عدم وجود مستندات استاندارد ،فرایند آموزش کارکنان جدید را بسیار دشوار و زمان بر می کند 
عدم هماهنگی در بین واحدها به دلیل نبود استاندارهای مشخص 
عدم شفافیت در مسئولیت‌ها</t>
  </si>
  <si>
    <t>طولانی شدن فرایند تصویب دستورالعمل‌ها
عدم طراحی صحیح فرایند بروزسانی و مدیریت دستورالعمل‌ها</t>
  </si>
  <si>
    <t>تعداد مناقصات ثبت‌شده در BPMS</t>
  </si>
  <si>
    <t>استمرار فرایندهای غیر سیستمی و عدم شفافیت در مراحل مناقصه
عدم تطبیق با الزامات داخلی
عدم امکان مدیریت پرونده‌های آرشیو شده و مستندات ناقص</t>
  </si>
  <si>
    <t>عدم تحلیل صحیح جریان فعلی مناقصات و طراحی ناقص در BPMS
عدم یکپارچگی با سامانه‌های دیگر
تاخیر در مرحله تست و تایید نهایی سامانه
عدم آموزش صحیح کارشناسان
بروز مشکلات فنی در هنگام پیاده سازی فرایند
عدم تعریف صحیح نقش‌ها و سطح دسترسی</t>
  </si>
  <si>
    <t>1405/06/30</t>
  </si>
  <si>
    <t>6ماهه- 3ماهه</t>
  </si>
  <si>
    <t>درصد واحدها/بخش‌هایی که از سامانه تیکتینگ استفاده می‌کنند--میانگین زمان از ثبت تیکت تا اولین پاسخ یا تغییر وضعیت 4 ساعت.</t>
  </si>
  <si>
    <t>استمرار فرایندهای غیر سیستمی و عدم شفافیت 
مشخص نبودن مسئول پیگیری تیکت‌ها
عدم شفافیت در ارزیابی عملکرد تیم پشتیبانی،شناسایی گلگوگاه‌ها و نقاط ضعف</t>
  </si>
  <si>
    <t>عدم تحلیل صحیح جریان فعلی تیکتینگ و طراحی ناقص در BPMS
عدم یکپارچگی با سامانه‌های دیگر  
تاخیر در مرحله تست و تایید نهایی سامانه
عدم آموزش صحیح کارشناسان
بروز مشکلات فنی در هنگام پیاده سازی فرایند
عدم تعریف صحیح نقش‌ها و سطح دسترسی</t>
  </si>
  <si>
    <t>1405/08/01</t>
  </si>
  <si>
    <t>درصد تحقق مراحل ارزیابی و انتخاب سامانه
درصد انطباق سامانه منتخب با نیازمندی‌های شرکت 
درصد پیشرفت پیاده‌سازی و استقرار سامانه 
درصد موفقیت تست سامانه
درصد کاربران آموزش‌دیده</t>
  </si>
  <si>
    <t>فرایندهای سازمانی همچنان دستی، جزیره‌ای و زمان بر باقی می‌مانند-امکان مدیریت پایش و بهبود فرایندها کاهش می‌یابد
بهره‌وری عملیاتی و سرعت گردش کار بهبود نمی‌یابد
تحول دیجیتال در حوزه فرایندها به تعویق می‌افتد
وابستگی به رویه‌های غیرسیستمی و غیرشفاف</t>
  </si>
  <si>
    <t xml:space="preserve">عدم همکاری یا تأخیر شرکت‌های ارائه‌دهنده BPMS در ارائه دمو، مستندات یا پیشنهاد فنی
عدم اجماع بین واحدهای ذی‌نفع در انتخاب سامانه
طولانی‌شدن فرایند عقد قرارداد با شرکت منتخب
بروز مشکلات فنی در استقرار اولیه سامانه
محدودیت زیرساختی یا ناسازگاری سامانه با نیازهای فناوری اطلاعات شرکت
تأخیر در آموزش کاربران و پذیرش پایین سامانه </t>
  </si>
  <si>
    <t>تعداد فرایندهای که وضعیت موجود آنها مستندسازی شده است.
درصد فرایندهایی که سطح بلوغ آنها تعیین شده است.</t>
  </si>
  <si>
    <t xml:space="preserve">ناشناخته ماندن سطح بلوغ واقعی فرایندهای سازمان
اتلاف منابع در برخی فرایندها
کاهش اثربخشی پروژه‌های اتوماسیون سازی فرایندها </t>
  </si>
  <si>
    <t>در دسترس نبودن داده‌ها جهت ارزیابی دقیق فرایندها
عدم همکاری به‌موقع واحدها جهت ارائه اطلاعات فرایندی
عدم وجود معیارهای مشخص برای سنجش بلوغ فرایند-محدودیت منابع برای اجرای اقدامات بهبود</t>
  </si>
  <si>
    <t xml:space="preserve">انطباق با اهداف و جهت گیری های کلان </t>
  </si>
  <si>
    <t>عدم جهت گیری بهنگام در اقدامات و انحراف از اهداف کلان</t>
  </si>
  <si>
    <t>عدم همکاری مدیریت های همکار</t>
  </si>
  <si>
    <t>نسبت تقلب های تشخیص داده شده به ارزیابی شده</t>
  </si>
  <si>
    <t>عدم تشخیص دقیق و به هنگام تقلب در اعلام خسارت</t>
  </si>
  <si>
    <t>عدم طراحی دقیق الگوریتم و همکاری سامانه سیناد و فناوران</t>
  </si>
  <si>
    <t>درمان عمر حوادث/فناوری اطلاعات</t>
  </si>
  <si>
    <t>6 ماهه</t>
  </si>
  <si>
    <t>60%-50%</t>
  </si>
  <si>
    <t>نسبت خسارت در قیمت گذاری ها-نسبت مانده عملیاتی بیمه نامه های صادره براساس مدل پیشنهادی</t>
  </si>
  <si>
    <t>قیمت دهی غیراقتصادی و غیر رقابتی</t>
  </si>
  <si>
    <t>نسبت خسارت رشته های مثلث ریسک کمتر از 80% وسایر رشته ها کمتر از 40%</t>
  </si>
  <si>
    <t>نسبت خسارت در طرحهای پیشنهادی</t>
  </si>
  <si>
    <t>فروش از دست رفته، پیش گرفتن رقبا در ارائه طرح ها</t>
  </si>
  <si>
    <t>دستیابی به پرتفو طلایی برای شعب با عملکرد بالای 100% در سال -دستیابی به پرتفو عادی برای شعب با عملکرد زیر 70% در سال 1404</t>
  </si>
  <si>
    <t>عدم بهینگی کسب و کار و اقدامات بازاریابی در جهت استراتژی های تعیین شده</t>
  </si>
  <si>
    <t>کاهش تعدادی عارضه ها در انتهای برنامه</t>
  </si>
  <si>
    <t>پایین آمدن راندمان و توسعه آسیب ها و عارضه ها</t>
  </si>
  <si>
    <t>سهم فروش محصول جدید و طرح های موضوعی</t>
  </si>
  <si>
    <t>از دست رفتن فرصت کسب بازارهای پنهان و عقب افتادن از رقبا</t>
  </si>
  <si>
    <t>نسبت فروش متقاطع و افزایشی به کل</t>
  </si>
  <si>
    <t>عدم استفاده از ظرفیت فروش و بازار</t>
  </si>
  <si>
    <t>عدم همکاری مدیریت های فنی</t>
  </si>
  <si>
    <t xml:space="preserve">    Google Dev  در ابزارSEOرتبه </t>
  </si>
  <si>
    <t>کاهش رتبه بازدید و سئو و از دست دادن فرصت تبلیغ و توسعه برند در فضای مجازی</t>
  </si>
  <si>
    <t>عدم همکاری مدیریت های همکار در تهیه و تدوین محتوای بهینه و بهنگام</t>
  </si>
  <si>
    <t>طراحی داشبورد فرآیند پرداخت درمان</t>
  </si>
  <si>
    <t>ممیزی و تامین نیازمندیهای نرم افزاری بانک تجارت</t>
  </si>
  <si>
    <t>عدم دیجیتال سازی فرم ها</t>
  </si>
  <si>
    <t>1405/12/28</t>
  </si>
  <si>
    <t>در صورت اجرا گزارش گیری راحت تر میشود.</t>
  </si>
  <si>
    <t>1405/07/01</t>
  </si>
  <si>
    <t>ریزدانگی دیتا در سطح قسط نمیباشد</t>
  </si>
  <si>
    <t xml:space="preserve">قدیمی بودن تجهیزات فایروال شعب </t>
  </si>
  <si>
    <t>عدم پایداری سرویس های اینترنتی شعب در شرایط فعلی</t>
  </si>
  <si>
    <t>ماهانه</t>
  </si>
  <si>
    <t xml:space="preserve">(+-10%)-100% </t>
  </si>
  <si>
    <t>دقت پیش‌بینی جریان نقد - استقرار مدل پایش نقدینگی</t>
  </si>
  <si>
    <t>اختلال در ایفای تعهدات و افزایش ریسک نقدینگی</t>
  </si>
  <si>
    <t>عدم دسترسی به داده‌های دقیق مالی</t>
  </si>
  <si>
    <t>حداقل 90%-- حداقل دو تست در سال</t>
  </si>
  <si>
    <t>درصد پوشش فرآیندهای حیاتی دارای BCP-تعداد سناریوهای تست‌شده BCP</t>
  </si>
  <si>
    <t>اختلال در تداوم فعالیت شرکت در شرایط بحران</t>
  </si>
  <si>
    <t>عدم همکاری واحدها در شناسایی فرآیندهای حیاتی</t>
  </si>
  <si>
    <t>حداقل 1بار در سال -100%</t>
  </si>
  <si>
    <t>تعداد ممیزی‌های داخلی ریسک انجام‌شده-درصد واحدهای عملیاتی تحت پوشش فرآیندهای ریسک</t>
  </si>
  <si>
    <t>عدم انطباق با الزامات ISO و کاهش اثربخشی مدیریت ریسک</t>
  </si>
  <si>
    <t>مقاومت واحدها در پذیرش فرآیندهای جدید</t>
  </si>
  <si>
    <t xml:space="preserve"> 100% -  حداقل 5 سناریو</t>
  </si>
  <si>
    <t>تعداد سناریوهای تدوین‌شده و عملیاتی‌شده-درصد سناریوهای دارای برنامه اقدام</t>
  </si>
  <si>
    <t>غافلگیری سازمان در مواجهه با ریسک‌های کلان</t>
  </si>
  <si>
    <t>عدم همکاری واحدها در ارائه اطلاعات تخصصی</t>
  </si>
  <si>
    <t>استقرار داشبور و پوشش حداقل 80% ریسک های کلیدی</t>
  </si>
  <si>
    <t>کاهش اثربخشی و شفافیت در تصمیم‌گیری مدیریتی</t>
  </si>
  <si>
    <t>عدم همکاری واحدها در ارائه داده</t>
  </si>
  <si>
    <t>12 ماهه</t>
  </si>
  <si>
    <t>برای رشته‌های اصلی و پرریسک شامل درمان، اتومبیل، آتش‌سوزی، مسئولیت، مهندسی و عمر، شاخص‌های ریسک نمونه‌گیری تدوین و عملیاتی شود.- حداقل ۷۰ درصد نمونه‌های حسابرسی رشته‌های بیمه‌ای بر اساس مدل ریسک‌محور انتخاب شوند، نه صرفاً بر مبنای انتخاب دستی یا تصادفی.</t>
  </si>
  <si>
    <t>درصد رشته‌های بیمه‌ای دارای شاخص ریسک نمونه‌گیری-  درصد نمونه‌های انتخاب‌شده بر اساس الگوریتم ریسک‌محور</t>
  </si>
  <si>
    <t xml:space="preserve">	تداوم نمونه‌گیری سنتی و کاهش اثربخشی حسابرسی
عدم پوشش مناسب شعب و رشته‌های پرریسک</t>
  </si>
  <si>
    <t xml:space="preserve">	طراحی نامناسب شاخص‌ها و انحراف در انتخاب نمونه
محدودیت داده‌های سیستمی و کیفیت پایین اطلاعات استخراج‌شده</t>
  </si>
  <si>
    <t>شناسایی، مستند سازی و اولویت ‌بندی حداقل 10 ریسک پر تکرار اصلی تا پایان برنامه--تدوین حداقل 1 مجموعه شیوه‌ نامه شامل کنترل ‌های پیشنهادی برای تمامی ریسک‌ های منتخب تا پایان برنامه</t>
  </si>
  <si>
    <t>تعداد ریسک‌های پرتکرار شناسایی و مستندسازی‌شده--تعداد شیوه‌نامه‌ها و کنترل‌های پیشنهادی تدوین‌شده</t>
  </si>
  <si>
    <t xml:space="preserve">	تداوم تکرار یافته‌های مشابه در حسابرسی‌های سنوات آتی
باقی‌ماندن ضعف‌های کنترلی بدون چارچوب اصلاحی مشخص</t>
  </si>
  <si>
    <t xml:space="preserve">		تقویت رویکرد پیشگیرانه در حسابرسی و کاهش تکرار ضعف‌های کنترلی 		ایجاد مبنای واحد برای شناسایی، تحلیل و برخورد با ریسک‌های پرتکرار </t>
  </si>
  <si>
    <t xml:space="preserve"> تکمیل حداقل ۹۰ درصد بانک اطلاعات ریسک برای شعب و واحدهای ستادی تا پایان سال، شامل داده‌های مالی، فنی، عملیاتی و کنترلی قابل اتکا.- طبقه‌بندی حداقل ۸۵ درصد شعب و واحدهای ستادی در سطوح ریسک بالا، متوسط و پایین تا پایان سال و استفاده از نتایج آن در برنامه حسابرسی سالانه.</t>
  </si>
  <si>
    <t>درصد تکمیل بانک اطلاعات ریسک واحدها و شعب - درصد طبقه‌بندی واحدها و شعب بر اساس سطح ریسک</t>
  </si>
  <si>
    <t>    عدم اجرای برنامه باعث می‌شود انتخاب شعب و واحدهای ستادی برای حسابرسی بر مبنای قضاوت سنتی، درخواست‌های موردی یا سوابق قبلی انجام شود.   در صورت نبود طبقه‌بندی مبتنی بر COSO و شاخص‌های مالی و فنی، احتمال دارد واحدهای با ریسک بالا در برنامه حسابرسی سالانه قرار نگیرند.</t>
  </si>
  <si>
    <t>1.	در صورت نبود داده‌های دقیق، به‌روز و قابل اتکا، طبقه‌بندی ریسک واحدها و شعب ممکن است دچار انحراف شود.
احتمال دارد میان حسابرسی داخلی، مدیریت ریسک، واحدهای فنی و شعب درباره وزن شاخص‌ها یا سطح ریسک نهایی اختلاف ایجاد شود.</t>
  </si>
  <si>
    <t>شناسایی و ارزیابی حداقل 70 درصد ریسک‌های کلیدی فرآیند دریافت و پرداخت و تهیه فهرست طبقه‌بندی‌شده از ریسک‌ها، کنترل‌های موجود، ضعف‌های کنترلی و موارد نیازمند اصلاح.     تدوین حداقل 4 کنترل نظارتی کاربردی و پیگیری استقرار حداقل ۷۰ درصد کنترل‌های مصوب در سیستم‌ها، درگاه‌های مالی یا دستورالعمل‌های اجرایی مرتبط.</t>
  </si>
  <si>
    <t>میزان شناسایی و کنترل ریسک‌های کلیدی فرآیند دریافت و پرداخت                 میزان تدوین و استقرار کنترل‌های نظارتی بر اصالت ذینفعان</t>
  </si>
  <si>
    <t xml:space="preserve">	افزایش احتمال پرداخت اشتباه یا غیرمجاز به ذی‌نفع نامعتبر به دلیل نبود کنترل کافی بر اصالت ذی‌نفع، شماره حساب، قرارداد و مسیر واریز. 
تداوم مغایرت‌های مالی و قراردادی در فرآیند پرداخت که می‌تواند منجر به ضعف کنترل داخلی، افزایش ریسک سوءاستفاده، اختلاف با نمایندگان و کارگزاران و کاهش قابلیت اتکای گزارش‌های مدیریتی شود.</t>
  </si>
  <si>
    <t>       عدم یکپارچگی و کفایت اطلاعات مالی، قراردادی و هویتی ذی‌نفعان که می‌تواند کنترل اصالت ذی‌نفع، تطبیق شماره حساب با قرارداد و بررسی مسیر پرداخت را با خطا یا تأخیر مواجه کند.      	مقاومت یا عدم همکاری کامل واحدهای مرتبط و شبکه فروش در ارائه مستندات، پذیرش کنترل‌های جدید و اصلاح فرآیندهای پرداخت، به‌ویژه در موارد مرتبط با تغییر حساب یا درگاه‌های پرداخت.</t>
  </si>
  <si>
    <t xml:space="preserve"> ارائه حداقل 4 پیشنهاد اصلاحی کاربردی و قابل اجرا با تعیین واحد مسئول، زمان‌بندی اجرا، اثر مورد انتظار و اولویت‌بندی بر اساس ریسک و اثر مالی--: ارائه حداقل 4 پیشنهاد اصلاحی کاربردی و قابل اجرا با تعیین واحد مسئول، زمان‌بندی اجرا، اثر مورد انتظار و اولویت‌بندی بر اساس ریسک و اثر مالی.</t>
  </si>
  <si>
    <t xml:space="preserve">میزان شناسایی و مستندسازی نقاط ضعف و قوت فرآیند بازیافت              میزان ارائه پیشنهادهای اصلاحی قابل اجرا برای بهبود فرآیند            </t>
  </si>
  <si>
    <t xml:space="preserve">	تداوم ضعف در شناسایی و پیگیری مطالبات بازیافتی در رشته اتومبیل.	افزایش احتمال تضییع حقوق شرکت به دلیل عدم بازیافت به‌موقع خسارت‌ها.
	باقی ماندن مغایرت‌های سیستمی و فرآیندی بدون اقدام اصلاحی مشخص.
	کاهش اثربخشی کنترل‌های داخلی در فرآیند خسارت و بازیافت.</t>
  </si>
  <si>
    <t xml:space="preserve">	عدم همکاری کامل واحدهای خسارت، مالی و فناوری اطلاعات در ارائه داده‌ها و مستندات.
	ناقص بودن اطلاعات سیستمی مربوط به بازیافت، مطالبات، مقصر حادثه، بازیافت از بیمه‌گر مقابل یا اشخاص ثالث.
	نبود رویه یکسان در شعب برای ثبت، پیگیری و گزارش‌گیری از پرونده‌های بازیافتی.
	محدودیت دسترسی به گزارش‌های تحلیلی و داده‌های قابل اتکا در سامانه‌های عملیاتی.</t>
  </si>
  <si>
    <t xml:space="preserve"> امتیازدهی و طبقه‌بندی 80 درصد شعب مورد بررسی در دامنه برنامه</t>
  </si>
  <si>
    <t>تعداد شعب امتیازدهی و طبقه ‌بندی‌ شده</t>
  </si>
  <si>
    <t xml:space="preserve">	نبود مبنای منسجم برای تفکیک شعب پرریسک و کم‌ریسک
	کاهش دقت در اولویت‌بندی برنامه‌های حسابرسی شعب</t>
  </si>
  <si>
    <t xml:space="preserve">	تصمیم‌گیری مدیریتی در خصوص اولویت‌بندی رسیدگی به شعب
	ایجاد تصویر  بهبود شفاف از وضعیت کنترلی و عملکردی شعب</t>
  </si>
  <si>
    <t xml:space="preserve">800.000.000.000 ریال </t>
  </si>
  <si>
    <t>جذب پرتفوی حدکاثری بیمه‌نامه‌های خرد از طریق پرسنل بانک و تقویت ارتباط با ایشان و برندسازی</t>
  </si>
  <si>
    <t>ارتباط و تعامل کم با همکاران بانکی</t>
  </si>
  <si>
    <t>عدم دریافت بازخورد مثبت از سوی پرسنل بانک تجارت</t>
  </si>
  <si>
    <t>500.000.000.000 ریال</t>
  </si>
  <si>
    <t>افزایش خرده‌فروشی و جذب پرتفوی حداکثری بانک تجارت</t>
  </si>
  <si>
    <t>عدم جذب پرتفوی خرد با حداقل انتظارات پیش‌بینی شده</t>
  </si>
  <si>
    <t>اختلال در سیستم صدور آنلاین بیمه‌نامه و ارائه خدمات در حداقل زمان ممکن</t>
  </si>
  <si>
    <t>500.000.000.000 ریال در سال</t>
  </si>
  <si>
    <t>ریزش پرتفوی خارج از سامانه به شرکتهای رقیب</t>
  </si>
  <si>
    <t>عدم هماهنگی ادارات بانک و زمانبرشدن فرآیند اجرا</t>
  </si>
  <si>
    <t xml:space="preserve">500.000.000.000 ریال </t>
  </si>
  <si>
    <t xml:space="preserve">تکمیل سبد پرتفوی با ارائه پکیج بیمه‌ای به مشتریان بانک تجارت  </t>
  </si>
  <si>
    <t>عدم جذب پرتفوهای بالقوه به بالفعل</t>
  </si>
  <si>
    <t>عدم همکاری مشتریان بانک تجارت و تعلق خاطر به شرکتهای رقیب</t>
  </si>
  <si>
    <t>1.000.000.000 ریال</t>
  </si>
  <si>
    <t xml:space="preserve">جذب حداکثری رشته باربری بانک تجارت  </t>
  </si>
  <si>
    <t xml:space="preserve">1.600.000.000.000 ریال </t>
  </si>
  <si>
    <t xml:space="preserve">جلوگیری از ریزش پرتفوی به سبب سهولت در نحوه صدور بیمه‌نامه  </t>
  </si>
  <si>
    <t>اطمینان از اجرای مفاد قوانین مبارزه با پولشویی و تأمین مالی تروریسم در شعب</t>
  </si>
  <si>
    <t>عدم اطمینان از اجرای مفاد قوانین مبارزه با پولشویی و تأمین مالی تروریسم در شعب</t>
  </si>
  <si>
    <t>عدم اعزام کارکنان حسابرسی داخلی به شعب</t>
  </si>
  <si>
    <t>ارتقاء علمی مخاطبین در خصوص آشنایی با مباحث مبارزه با پولشویی</t>
  </si>
  <si>
    <t>ایجاد ارتباط ارائه مجازی مباحث</t>
  </si>
  <si>
    <t>نداشتن دانش و آگاهی مورد نیاز مسئولین شعب در خصوص مباحث مبارزه با پولشویی</t>
  </si>
  <si>
    <t>عدم آماده سازی ارتباط مجازی مورد نیاز برای ارائه مباحث</t>
  </si>
  <si>
    <r>
      <t>شناسایی دقیق هویت مشتری</t>
    </r>
    <r>
      <rPr>
        <b/>
        <sz val="10"/>
        <color theme="1"/>
        <rFont val="FarhangFaNum"/>
      </rPr>
      <t xml:space="preserve">(KYC) </t>
    </r>
    <r>
      <rPr>
        <b/>
        <sz val="10"/>
        <color theme="1"/>
        <rFont val="B Nazanin"/>
        <charset val="178"/>
      </rPr>
      <t xml:space="preserve"> از طریق بررسی مدارک شناسایی معتبر و استعلام از سامانه‌های نظارتی</t>
    </r>
  </si>
  <si>
    <t>تهیه نرم افزار و سامانه های مربوطه</t>
  </si>
  <si>
    <t>ارتباط با افراد یا نهادهای مشکوک و افزایش خسارات تقلبی_  عدم توانایی در شناسایی پولشویی و جرایم مرتبط.- عدم شفافیت مالی و جریمه‌های نظارتی - آسیب به اعتبار شرکت-  نقض الزامات قانونی و مقرراتی- عدم شناسایی و کنترل مشتریان پرریسک</t>
  </si>
  <si>
    <t>افزایش زمان ارائه خدمت- ازدست‌دادن بخشی از بازار یا مشتریان- حساسیت یا مقاومت مشتریان در ارائه اطلاعات-  پیچیدگی در فرآیندهای نظارتی داخلی-  عدم هماهنگی با سایر واحدها</t>
  </si>
  <si>
    <t>تعداد ساعت کلاس برگزاری شده</t>
  </si>
  <si>
    <t>فضای مناسب آموزشی</t>
  </si>
  <si>
    <t>000/000/800-000/000/500 ریال</t>
  </si>
  <si>
    <t>قصور در شناسایی یا گزارش فعالیت‌ها و تراکنش های مشکوک_ نادیده گرفتن الزامات قانونی_ ناتوانی در اجرای سیاست‌ها و رویه‌ها_ عدم شناسایی و پاسخگویی به موقع به ریسک‌ها</t>
  </si>
  <si>
    <t>عدم استقبال و عدم حضور موثر شرکت‌کنندگان_ عدم تطابق با مقررات اجرایی و داخلی شرکت_ مقاومت در برابر تغییرات عملیاتی_ هزینه‌های اجرایی و بودجه بندی_ ضعف در تعامل آموزشی و عدم سنجش اثربخشی آموزش‌ها</t>
  </si>
  <si>
    <t>راه اندازی شبکه مستقل مدیریت حراست</t>
  </si>
  <si>
    <t>دستگاه های فنی و خط MPLS</t>
  </si>
  <si>
    <t>000/000/000/8 ریال</t>
  </si>
  <si>
    <t>عدم حفظ محرمانگی و دسترسی غیر مجاز به اطلاعات</t>
  </si>
  <si>
    <t>تأخیر در خرید و نصب تجهیزات و بکارگیری پهنای باند مستقل</t>
  </si>
  <si>
    <t>ایجاد برق اضطراری مجزا (UPS) برای دوربین ها</t>
  </si>
  <si>
    <t>باطری های UPS</t>
  </si>
  <si>
    <t>000/000/000/20 ریال</t>
  </si>
  <si>
    <t>عدم ضبط و ارسال تصاویر دوربین های مدار بسته در خاموشی های بلند مدت</t>
  </si>
  <si>
    <t xml:space="preserve">تأخیر در خرید و نصب تجهیزات </t>
  </si>
  <si>
    <t>مجهز شدن شعب به سیستم اعلام و اطفاء حریق</t>
  </si>
  <si>
    <t>سیستم های اعلام و اطفاء</t>
  </si>
  <si>
    <t>000/000/000/200 ریال</t>
  </si>
  <si>
    <t>تخریب ساختمان شعب و تجهیزات و ملزومات اداری</t>
  </si>
  <si>
    <t>بهبود روند رسیدگی به دعاوی ماده 50 باتوجه به اصلاحات</t>
  </si>
  <si>
    <t>افزایش بار مالی در پرونده های ماده 50</t>
  </si>
  <si>
    <t>عدم همکاری همکاران شعب</t>
  </si>
  <si>
    <t>شناسایی شاخص های کلیدی جهت پیاده سازی و در نهایت طراحی داشبورد در BI</t>
  </si>
  <si>
    <t>عدم امکان اخذ تحلیل آماری</t>
  </si>
  <si>
    <t>عدم امکان تعیین شاخص</t>
  </si>
  <si>
    <t>1405/05/01</t>
  </si>
  <si>
    <t>نسبت پرونده های الکترونیکی به کل پرونده ها</t>
  </si>
  <si>
    <t>مصرف کاغذ و تحمیل هزینه، نیاز به فضای بیشتر</t>
  </si>
  <si>
    <t>محدودیت وقت و زمان در بارگذاری</t>
  </si>
  <si>
    <t>ارزیابی از طریق آزمون (نمره قبولی حداقل 60)</t>
  </si>
  <si>
    <t>کاهش سطح دانش حقوقی همکاران شعب علی‌رغم تغییر قوانین و رویه</t>
  </si>
  <si>
    <t>عدم امکان بهره‌مندی از زیرساخت مناسب</t>
  </si>
  <si>
    <t>یکساله</t>
  </si>
  <si>
    <t xml:space="preserve">تسویه مطالبات معوق و سنواتی  </t>
  </si>
  <si>
    <t xml:space="preserve">افزایش مطاللبات معوق </t>
  </si>
  <si>
    <t xml:space="preserve">عدم همکاری مدیریت ها </t>
  </si>
  <si>
    <t xml:space="preserve">تعداد نیرو آموزش دیده به نیروی کل شعب </t>
  </si>
  <si>
    <t>عدم ارتقا کارشناس</t>
  </si>
  <si>
    <t>هماهنگی و برگزاری جلسات آموزشی</t>
  </si>
  <si>
    <t xml:space="preserve">رشد 60درصدی پرتفو نسبت به سال 1404 </t>
  </si>
  <si>
    <t xml:space="preserve">عدم تحقق بودجه تعیین شده </t>
  </si>
  <si>
    <t xml:space="preserve">عدم همکاری کارگزار </t>
  </si>
  <si>
    <t xml:space="preserve">حفظ مشتری و مشتری مداری </t>
  </si>
  <si>
    <t>نارضایتی مشتریان بزرگ و از دست دادن پرتفوهای کلان</t>
  </si>
  <si>
    <t>عدم تحقق بودجه اعلامی</t>
  </si>
  <si>
    <t>عدم همکاری شعب، ناکارآمدی اقدامات انجام شده</t>
  </si>
  <si>
    <t xml:space="preserve">رشد 60درصدی پرتفو 3 شعبه فعال نسبت به سال 1404 </t>
  </si>
  <si>
    <t>کاهش فروش و از دست دادن سهم از بازار</t>
  </si>
  <si>
    <t>اشتباه در انتخاب شعبه، عدم همکاری شعب</t>
  </si>
  <si>
    <t>پیاده سازی برنامه</t>
  </si>
  <si>
    <t>نارضایتی مشتریان</t>
  </si>
  <si>
    <t>طولانی بودن فرآیند اجرا</t>
  </si>
  <si>
    <t>تاییدیه بیمه مرکزی</t>
  </si>
  <si>
    <t>از دست رفتن درآمد</t>
  </si>
  <si>
    <t>عدم تایید بیمه مرکزی-تاخیر در پیاده سازی در سیستم</t>
  </si>
  <si>
    <t>افزایش فروش بیمه نامه به میزان 250.000.000.000 ریال</t>
  </si>
  <si>
    <t>از دست دادن این بازار-کاهش فروش- عدم تحقق پرتفو</t>
  </si>
  <si>
    <t>عدم توانایی عاملین فروش در اجرای برنامه و فروش بیشتر</t>
  </si>
  <si>
    <t>تعیین تکلیف پرونده های خسارت</t>
  </si>
  <si>
    <t>افزایش خسارات معوق و افزایش نارضایتی بیمه گذاران</t>
  </si>
  <si>
    <t>موثر نبودن آموزشها-نبود امکان بازدید حضوری از شعب-</t>
  </si>
  <si>
    <t>رفع مغایرت ها  و مشکلات</t>
  </si>
  <si>
    <t>کند شدن روند فعالیت صدور و خسارت</t>
  </si>
  <si>
    <t>ارتقا و آموزش کارکنان</t>
  </si>
  <si>
    <t>عدم کارایی برنامه های آموزشی بدلیل عدم درجه بندی کارکنان- عدم رعایت فاکتورهای شایستگی و صلاحیت کارکنان</t>
  </si>
  <si>
    <t xml:space="preserve">  سه ماه اول 20 درصد معوقات سنوات قبل
 سه ماه دوم 35 درصد معوقات سنوات قبل
 سه ماه سوم 60 درصد معوقات سنوات قبل
 سه ماه چهارم 75 درصد معوقات  سنوات قبل</t>
  </si>
  <si>
    <t>کاهش حجم مطالبات</t>
  </si>
  <si>
    <t>انباشت مطالبات سنواتی- عدم وجود جریان نقدی ورودی شرکت و ایجاد مشکلات در تسویه دیون شرکت</t>
  </si>
  <si>
    <t>عدم تحقق کامل برنامه بدلیل شرایط فعلی کشور</t>
  </si>
  <si>
    <t xml:space="preserve">تعداد نیرو‌ های اموزش دیده به کل نیرو‌ ها </t>
  </si>
  <si>
    <t>عدم همکاری واحد های همکار و شعب</t>
  </si>
  <si>
    <t>400 میلیارد ریال</t>
  </si>
  <si>
    <t>کسب پرتفو انتظاری</t>
  </si>
  <si>
    <t>از دست دادن درامد و عدم تحقق پرتفوی انتظاری</t>
  </si>
  <si>
    <t>عدم همکاری سایر مدیریتها در ایفای تعهدات</t>
  </si>
  <si>
    <t>شاخص کیفی</t>
  </si>
  <si>
    <t xml:space="preserve">رضایت و ماندگاری مشتریان </t>
  </si>
  <si>
    <t>از دست دادن درآمد و عدم تحقق پرتفو-از دست دادن مشتری</t>
  </si>
  <si>
    <t>عدم همکاری مدیریت های همکار و  خطر از دست رفتن مشتری</t>
  </si>
  <si>
    <t>100 میلیارد ریال</t>
  </si>
  <si>
    <t>از دست دادن درآمد و عدم تحقق پرتفو</t>
  </si>
  <si>
    <t>عدم همکاری و هماهنگی مدیریت های فنی و ستاد</t>
  </si>
  <si>
    <t>افزایش تعداد شعب محقق کننده بودجه 1404 در سال 1405</t>
  </si>
  <si>
    <t>کاهش سهم از بازار و سودآوری شعب</t>
  </si>
  <si>
    <t>تمرکز بیش از حد بر تحقق بودجه و کاهش کیفیت خدمات و پرتفو،تعیین غیرواقعی اهداف و شاخص های عملکردی</t>
  </si>
  <si>
    <t>6ماهه/سالانه</t>
  </si>
  <si>
    <t>کاهش متوسط زمان ارزیابی خسارت  به 20روز</t>
  </si>
  <si>
    <t>مدت زمان بالای میانگین رسیدگی به پرونده های خسارت</t>
  </si>
  <si>
    <t>عدم پیاده سازی صحیح پنل ،داشتن خلاءهای امنیتی در پنل</t>
  </si>
  <si>
    <t>رشد پرتفو محصول هدف در شعب منتخب</t>
  </si>
  <si>
    <t>تداوم روش های سنتی و کاهش بهره وری شعب</t>
  </si>
  <si>
    <t xml:space="preserve">تغییر سیاست ها و اولویت های سازمان در حین اجرا،عدم همکاری و همراهی شعب منتخب در اجرای مدل </t>
  </si>
  <si>
    <t>ارتقا 15 درصدی سطح صلاحیت حرفه ای فنی کارکنان شعب</t>
  </si>
  <si>
    <t>تداوم خطاهای فنی در صدور و رسیدگی به خسارت-افزایش ریسک های حقوقی و مالی</t>
  </si>
  <si>
    <t>عدم مشارکت موثر کارشناسان در دوره ها-محدودیت زمان به دلیل حجم بالای کار در شعب</t>
  </si>
  <si>
    <t>افزایش پرتفو شعبه در رشته باربری</t>
  </si>
  <si>
    <t>درصد کارشناسان دارای گواهی صلاحیت و تعداد ساعات آموزش تخصصی</t>
  </si>
  <si>
    <t>تدام خطاهای فنی در صدور و رسیدگی به خسارت – افزایش ریسک های حقوقی و مالی</t>
  </si>
  <si>
    <t>عدم مشارکت موثر کارشناسان در دوره ها  - محدودیت زمان به دلیل حجم بالای کار در شعب</t>
  </si>
  <si>
    <t>1،287،616،116،413 ریال</t>
  </si>
  <si>
    <t>رشد پرتفوی کارگزاران</t>
  </si>
  <si>
    <t xml:space="preserve">تمرکز بیش از حد فروش بر شبکه نمایندگان </t>
  </si>
  <si>
    <t>عدم استقبال کارگزاران – رقابت قیمتی ناسالم بین کارگزاران</t>
  </si>
  <si>
    <t>میزان پرتفوی جذب شده از مشتریان هدف و ماندگاری مشتریان سازمانی جذب شده</t>
  </si>
  <si>
    <t>از دست رفتن فرصت جذب پرتفوهای کلان – کاهش جایگاه شرکت در بازار مشتریان سازمانی</t>
  </si>
  <si>
    <t>عدم دسترسی به اطلاعات دقیق مشتریان بالقوه – رقابت قیمتی شدید از سوی شرکت های رقیب</t>
  </si>
  <si>
    <t>افزایش تعداد شعب با تحقق بودجه 100 درصد/کسب پرتفو باربری از بانک تجارت</t>
  </si>
  <si>
    <t>کاهش پرتفو رشته و نارضایتی سهامدار</t>
  </si>
  <si>
    <t>کاهش پرتفوی سایر نمایندگان/عدم همکاری بانک تجارت</t>
  </si>
  <si>
    <t>محختومه شدن تمامی پرونده های مربوط به بندر شهید رجائی</t>
  </si>
  <si>
    <t>نارضایتی بیمه گزار – از دست دادن پرتفوی – بالا رفتن شکایات بیمه مرکزی</t>
  </si>
  <si>
    <t>بالا رفتن ضریب خسارت و مبلغ پرداختی – کمبود نقدینگی واحد مالی</t>
  </si>
  <si>
    <t xml:space="preserve">وصول مطالبات بیشتر از پانصد میلیارد ریال سال های 1403 و 1404 </t>
  </si>
  <si>
    <t>سنواتی شدن مطالبات</t>
  </si>
  <si>
    <t>عدم همکاری مدیریت ها و بیمه گزاران</t>
  </si>
  <si>
    <t xml:space="preserve">درجه رضایتمندی مشتریان از نحوه پاسخگویی </t>
  </si>
  <si>
    <t xml:space="preserve">پنهان ماندن نارضایتی و از دست رفتن پرتفوی </t>
  </si>
  <si>
    <t>مشکلات در استخراج اطلاعات ، کمبود نیروی انسانی متخصص و محدودیت‌های اینترنت</t>
  </si>
  <si>
    <t>نتیجه نهایی طبقه بندی مشتریان</t>
  </si>
  <si>
    <t>افزایش ضریب خسارت با عدم شناسایی مشتریان پرریسک، افزایش نرخ ریزش مشتریان به دلیل عدم ارائه خدمات طبقه بندی شده، عدم امکان ایجاد باشگاه مشتریان</t>
  </si>
  <si>
    <t>مشکلات در استخراج اطلاعات اولیه، کمبود نیروی انسانی متخصص</t>
  </si>
  <si>
    <t xml:space="preserve">کاهش تعداد تماس ارجاعی به مدیریت های فنی </t>
  </si>
  <si>
    <t xml:space="preserve">افزایش نارضاتی و شکایت مشتریان در اثر پاسخ دهی نامطلوب </t>
  </si>
  <si>
    <r>
      <t>درجه انطباق و یکپارچگی پاسخ‌گویی در</t>
    </r>
    <r>
      <rPr>
        <b/>
        <sz val="12"/>
        <color theme="1"/>
        <rFont val="FarhangFaNum"/>
      </rPr>
      <t>CRM</t>
    </r>
  </si>
  <si>
    <t xml:space="preserve">نداشتن وحدت رویه در پاسخ‌گویی توسط شعب و ایجاد بار حقوقی با پاسخ نامناسب </t>
  </si>
  <si>
    <t xml:space="preserve"> ارائه گزارش از سطح رضایت خسارت دیدگان و عملکرد ارزیابان خسارت</t>
  </si>
  <si>
    <t>عدم نظارت بر عملکرد ارزیابان خسارت و خراب شدن  تصویر برند / عدم بهبود عملکرد شرکت و افزایش شکایات مرتبط با نحوه ارزیابی خسارت</t>
  </si>
  <si>
    <t>همکاری ناکافی واحد خسارت در ارائه اطلاعات مشتریان به منظور اجرای نظرسنجی</t>
  </si>
  <si>
    <t>انتشار ویدیو به صورت هر فصل یک ویدیو مشتری محور</t>
  </si>
  <si>
    <t>عدم آگاهی از برند</t>
  </si>
  <si>
    <t>عدم همکاری واحدها/ نبود تقویم آموزشی محتوایی منسجم/ تهیه ویدیو های غیرجذاب</t>
  </si>
  <si>
    <t>میزان ایده¬آل در طول برنامه: 80%
میزان ایده¬آل در طول برنامه: 30%
میزان ایده¬آل در طول برنامه: 20</t>
  </si>
  <si>
    <t>درصد فرآیند مناقصات اجراشده از طریق سامانه
درصد کاهش زمان متوسط اجرای فرآیند مناقصه
تعداد کارشناسان آموزش دیده در انجام مناقصات</t>
  </si>
  <si>
    <t>تداوم فرآیند دستی و افزایش خطا، کاهش شفافیت و زمان‌بندی اجرای مناقصات</t>
  </si>
  <si>
    <t>درصد کاربران آموزش‌دیده و فعال در سامانه، مقاومت کارشناسان در استفاده از سامانه</t>
  </si>
  <si>
    <t>6ماهه/یکساله</t>
  </si>
  <si>
    <t>میزان ایده¬آل در طول برنامه: 1 گروه
میزان ایده¬آل در طول برنامه: 30%</t>
  </si>
  <si>
    <t>تعداد گروه‌های شعب دارای بوم کسب و کار تدوین شده
بهبود فروش شعب دارای بوم کسب و کار</t>
  </si>
  <si>
    <t>استمرار رویکردهای غیر هدفمند در عملکرد شعب، کاهش اثربخشی برنامه‌های توسعه بازار در شعب</t>
  </si>
  <si>
    <t>عدم همکاری و مقاومت شعب، وجود ناهمگنی در دسته‌بندی شعب و پیچیدگی طراحی بوم کسب و کار</t>
  </si>
  <si>
    <t>کاهش نرخ رشد حق بیمه تولیدی و عدم توفیق در جذب مشتریان خاص و سازمانی</t>
  </si>
  <si>
    <t>عدم اثربخشی کافی بر افزایش پرتفوی شعب</t>
  </si>
  <si>
    <t>تداوم ضعف در هدف‌گذاری فروش، کاهش نرخ رشد حق بیمه تولیدی و از دست رفتن بازارهای هدف</t>
  </si>
  <si>
    <t>عدم همکاری یا مشارکت کافی از سوی شعب در جمع‌آوری داده‌ها</t>
  </si>
  <si>
    <t>3ماهه/یکساله</t>
  </si>
  <si>
    <t>میزان ایده¬آل در طول برنامه: 60%
میزان ایده¬آل در طول برنامه: 15%
میزان ایده¬آل در طول برنامه: 10 مورد</t>
  </si>
  <si>
    <t>نسبت مناقصات شرکت کرده به مناقصات برگزار شده
نرخ برنده شدن در مناقصات شرکت کرده
تعداد مناقصات برنده شده بالای 200 میلیارد ریال</t>
  </si>
  <si>
    <r>
      <t>اختلال در زمان‌بندی مناقصات،</t>
    </r>
    <r>
      <rPr>
        <sz val="10"/>
        <color theme="1"/>
        <rFont val="FarhangFaNum"/>
      </rPr>
      <t>کاهش شفافیت و اثربخشی در انجام مناقصات</t>
    </r>
  </si>
  <si>
    <r>
      <t>تاخیر در ارائه اطلاعات و داده‌های مورد نیاز،</t>
    </r>
    <r>
      <rPr>
        <sz val="10"/>
        <color theme="1"/>
        <rFont val="FarhangFaNum"/>
      </rPr>
      <t>مقاومت واحدهای مرتبط در اجرای فرآیند اصلاح‌شده</t>
    </r>
  </si>
  <si>
    <t>میزان ایده¬آل در طول برنامه:  10 کارگزار
میزان ایده¬آل در طول برنامه: 15 کارگزار
میزان ایده¬آل در طول برنامه: 60%
میزان ایده¬آل در طول برنامه: 40%</t>
  </si>
  <si>
    <t>تعداد کارگزاران فعال جدید جذب شده
تعداد کارگزاران نیمه‌فعال جدید جذب شده
رشد فروش کارگزاران منتخب فعال فعلی
رشد فروش کارگزاران منتخب نیمه‌فعال فعلی</t>
  </si>
  <si>
    <t>تضعیف شبکه فروش، عقب ماندگی از رقبا در جذب و نگهداشت کارگزاران</t>
  </si>
  <si>
    <t>محدودیت‌های فنی و صدور در افزایش فروش کارگزاران، عدم جذابیت همکاری برای کارگزاران</t>
  </si>
  <si>
    <t>تعداد تفاهم‌نامه‌های منعقد شده</t>
  </si>
  <si>
    <t>از دست رفتن فرصت جذب پرتفوی‌های کلان، کاهش سهم بازار و پرتفوی</t>
  </si>
  <si>
    <t>طولانی شدن فرآیند‌های داخلی و حقوقی، عدم همکاری مدیریت‌های فنی مربوطه</t>
  </si>
  <si>
    <t>میزان ایده¬آل در طول برنامه:  15%
میزان ایده¬آل در طول برنامه 20%</t>
  </si>
  <si>
    <t>رشد نرخ تمدید بیمه‌گذاران
رشد فروش رشته‌های منتخب</t>
  </si>
  <si>
    <t>افت فروش و کاهش سهم بازار، کاهش انگیزه شبکه فروش برای فعالیت</t>
  </si>
  <si>
    <t>عدم مشارکت کافی شبکه فروش</t>
  </si>
  <si>
    <t>رفع نیازهای سخت افزاری(ماهی 6 شعبه)</t>
  </si>
  <si>
    <t>	کندی و ایجاد اختلال در عملکرد روزانه شعب</t>
  </si>
  <si>
    <t>کمبود بودجه و منابع سازمان</t>
  </si>
  <si>
    <t>تعداد نمایندگان جذب شده (6 ماهه اول) 20 تا
تعداد نمایندگان جذب شده در سال 50 تا</t>
  </si>
  <si>
    <t>	از دست رفتن فرصت‌های بازار جدید 
	کاهش رشد پرتفوی شرکت 
	افزایش فاصله رقابتی با شرکت‌های بیمه رقیب</t>
  </si>
  <si>
    <t>	عدم جذب نمایندگان واجد شرایط و باکیفیت
	تمرکز جذب در مناطق کم‌بازده یا اشباع‌شده</t>
  </si>
  <si>
    <t>ارائه طرح توجیهی 
تأسیس شعبه</t>
  </si>
  <si>
    <t>	از دست دادن ظرفیت‌های بازارهای مناطق پر بازده و واگذاری سهم بازار به رقبا</t>
  </si>
  <si>
    <t>	محدودیت یا نقص داده‌های فروش، پرتفوی و پوشش جغرافیایی که منجر به تحلیل غیرواقعی می‌شود
	احتمال انتخاب مناطق با پتانسیل ظاهری ولی فاقد توجیه واقعی به دلیل وزن‌دهی نادرست شاخص‌ها</t>
  </si>
  <si>
    <t>ارائه طرح توجیهی 
تأسیس دفاتر منطقه‌ای</t>
  </si>
  <si>
    <t>	از دست دادن ظرفیت‌های بازارهای مناطق پر بازده  و واگذاری سهم بازار به رقبا</t>
  </si>
  <si>
    <t>میزان ایده¬آل در طول برنامه:  لاگ 70%
میزان ایده¬آل در طول برنامه:  کسب کلیه مجوزات
میزان ایده¬آل در طول برنامه: حداقل 4 ماژول
میزان ایده¬آل در طول برنامه : 100%</t>
  </si>
  <si>
    <t>جاری سازی باشگاه نمایندگان
اخذ تأییدیه‌های رسمی در مراحل امکان‌سنجی و اجرای طرح
تعداد ماژول‌هایی که مطابق طرح؛ طراحی، پیاده‌سازی و راه‌اندازی شده‌اند.
درصد نمایندگان دارای انحراف کنترل‌شده</t>
  </si>
  <si>
    <t>	نبود بستر یکپارچه برای اطلاع‌رسانی، آموزش، امور رفاهی و پیگیری درخواست‌ها.
	اتلاف منابع انسانی و زمانی به دلیل نبود سامانه متمرکز
	عقب‌ماندگی سازمان در مسیر تحول دیجیتال و کاهش آمادگی برای برنامه‌های آتی</t>
  </si>
  <si>
    <t>	احتمال بروز محدودیت‌های فنی یا ناسازگاری پورتال با سامانه‌های موجود شرکت
	کمبود منابع انسانی، مالی یا زمانی در واحدهای مجری به‌ویژه فناوری اطلاعات</t>
  </si>
  <si>
    <t>بازدید از شعب مطابق برنامه 
شعبه با عملکرد بالای 60%</t>
  </si>
  <si>
    <t>	کاهش کنترل مدیریتی بر عملکرد شعب
	افزایش ریسک پرتفوی و عملکرد ناسالم شعب
	عدم شناسایی به‌موقع مشکلات عملیاتی شعب</t>
  </si>
  <si>
    <t>محدودیت زمانی و عملیاتی در اجرای بازدیدهای میدانی</t>
  </si>
  <si>
    <t>تعداد نمایندگان ارتقا یافته به رتبه های بالاتر</t>
  </si>
  <si>
    <t>	کاهش انگیزه نمایندگان
	عدم رشد فروش شبکه نمایندگان
	افزایش خسارت پرتفوی شبکه فروش</t>
  </si>
  <si>
    <t>	عدم مشارکت نمایندگان در برنامه های آموزشی
	محدودیت منابع مالی جهت اجرای مشوق ها و آموزشی</t>
  </si>
  <si>
    <t>دوره سنجش</t>
  </si>
  <si>
    <t>میزان ایده آل</t>
  </si>
  <si>
    <t>شاخص</t>
  </si>
  <si>
    <t>تعداد نیروی انسانی مازاد</t>
  </si>
  <si>
    <t>تجهیزات مورد نیاز</t>
  </si>
  <si>
    <t>بودجه پیش بینی شده</t>
  </si>
  <si>
    <t>ریسک عدم اجرا</t>
  </si>
  <si>
    <t>ریسک اجرا</t>
  </si>
  <si>
    <t>وضعیت برنامه</t>
  </si>
  <si>
    <t>زمان پایان</t>
  </si>
  <si>
    <t>زمان شروع</t>
  </si>
  <si>
    <t>افزایش صد درصدی در تعداد شعبی که بودجه سال 1404 را محقق نمودند و رشد پرتفوی بانک تجارت</t>
  </si>
  <si>
    <t>به روزرسانی بیانیه سیاست‏های سرمایه‏گذاری (IPS)</t>
  </si>
  <si>
    <t>بروز برخی اختلالات در ارتباط با بانک تجارت</t>
  </si>
  <si>
    <t xml:space="preserve">ممیزی های شامل ایراد توسط بانک تجارت </t>
  </si>
  <si>
    <t>1405/07/30</t>
  </si>
  <si>
    <t>1- عنوان برنامه : ارتقای درجه نمایندگان</t>
  </si>
  <si>
    <t xml:space="preserve">3- شماره برنامه:  1 </t>
  </si>
  <si>
    <t>6-هدف برنامه:   ارتقای سطح کیفی و حرفه‌ای نمایندگان از طریق استقرار نظام درجه‌بندی، نیازسنجی آموزشی و اجرای برنامه‌های توانمندسازی با هدف افزایش تعداد نمایندگان ارتقایافته.</t>
  </si>
  <si>
    <t>بروزرسانی دستورالعمل درجه بندی نمایندگان</t>
  </si>
  <si>
    <t>امورشعب و نمایندگان
طرح و برنامه
تشکیلات و روش ها</t>
  </si>
  <si>
    <t>ممیزی و تأیید دستورالعمل در هیأت عامل</t>
  </si>
  <si>
    <t>استخراج درجه بندی جدید نمایندگان بر اساس عملکرد 1404</t>
  </si>
  <si>
    <t>امور شعب و نمایندگان
طرح و برنامه</t>
  </si>
  <si>
    <t>شناسایی نمایندگان دارای پتانسیل ارتقای درجه در هر گروه</t>
  </si>
  <si>
    <t>خود اظهاری نیازهای آموزشی</t>
  </si>
  <si>
    <t>برگزاری آزمون جهت نیازسنجی آموزشی</t>
  </si>
  <si>
    <t>تدوین سوالات توسط مدیریت‌های مرتبط</t>
  </si>
  <si>
    <t>تدوین تقویم آموزشی سالانه شامل سرفصل‌ها، دوره‌ها و روش‌های آموزش بر اساس درجه بندی نمایندگان</t>
  </si>
  <si>
    <t>امور شعب و نمایندگان
آموزش</t>
  </si>
  <si>
    <t>اجرای برنامه‌های آموزشی مطابق تقویم آموزشی</t>
  </si>
  <si>
    <t>بررسی میزان مشارکت نمایندگان و ارزیابی اثربخشی دوره‌های آموزشی پس از هر دوره</t>
  </si>
  <si>
    <t>پایش و ارزیابی دوره‌ای عملکرد نمایندگان و میزان تحقق برنامه</t>
  </si>
  <si>
    <t>ارزیابی نتایج برنامه و میزان تحقق آن در سال 1406</t>
  </si>
  <si>
    <t>سال 1406</t>
  </si>
  <si>
    <t>1- عنوان برنامه :پورتال جامع نمایندگان (جاری سازی و توسعه)</t>
  </si>
  <si>
    <t>3- شماره برنامه: 5</t>
  </si>
  <si>
    <t xml:space="preserve">6-هدف برنامه:  طراحی، پیاده‌سازی و راه‌اندازی پورتال یکپارچه نمایندگان شامل ماژول‌های : اتصال باشگاه نمایندگان، پنل درخواست رفاهیات نمایندگان، ایجاد درگان ارتباطی یک طرفه و دو طرفه، امکان مشاهده عملکرد برای نمایندگان، سیستم ارسال پیام تبریک تولد و مناسب‌ها، بستر آموزش و ارائه دستورالعمل‌ها، پنل مشاهده وضعیت مالی، سیسم درجه بندی  </t>
  </si>
  <si>
    <t xml:space="preserve">2- مدیر پروژه :  مدیریت امور شعب و نمایندگان </t>
  </si>
  <si>
    <t xml:space="preserve">جاری سازی باشگاه نمایندگان </t>
  </si>
  <si>
    <t>کسب و کار نوین
امور شعب و نمایندگان</t>
  </si>
  <si>
    <t>تدوین طرح اولیه پورتال نمایندگان</t>
  </si>
  <si>
    <t>بررسی فنی، زیرساختی و اجرایی طرح توسط مدیریت فناوری اطلاعات</t>
  </si>
  <si>
    <t>اخذ تأییدیه نهایی طرح از مدیران ارشد سازمان برای ورود به مرحله پیاده‌سازی</t>
  </si>
  <si>
    <t>پیاده‌سازی ماژول‌های اصلی پورتال</t>
  </si>
  <si>
    <t>تست اولیه پورتال و افزودن بخش‌ها و قابلیت‌ها</t>
  </si>
  <si>
    <r>
      <t xml:space="preserve">امور شعب و نمایندگان
</t>
    </r>
    <r>
      <rPr>
        <b/>
        <sz val="14"/>
        <rFont val="Times New Roman"/>
        <family val="1"/>
      </rPr>
      <t>IT</t>
    </r>
  </si>
  <si>
    <t>معرفی رسمی پورتال، اطلاع‌رسانی به نمایندگان</t>
  </si>
  <si>
    <t>4- وزن  برنامه: 2</t>
  </si>
  <si>
    <t xml:space="preserve">تهیه فهرستی از شرکتها و افرادی که از نظر علمی و زیرساختی و تجربی توان انجام کار را دارند	</t>
  </si>
  <si>
    <t xml:space="preserve">مطرح کردن فهرست در کمیته سرمایه گذاری جهت انتخاب شرکت های مورد تایید			</t>
  </si>
  <si>
    <t>نامه نگاری با کاندیداهای فهرست جهت اخذ پروپزال</t>
  </si>
  <si>
    <t>بررسی پروپوزال ها و انتخاب بهترین فرد</t>
  </si>
  <si>
    <t xml:space="preserve">بررسی قراردادها با واحد حقوقی	در صورت قرارداد با شرکتها و واحد منابع انسانی در صورت قراداد با افراد		</t>
  </si>
  <si>
    <t>مدیریت سرمایه گذاری- امور حقوقی و قراردادها-منابع انسانی</t>
  </si>
  <si>
    <t>•	عقد قرارداد</t>
  </si>
  <si>
    <t>4- وزن  برنامه:2</t>
  </si>
  <si>
    <t>7- تاریخ خاتمه:  1405/07/30</t>
  </si>
  <si>
    <t>بررسی قراردادها با واحد حقوقی در صورت قرارداد با شرکتها و واحد منابع انسانی در صورت قراداد با افراد</t>
  </si>
  <si>
    <t>مدیریت سرمایه گذاری-امور حقوقی- منابع انسانی</t>
  </si>
  <si>
    <t>1- عنوان برنامه: تدوین و اجرای استراتژی تخصیص دارایی پرتفوی سپرده گذاری</t>
  </si>
  <si>
    <t>3- شماره برنامه: 4</t>
  </si>
  <si>
    <t>6-هدف برنامه: بهینه سازی ترکیب دارایی‏ها افزایش بازده تعدیل شده به ریسک و انطباق با سیاست های سرمایه‏گذاری شرکت</t>
  </si>
  <si>
    <t>4- وزن  برنامه: 45</t>
  </si>
  <si>
    <t>5-تاريخ شروع:  1405/02/01</t>
  </si>
  <si>
    <t>7- تاریخ خاتمه:  1405/12/29</t>
  </si>
  <si>
    <t>بررسی وضعیت موجود پرتفو و تحلیل ترکیب دارایی</t>
  </si>
  <si>
    <t>تدوین ترکیب دارایی بر اساس سیاست‏های سرمایه‏گذاری و نقدینگی و ریسک پذیری شرکت</t>
  </si>
  <si>
    <t>ارائه پیشنهادات و اخذ مصوبات کمیته سرمایه‏گذاری</t>
  </si>
  <si>
    <t>بازنگری تخصیص دارای بر اساس شرایط بازار و مصوبات کمیته</t>
  </si>
  <si>
    <t>پیاده سازی تصمیمات کمیته سرمایه‏گذاری</t>
  </si>
  <si>
    <t>پایش و گزارش دهی مستمر</t>
  </si>
  <si>
    <t>1- عنوان برنامه: به روزرسانی بیانیه سیاست‏های سرمایه‏گذاری (IPS)</t>
  </si>
  <si>
    <t>6-هدف برنامه: به روزرسانی و انطباق سیاست‏های سرمایه‏گذاری شرکت با شرایط بازار، الزامات قانونی و اداف سرمایه‏گذاری</t>
  </si>
  <si>
    <t>ارائه یک چارچوب کلی موقت برای دوران گذار</t>
  </si>
  <si>
    <t>ارائه چارچوب در کمیته سرمایه‌گذاری و بحث و تبادل نظر در مورد آن و تصویب آن</t>
  </si>
  <si>
    <t>کار بر روی یک IPS کلی مبتنی بر ریسک شرکت و الزامات آیین نامه 104</t>
  </si>
  <si>
    <t xml:space="preserve">اعمال اصلاحات مصوب و نهایی سازی IPS </t>
  </si>
  <si>
    <t>ارائه IPS در کمیته و تصویب آن</t>
  </si>
  <si>
    <t>رائه IPS  مصوب به هیئت مدیره جهت تصویب نهایی و ابلاغ</t>
  </si>
  <si>
    <t xml:space="preserve">پایش سالانه و انجام اصلاحات لازم	</t>
  </si>
  <si>
    <t xml:space="preserve">1- عنوان برنامه : برنامه بازدید های میدانی حسابرسی داخلی -  1405 (شعبه تبریز) </t>
  </si>
  <si>
    <t>6-هدف برنامه:  
ارزیابی میدانی فرآیندها، کنترل‌های داخلی و رعایت ضوابط در شعب و واحدهای منتخب، به‌منظور شناسایی ریسک‌ها و ارائه پیشنهاد اصلاحی به مدیریت بر اساس برنامه مصوب</t>
  </si>
  <si>
    <t>تعیین شعب و واحدهای هدف بر اساس سطح ریسک و اولویت رسیدگی</t>
  </si>
  <si>
    <t>بررسی حضوری یا غیر حضوری فرآیندها، اسناد و کنترل‌های داخلی در واحدهای منتخب</t>
  </si>
  <si>
    <t>جمع‌بندی یافته‌ها و ارائه گزارش مدیریتی همراه با پیشنهادهای اصلاحی</t>
  </si>
  <si>
    <t xml:space="preserve">1- عنوان برنامه : برنامه بازدید های میدانی حسابرسی داخلی -  1405 (شعبه البرز) </t>
  </si>
  <si>
    <t xml:space="preserve"> تدوین و اجرای استراتژی تخصیص دارایی پرتفوی سپرده گذاری</t>
  </si>
  <si>
    <t>برنامه بازدید های میدانی حسابرسی داخلی - 1405 (شعبه تبریز)</t>
  </si>
  <si>
    <t>برنامه بازدید های میدانی حسابرسی داخلی - 1405 (شعبه البرز)</t>
  </si>
  <si>
    <t>معاونت</t>
  </si>
  <si>
    <t>معاونت توسعه پشتیبانی و توسعه منابع انسانی</t>
  </si>
  <si>
    <t>معاونت مالی و اقتصادی</t>
  </si>
  <si>
    <t>معاونت فنی بیمه های اشخاص و مسئولیت</t>
  </si>
  <si>
    <t>معاونت برنامه ریزی و توسعه</t>
  </si>
  <si>
    <t>مدیریت های مستقل</t>
  </si>
  <si>
    <t>مرکز فناوری و نوآوری</t>
  </si>
  <si>
    <t>معاونت فنی بیمه های اموال</t>
  </si>
  <si>
    <t>معاونت توسعه بازار و شبکه فروش</t>
  </si>
  <si>
    <t>1- عنوان پروژه : :  طراحی برنامه تداوم کسب‌وکار (BCP)</t>
  </si>
  <si>
    <t xml:space="preserve"> به‌روزرسانی</t>
  </si>
  <si>
    <t>نظارت و اصلاح نهاییی</t>
  </si>
  <si>
    <t>تایید و اجرای فوری</t>
  </si>
  <si>
    <t>شناسایی و اولویت بندی   ۲۰ کارگزار منتخب موجود</t>
  </si>
  <si>
    <t xml:space="preserve"> امور حقوقی و قراردادها-منابع انسانی</t>
  </si>
  <si>
    <t>امور حقوقی- منابع انسانی</t>
  </si>
  <si>
    <t>1- عنوان پروژه: بیمه پذیرندگان شرکت اعتباری ایران کیش</t>
  </si>
  <si>
    <t>4- شماره برنامه: 5</t>
  </si>
  <si>
    <t xml:space="preserve">2- مدیر پروژه:  </t>
  </si>
  <si>
    <t>3- عنوان برنامه: بیمه پذیرندگان شرکت اعتباری ایران کیش</t>
  </si>
  <si>
    <t>طراحی پکیج رقابتی برای پذیرندگان pos با ماهیت عرضه و وصول حق‌بیمه آسان (با توجه به توزیع یافتگی برای 230،000پذیرنده)</t>
  </si>
  <si>
    <t>مدیریتهای فنی و مرکز نوآوری</t>
  </si>
  <si>
    <t xml:space="preserve">انعقاد قرارداد با شرکت اعتباری ایران کیش </t>
  </si>
  <si>
    <t>مرکز نوآوری</t>
  </si>
  <si>
    <t>اجرای فاز اول (طرح پایلوت)</t>
  </si>
  <si>
    <t>مرکز نوآوری و مدیریت مالی</t>
  </si>
  <si>
    <t>اجرای فاز دوم پس از دریافت بازخورد از نتایج بند 3</t>
  </si>
  <si>
    <t>مرکز نوآوری ، مدیریت مالی و شعب</t>
  </si>
  <si>
    <t xml:space="preserve">اجرای فاز سوم </t>
  </si>
  <si>
    <t xml:space="preserve">اجرای فاز چهارم </t>
  </si>
  <si>
    <r>
      <t>6-هدف برنامه:</t>
    </r>
    <r>
      <rPr>
        <b/>
        <sz val="10"/>
        <rFont val="B Nazanin"/>
        <charset val="178"/>
      </rPr>
      <t xml:space="preserve"> </t>
    </r>
    <r>
      <rPr>
        <b/>
        <sz val="14"/>
        <rFont val="B Nazanin"/>
        <charset val="178"/>
      </rPr>
      <t xml:space="preserve"> جذب پرتفوی بصورت پکیج بیمه‌ای برای یکی از بزرگترین مشتریان بانک تجارت</t>
    </r>
  </si>
  <si>
    <t>1- عنوان پروژه: بازاریابی از طریق مشتری یاران شرکت چابک تجارت</t>
  </si>
  <si>
    <t>4- شماره برنامه: 6</t>
  </si>
  <si>
    <t>2- مدیر پروژه: مدیریت بانک وبیمه</t>
  </si>
  <si>
    <t>3- عنوان برنامه: بازاریابی از طریق مشتری یاران شرکت چابک تجارت</t>
  </si>
  <si>
    <t xml:space="preserve">انعقاد قرارداد با چابک تجارت </t>
  </si>
  <si>
    <t xml:space="preserve">طراحی پکیج و محصولات قابل عرضه توسط مشتری یار شرکت چابک تجارت (در حدود 300 نفر) </t>
  </si>
  <si>
    <t>مدیریتهای فنی</t>
  </si>
  <si>
    <t>طراحی و راه اندازی سامانه ثبت درخواستها و  ایجاد کد کاربری به ازای هر مشتری یار</t>
  </si>
  <si>
    <t>فناوری اطلاعات و نوآوری</t>
  </si>
  <si>
    <t>آموزش به مشتری یارهای منتخب در بخش اتباع‌یارها</t>
  </si>
  <si>
    <t>فناوری اطلاعات و شعب</t>
  </si>
  <si>
    <t>اجرای فاز دوم پس از دریافت بازخورد از نتایج بند 5</t>
  </si>
  <si>
    <r>
      <t>6-هدف برنامه:</t>
    </r>
    <r>
      <rPr>
        <b/>
        <sz val="10"/>
        <rFont val="Elephant"/>
        <family val="1"/>
      </rPr>
      <t xml:space="preserve"> </t>
    </r>
    <r>
      <rPr>
        <sz val="16"/>
        <rFont val="B Nazanin"/>
        <charset val="178"/>
      </rPr>
      <t>جذب پرتفوی حداکثری بیمه‌نامه‌های خرد مشتریان بانک تجارت</t>
    </r>
  </si>
  <si>
    <t>تهیه و ابلاغ چک لیست شناسایی مشتریان برای مدیران ستادوشعب به منظور نظارت بر رعایت مقررات و دستورالعمل ها</t>
  </si>
  <si>
    <t>واحد مبارزه با پولشویی و تأمین مالی تروریسم</t>
  </si>
  <si>
    <t>تدوین قواعد و معیارهای معاملات و فعالیت های مشکوک</t>
  </si>
  <si>
    <t>ایجاد پنل مبارزه با پولشویی در سامانه BI</t>
  </si>
  <si>
    <t>بازاریابی و مناقصات، فنی، مالی،تشکیلات و روش ها</t>
  </si>
  <si>
    <t>فناوری اطلاعات، بازاریابی و مناقصات،تشکیلات و روش ها</t>
  </si>
  <si>
    <t>بازاریابی و مناقصات،تشکیلات و روش ها</t>
  </si>
  <si>
    <t>فناوری اطلاعات،تشکیلات و روش ها</t>
  </si>
  <si>
    <t>1- عنوان برنامه :اجرای مدل بوم کسب و کار و مدیریت محصول در شعب منتخب</t>
  </si>
  <si>
    <t>6-هدف برنامه:افزایش بهره وری پرتفو شعب منتخب</t>
  </si>
  <si>
    <t xml:space="preserve">بررسی ظرفیت شعب جهت انتخاب شعبه دارای پتانسیل  اجرای مدیریت محصول </t>
  </si>
  <si>
    <t>اتومبیل/طرح و برنامه</t>
  </si>
  <si>
    <t>شناسنامه شرح عملیات/ اقدامات مرتبط با برنامه عملیاتی مدیریت سرمایه انسانی- سال 1405</t>
  </si>
  <si>
    <t>1- عنوان پروژه : همانندسازی رفتار کارکنان با فرهنگ سازمان</t>
  </si>
  <si>
    <t>6-هدف برنامه:  ایجاد وحدت رویه و  بهبود تعاملات سازمانی</t>
  </si>
  <si>
    <t>3- عنوان برنامه: همانندسازی رفتار کارکنان با فرهنگ سازمان</t>
  </si>
  <si>
    <t>7-تاريخ شروع :    1405/2/01</t>
  </si>
  <si>
    <t>  تعریف و تبیین ارزش‌های کلیدی سازمان</t>
  </si>
  <si>
    <t>   طراحی برنامه‌های فرهنگی و مشارکتی</t>
  </si>
  <si>
    <t>مشارکت سایر مدیریت ها و شعب</t>
  </si>
  <si>
    <t xml:space="preserve">  پایش مستمر شاخص‌های فرهنگ سازمانی</t>
  </si>
  <si>
    <t xml:space="preserve"> گنجاندن معیارهای فرهنگ سازمانی در ارزیابی عملکرد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</si>
</sst>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0">
    <font>
      <sz val="11"/>
      <color theme="1"/>
      <name val="Calibri"/>
      <family val="2"/>
      <scheme val="minor"/>
    </font>
    <font>
      <sz val="10"/>
      <name val="Arial"/>
      <family val="2"/>
    </font>
    <font>
      <b/>
      <sz val="36"/>
      <name val="B Titr"/>
      <charset val="178"/>
    </font>
    <font>
      <b/>
      <sz val="18"/>
      <name val="B Titr"/>
      <charset val="178"/>
    </font>
    <font>
      <b/>
      <sz val="18"/>
      <name val="Arial Narrow"/>
      <family val="2"/>
    </font>
    <font>
      <b/>
      <sz val="14"/>
      <name val="B Nazanin"/>
      <charset val="178"/>
    </font>
    <font>
      <sz val="14"/>
      <name val="Arial"/>
      <family val="2"/>
    </font>
    <font>
      <b/>
      <sz val="14"/>
      <name val="B Titr"/>
      <charset val="178"/>
    </font>
    <font>
      <sz val="14"/>
      <name val="B Nazanin"/>
      <charset val="178"/>
    </font>
    <font>
      <b/>
      <sz val="20"/>
      <name val="B Nazanin"/>
      <charset val="178"/>
    </font>
    <font>
      <sz val="14"/>
      <color rgb="FFFF0000"/>
      <name val="B Nazanin"/>
      <charset val="178"/>
    </font>
    <font>
      <sz val="20"/>
      <name val="B Nazanin"/>
      <charset val="178"/>
    </font>
    <font>
      <sz val="14"/>
      <name val="B Titr"/>
      <charset val="178"/>
    </font>
    <font>
      <b/>
      <sz val="16"/>
      <name val="B Titr"/>
      <charset val="178"/>
    </font>
    <font>
      <sz val="16"/>
      <color theme="1"/>
      <name val="Calibri"/>
      <family val="2"/>
      <scheme val="minor"/>
    </font>
    <font>
      <b/>
      <sz val="18"/>
      <name val="B Nazanin"/>
      <charset val="178"/>
    </font>
    <font>
      <sz val="18"/>
      <name val="B Nazanin"/>
      <charset val="178"/>
    </font>
    <font>
      <b/>
      <sz val="18"/>
      <color theme="1"/>
      <name val="Calibri"/>
      <family val="2"/>
      <scheme val="minor"/>
    </font>
    <font>
      <b/>
      <sz val="16"/>
      <name val="B Nazanin"/>
      <charset val="178"/>
    </font>
    <font>
      <sz val="14"/>
      <color theme="1"/>
      <name val="B Nazanin"/>
      <charset val="178"/>
    </font>
    <font>
      <b/>
      <sz val="22"/>
      <name val="B Nazanin"/>
      <charset val="178"/>
    </font>
    <font>
      <sz val="16"/>
      <name val="B Nazanin"/>
      <charset val="178"/>
    </font>
    <font>
      <sz val="14"/>
      <name val="Nazanin"/>
      <charset val="178"/>
    </font>
    <font>
      <sz val="11"/>
      <color theme="1"/>
      <name val="FarhangFaNum"/>
    </font>
    <font>
      <b/>
      <sz val="24"/>
      <name val="FarhangFaNum"/>
    </font>
    <font>
      <b/>
      <sz val="14"/>
      <name val="FarhangFaNum"/>
    </font>
    <font>
      <b/>
      <sz val="10"/>
      <name val="Elephant"/>
      <family val="1"/>
    </font>
    <font>
      <sz val="14"/>
      <name val="FarhangFaNum"/>
    </font>
    <font>
      <sz val="12"/>
      <name val="FarhangFaNum"/>
    </font>
    <font>
      <sz val="11"/>
      <color theme="1"/>
      <name val="Calibri"/>
      <family val="2"/>
      <scheme val="minor"/>
    </font>
    <font>
      <sz val="11"/>
      <name val="B Nazanin"/>
      <charset val="178"/>
    </font>
    <font>
      <sz val="12"/>
      <name val="B Nazanin"/>
      <charset val="178"/>
    </font>
    <font>
      <b/>
      <sz val="16"/>
      <name val="Arial Narrow"/>
      <family val="2"/>
    </font>
    <font>
      <b/>
      <sz val="14"/>
      <color theme="1"/>
      <name val="B Nazanin"/>
      <charset val="178"/>
    </font>
    <font>
      <b/>
      <sz val="14"/>
      <color theme="1"/>
      <name val="B Titr"/>
      <charset val="178"/>
    </font>
    <font>
      <b/>
      <sz val="14"/>
      <color rgb="FFFF0000"/>
      <name val="B Titr"/>
      <charset val="178"/>
    </font>
    <font>
      <b/>
      <sz val="9"/>
      <color theme="1"/>
      <name val="B Nazanin"/>
      <charset val="178"/>
    </font>
    <font>
      <sz val="9"/>
      <color theme="1"/>
      <name val="Pinar DS2 Light"/>
    </font>
    <font>
      <b/>
      <sz val="28"/>
      <name val="B Nazanin"/>
      <charset val="178"/>
    </font>
    <font>
      <b/>
      <sz val="14"/>
      <name val="B Nazanin"/>
      <charset val="178"/>
    </font>
    <font>
      <sz val="14"/>
      <name val="B Nazanin"/>
      <charset val="178"/>
    </font>
    <font>
      <sz val="14"/>
      <name val="B Titr"/>
      <charset val="178"/>
    </font>
    <font>
      <b/>
      <sz val="36"/>
      <name val="B Titr"/>
      <charset val="178"/>
    </font>
    <font>
      <b/>
      <sz val="18"/>
      <name val="B Titr"/>
      <charset val="178"/>
    </font>
    <font>
      <b/>
      <sz val="14"/>
      <name val="B Titr"/>
      <charset val="178"/>
    </font>
    <font>
      <sz val="14"/>
      <color rgb="FFFF0000"/>
      <name val="B Nazanin"/>
      <charset val="178"/>
    </font>
    <font>
      <sz val="10"/>
      <name val="B Nazanin"/>
      <charset val="178"/>
    </font>
    <font>
      <b/>
      <sz val="12"/>
      <name val="B Nazanin"/>
      <charset val="178"/>
    </font>
    <font>
      <b/>
      <sz val="16"/>
      <name val="Times New Roman"/>
      <family val="1"/>
    </font>
    <font>
      <sz val="12"/>
      <name val="B Titr"/>
      <charset val="178"/>
    </font>
    <font>
      <b/>
      <sz val="12"/>
      <name val="B Titr"/>
      <charset val="178"/>
    </font>
    <font>
      <sz val="22"/>
      <name val="B Nazanin"/>
      <charset val="178"/>
    </font>
    <font>
      <sz val="16"/>
      <color theme="1"/>
      <name val="B Nazanin"/>
      <charset val="178"/>
    </font>
    <font>
      <b/>
      <sz val="9"/>
      <color indexed="81"/>
      <name val="Tahoma"/>
      <family val="2"/>
    </font>
    <font>
      <sz val="9"/>
      <color indexed="81"/>
      <name val="Tahoma"/>
      <family val="2"/>
    </font>
    <font>
      <sz val="24"/>
      <name val="Aptos Narrow"/>
      <family val="2"/>
    </font>
    <font>
      <sz val="22"/>
      <name val="Aptos Narrow"/>
      <family val="2"/>
    </font>
    <font>
      <b/>
      <sz val="10"/>
      <name val="B Nazanin"/>
      <charset val="178"/>
    </font>
    <font>
      <b/>
      <sz val="20"/>
      <name val="FarhangFaNum"/>
    </font>
    <font>
      <b/>
      <sz val="18"/>
      <name val="FarhangFaNum"/>
    </font>
    <font>
      <sz val="16"/>
      <color theme="1"/>
      <name val="FarhangFaNum"/>
      <family val="2"/>
    </font>
    <font>
      <sz val="18"/>
      <name val="FarhangFaNum"/>
    </font>
    <font>
      <sz val="18"/>
      <color theme="1"/>
      <name val="FarhangFaNum"/>
    </font>
    <font>
      <b/>
      <sz val="18"/>
      <color theme="1"/>
      <name val="FarhangFaNum"/>
    </font>
    <font>
      <sz val="11"/>
      <name val="FarhangFaNum"/>
    </font>
    <font>
      <b/>
      <sz val="16"/>
      <name val="FarhangFaNum"/>
    </font>
    <font>
      <b/>
      <sz val="22"/>
      <name val="FarhangFaNum"/>
    </font>
    <font>
      <sz val="16"/>
      <name val="FarhangFaNum"/>
    </font>
    <font>
      <sz val="22"/>
      <name val="FarhangFaNum"/>
    </font>
    <font>
      <sz val="22"/>
      <color theme="1"/>
      <name val="FarhangFaNum"/>
    </font>
    <font>
      <b/>
      <sz val="10"/>
      <color theme="1"/>
      <name val="FarhangFaNum"/>
    </font>
    <font>
      <b/>
      <sz val="10"/>
      <color theme="1"/>
      <name val="B Nazanin"/>
      <charset val="178"/>
    </font>
    <font>
      <b/>
      <sz val="12"/>
      <color theme="1"/>
      <name val="FarhangFaNum"/>
    </font>
    <font>
      <sz val="10"/>
      <color theme="1"/>
      <name val="FarhangFaNum"/>
    </font>
    <font>
      <sz val="18"/>
      <color rgb="FFC00000"/>
      <name val="FarhangFaNum"/>
    </font>
    <font>
      <b/>
      <sz val="16"/>
      <color rgb="FFFF0000"/>
      <name val="B Nazanin"/>
      <charset val="178"/>
    </font>
    <font>
      <b/>
      <sz val="14"/>
      <name val="Times New Roman"/>
      <family val="1"/>
    </font>
    <font>
      <b/>
      <sz val="20"/>
      <color theme="0"/>
      <name val="FarhangFaNum"/>
    </font>
    <font>
      <b/>
      <sz val="24"/>
      <color theme="0"/>
      <name val="FarhangFaNum"/>
    </font>
    <font>
      <b/>
      <sz val="36"/>
      <color rgb="FFFF0000"/>
      <name val="B Titr"/>
      <charset val="178"/>
    </font>
  </fonts>
  <fills count="29">
    <fill>
      <patternFill patternType="none"/>
    </fill>
    <fill>
      <patternFill patternType="gray125"/>
    </fill>
    <fill>
      <patternFill patternType="solid">
        <fgColor theme="4" tint="0.79998168889431442"/>
        <bgColor indexed="64"/>
      </patternFill>
    </fill>
    <fill>
      <patternFill patternType="solid">
        <fgColor indexed="9"/>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1"/>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4" tint="0.59999389629810485"/>
        <bgColor rgb="FF000000"/>
      </patternFill>
    </fill>
    <fill>
      <patternFill patternType="solid">
        <fgColor theme="4" tint="0.79998168889431442"/>
        <bgColor rgb="FF000000"/>
      </patternFill>
    </fill>
    <fill>
      <patternFill patternType="solid">
        <fgColor theme="4" tint="0.39997558519241921"/>
        <bgColor indexed="64"/>
      </patternFill>
    </fill>
    <fill>
      <patternFill patternType="solid">
        <fgColor theme="2" tint="-0.749992370372631"/>
        <bgColor indexed="64"/>
      </patternFill>
    </fill>
    <fill>
      <patternFill patternType="solid">
        <fgColor rgb="FF000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2060"/>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0" tint="-4.9989318521683403E-2"/>
        <bgColor indexed="64"/>
      </patternFill>
    </fill>
  </fills>
  <borders count="175">
    <border>
      <left/>
      <right/>
      <top/>
      <bottom/>
      <diagonal/>
    </border>
    <border>
      <left style="double">
        <color rgb="FF0070C0"/>
      </left>
      <right/>
      <top style="double">
        <color rgb="FF0070C0"/>
      </top>
      <bottom style="thin">
        <color rgb="FF0070C0"/>
      </bottom>
      <diagonal/>
    </border>
    <border>
      <left/>
      <right/>
      <top style="double">
        <color rgb="FF0070C0"/>
      </top>
      <bottom style="thin">
        <color rgb="FF0070C0"/>
      </bottom>
      <diagonal/>
    </border>
    <border>
      <left/>
      <right style="double">
        <color rgb="FF0070C0"/>
      </right>
      <top style="double">
        <color rgb="FF0070C0"/>
      </top>
      <bottom style="thin">
        <color rgb="FF0070C0"/>
      </bottom>
      <diagonal/>
    </border>
    <border>
      <left style="double">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double">
        <color rgb="FF0070C0"/>
      </right>
      <top style="thin">
        <color rgb="FF0070C0"/>
      </top>
      <bottom style="thin">
        <color rgb="FF0070C0"/>
      </bottom>
      <diagonal/>
    </border>
    <border>
      <left style="double">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double">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style="thin">
        <color indexed="64"/>
      </left>
      <right style="thin">
        <color indexed="64"/>
      </right>
      <top style="thin">
        <color indexed="64"/>
      </top>
      <bottom style="thin">
        <color indexed="64"/>
      </bottom>
      <diagonal/>
    </border>
    <border>
      <left style="double">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style="thin">
        <color rgb="FF0070C0"/>
      </left>
      <right/>
      <top style="thin">
        <color rgb="FF0070C0"/>
      </top>
      <bottom/>
      <diagonal/>
    </border>
    <border>
      <left/>
      <right style="double">
        <color rgb="FF0070C0"/>
      </right>
      <top style="thin">
        <color rgb="FF0070C0"/>
      </top>
      <bottom/>
      <diagonal/>
    </border>
    <border>
      <left style="double">
        <color rgb="FF0070C0"/>
      </left>
      <right/>
      <top/>
      <bottom/>
      <diagonal/>
    </border>
    <border>
      <left/>
      <right style="thin">
        <color rgb="FF0070C0"/>
      </right>
      <top/>
      <bottom/>
      <diagonal/>
    </border>
    <border>
      <left style="thin">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thin">
        <color rgb="FF0070C0"/>
      </right>
      <top/>
      <bottom style="double">
        <color rgb="FF0070C0"/>
      </bottom>
      <diagonal/>
    </border>
    <border>
      <left style="thin">
        <color rgb="FF0070C0"/>
      </left>
      <right/>
      <top/>
      <bottom style="double">
        <color rgb="FF0070C0"/>
      </bottom>
      <diagonal/>
    </border>
    <border>
      <left style="thin">
        <color rgb="FF0070C0"/>
      </left>
      <right style="thin">
        <color rgb="FF0070C0"/>
      </right>
      <top style="thin">
        <color rgb="FF0070C0"/>
      </top>
      <bottom style="double">
        <color rgb="FF0070C0"/>
      </bottom>
      <diagonal/>
    </border>
    <border>
      <left/>
      <right style="double">
        <color rgb="FF0070C0"/>
      </right>
      <top/>
      <bottom style="double">
        <color rgb="FF0070C0"/>
      </bottom>
      <diagonal/>
    </border>
    <border>
      <left/>
      <right/>
      <top style="double">
        <color rgb="FF0070C0"/>
      </top>
      <bottom style="double">
        <color indexed="64"/>
      </bottom>
      <diagonal/>
    </border>
    <border>
      <left/>
      <right style="double">
        <color rgb="FF0070C0"/>
      </right>
      <top style="double">
        <color rgb="FF0070C0"/>
      </top>
      <bottom style="double">
        <color indexed="64"/>
      </bottom>
      <diagonal/>
    </border>
    <border>
      <left style="double">
        <color rgb="FF0070C0"/>
      </left>
      <right/>
      <top style="double">
        <color rgb="FF0070C0"/>
      </top>
      <bottom style="double">
        <color indexed="64"/>
      </bottom>
      <diagonal/>
    </border>
    <border>
      <left/>
      <right/>
      <top style="double">
        <color indexed="64"/>
      </top>
      <bottom style="double">
        <color indexed="64"/>
      </bottom>
      <diagonal/>
    </border>
    <border>
      <left/>
      <right/>
      <top/>
      <bottom style="double">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double">
        <color indexed="64"/>
      </right>
      <top style="medium">
        <color indexed="64"/>
      </top>
      <bottom/>
      <diagonal/>
    </border>
    <border>
      <left style="double">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double">
        <color indexed="64"/>
      </right>
      <top/>
      <bottom/>
      <diagonal/>
    </border>
    <border>
      <left style="thin">
        <color indexed="64"/>
      </left>
      <right/>
      <top style="thin">
        <color indexed="64"/>
      </top>
      <bottom/>
      <diagonal/>
    </border>
    <border>
      <left/>
      <right/>
      <top style="thin">
        <color indexed="64"/>
      </top>
      <bottom/>
      <diagonal/>
    </border>
    <border>
      <left style="double">
        <color indexed="64"/>
      </left>
      <right/>
      <top style="double">
        <color indexed="64"/>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style="double">
        <color indexed="64"/>
      </right>
      <top/>
      <bottom style="double">
        <color indexed="64"/>
      </bottom>
      <diagonal/>
    </border>
    <border>
      <left style="double">
        <color indexed="64"/>
      </left>
      <right/>
      <top/>
      <bottom style="double">
        <color indexed="64"/>
      </bottom>
      <diagonal/>
    </border>
    <border>
      <left/>
      <right/>
      <top style="thin">
        <color theme="4"/>
      </top>
      <bottom style="thin">
        <color theme="4"/>
      </bottom>
      <diagonal/>
    </border>
    <border>
      <left style="double">
        <color indexed="64"/>
      </left>
      <right/>
      <top style="thin">
        <color theme="4"/>
      </top>
      <bottom/>
      <diagonal/>
    </border>
    <border>
      <left/>
      <right/>
      <top style="thin">
        <color theme="4"/>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theme="4"/>
      </left>
      <right style="thin">
        <color indexed="64"/>
      </right>
      <top style="thin">
        <color theme="4"/>
      </top>
      <bottom style="thin">
        <color theme="4"/>
      </bottom>
      <diagonal/>
    </border>
    <border>
      <left style="thin">
        <color indexed="64"/>
      </left>
      <right style="thin">
        <color indexed="64"/>
      </right>
      <top style="thin">
        <color theme="4"/>
      </top>
      <bottom style="thin">
        <color theme="4"/>
      </bottom>
      <diagonal/>
    </border>
    <border>
      <left style="thin">
        <color indexed="64"/>
      </left>
      <right style="thin">
        <color theme="4"/>
      </right>
      <top style="thin">
        <color theme="4"/>
      </top>
      <bottom style="thin">
        <color theme="4"/>
      </bottom>
      <diagonal/>
    </border>
    <border>
      <left style="thin">
        <color theme="4"/>
      </left>
      <right style="thin">
        <color theme="4"/>
      </right>
      <top style="thin">
        <color theme="4"/>
      </top>
      <bottom/>
      <diagonal/>
    </border>
    <border>
      <left/>
      <right style="thin">
        <color indexed="64"/>
      </right>
      <top style="thin">
        <color theme="4"/>
      </top>
      <bottom/>
      <diagonal/>
    </border>
    <border>
      <left style="thin">
        <color indexed="64"/>
      </left>
      <right/>
      <top style="thin">
        <color theme="4"/>
      </top>
      <bottom/>
      <diagonal/>
    </border>
    <border>
      <left style="thin">
        <color theme="4"/>
      </left>
      <right style="thin">
        <color theme="4"/>
      </right>
      <top style="thin">
        <color theme="4"/>
      </top>
      <bottom style="thin">
        <color rgb="FF0070C0"/>
      </bottom>
      <diagonal/>
    </border>
    <border>
      <left style="thin">
        <color theme="4"/>
      </left>
      <right style="thin">
        <color theme="4"/>
      </right>
      <top/>
      <bottom style="thin">
        <color theme="4"/>
      </bottom>
      <diagonal/>
    </border>
    <border>
      <left/>
      <right style="thin">
        <color indexed="64"/>
      </right>
      <top/>
      <bottom style="thin">
        <color theme="4"/>
      </bottom>
      <diagonal/>
    </border>
    <border>
      <left style="thin">
        <color indexed="64"/>
      </left>
      <right/>
      <top/>
      <bottom style="thin">
        <color theme="4"/>
      </bottom>
      <diagonal/>
    </border>
    <border>
      <left style="thin">
        <color theme="4"/>
      </left>
      <right style="thin">
        <color theme="4"/>
      </right>
      <top style="thin">
        <color rgb="FF0070C0"/>
      </top>
      <bottom style="thin">
        <color theme="4"/>
      </bottom>
      <diagonal/>
    </border>
    <border>
      <left style="thin">
        <color indexed="64"/>
      </left>
      <right style="thin">
        <color theme="4"/>
      </right>
      <top/>
      <bottom style="thin">
        <color theme="4"/>
      </bottom>
      <diagonal/>
    </border>
    <border>
      <left style="thin">
        <color theme="4"/>
      </left>
      <right style="thin">
        <color indexed="64"/>
      </right>
      <top/>
      <bottom/>
      <diagonal/>
    </border>
    <border>
      <left style="thin">
        <color indexed="64"/>
      </left>
      <right style="thin">
        <color indexed="64"/>
      </right>
      <top/>
      <bottom style="thin">
        <color theme="4"/>
      </bottom>
      <diagonal/>
    </border>
    <border>
      <left style="thin">
        <color theme="4"/>
      </left>
      <right style="thin">
        <color theme="4"/>
      </right>
      <top style="thin">
        <color theme="4"/>
      </top>
      <bottom style="thin">
        <color theme="4"/>
      </bottom>
      <diagonal/>
    </border>
    <border>
      <left style="thin">
        <color theme="4"/>
      </left>
      <right style="thin">
        <color theme="4"/>
      </right>
      <top/>
      <bottom/>
      <diagonal/>
    </border>
    <border>
      <left/>
      <right style="thin">
        <color theme="4"/>
      </right>
      <top/>
      <bottom/>
      <diagonal/>
    </border>
    <border>
      <left style="thin">
        <color indexed="64"/>
      </left>
      <right style="thin">
        <color theme="4"/>
      </right>
      <top/>
      <bottom/>
      <diagonal/>
    </border>
    <border>
      <left style="thin">
        <color theme="4"/>
      </left>
      <right style="thin">
        <color indexed="64"/>
      </right>
      <top/>
      <bottom style="thin">
        <color theme="4"/>
      </bottom>
      <diagonal/>
    </border>
    <border>
      <left/>
      <right style="thin">
        <color indexed="64"/>
      </right>
      <top style="thin">
        <color theme="4"/>
      </top>
      <bottom style="thin">
        <color theme="4"/>
      </bottom>
      <diagonal/>
    </border>
    <border>
      <left style="thin">
        <color theme="4"/>
      </left>
      <right/>
      <top/>
      <bottom/>
      <diagonal/>
    </border>
    <border>
      <left style="thin">
        <color theme="4"/>
      </left>
      <right style="thin">
        <color theme="4"/>
      </right>
      <top/>
      <bottom style="thin">
        <color indexed="64"/>
      </bottom>
      <diagonal/>
    </border>
    <border>
      <left style="thin">
        <color theme="4"/>
      </left>
      <right style="thin">
        <color theme="4"/>
      </right>
      <top style="thin">
        <color indexed="64"/>
      </top>
      <bottom style="thin">
        <color theme="4"/>
      </bottom>
      <diagonal/>
    </border>
    <border>
      <left/>
      <right style="thin">
        <color theme="4"/>
      </right>
      <top style="thin">
        <color indexed="64"/>
      </top>
      <bottom style="thin">
        <color theme="4"/>
      </bottom>
      <diagonal/>
    </border>
    <border>
      <left style="thin">
        <color theme="4"/>
      </left>
      <right/>
      <top/>
      <bottom style="double">
        <color indexed="64"/>
      </bottom>
      <diagonal/>
    </border>
    <border>
      <left style="thin">
        <color theme="4"/>
      </left>
      <right style="thin">
        <color theme="4"/>
      </right>
      <top/>
      <bottom style="double">
        <color indexed="64"/>
      </bottom>
      <diagonal/>
    </border>
    <border>
      <left/>
      <right style="thin">
        <color theme="4"/>
      </right>
      <top/>
      <bottom style="double">
        <color indexed="64"/>
      </bottom>
      <diagonal/>
    </border>
    <border>
      <left style="thin">
        <color rgb="FF0070C0"/>
      </left>
      <right style="thin">
        <color rgb="FF0070C0"/>
      </right>
      <top style="thin">
        <color rgb="FF0070C0"/>
      </top>
      <bottom/>
      <diagonal/>
    </border>
    <border>
      <left/>
      <right style="double">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top/>
      <bottom style="thin">
        <color rgb="FF0070C0"/>
      </bottom>
      <diagonal/>
    </border>
    <border>
      <left style="thin">
        <color indexed="64"/>
      </left>
      <right style="thin">
        <color indexed="64"/>
      </right>
      <top style="medium">
        <color indexed="64"/>
      </top>
      <bottom style="thin">
        <color indexed="64"/>
      </bottom>
      <diagonal/>
    </border>
    <border>
      <left/>
      <right style="double">
        <color indexed="64"/>
      </right>
      <top style="thin">
        <color indexed="64"/>
      </top>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double">
        <color rgb="FF0070C0"/>
      </right>
      <top style="thin">
        <color rgb="FF0070C0"/>
      </top>
      <bottom style="thin">
        <color rgb="FF0070C0"/>
      </bottom>
      <diagonal/>
    </border>
    <border>
      <left style="double">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style="double">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right style="thin">
        <color indexed="64"/>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style="thin">
        <color rgb="FF0070C0"/>
      </top>
      <bottom style="thin">
        <color rgb="FF0070C0"/>
      </bottom>
      <diagonal/>
    </border>
    <border>
      <left style="double">
        <color indexed="64"/>
      </left>
      <right style="double">
        <color indexed="64"/>
      </right>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double">
        <color indexed="64"/>
      </right>
      <top/>
      <bottom style="thin">
        <color indexed="64"/>
      </bottom>
      <diagonal/>
    </border>
    <border>
      <left/>
      <right style="thin">
        <color indexed="64"/>
      </right>
      <top style="thin">
        <color indexed="64"/>
      </top>
      <bottom style="double">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0"/>
    <xf numFmtId="9" fontId="29" fillId="0" borderId="0" applyFont="0" applyFill="0" applyBorder="0" applyAlignment="0" applyProtection="0"/>
    <xf numFmtId="0" fontId="60" fillId="0" borderId="0"/>
  </cellStyleXfs>
  <cellXfs count="1289">
    <xf numFmtId="0" fontId="0" fillId="0" borderId="0" xfId="0"/>
    <xf numFmtId="0" fontId="3" fillId="2" borderId="3" xfId="1" applyFont="1" applyFill="1" applyBorder="1" applyAlignment="1">
      <alignment vertical="center" readingOrder="2"/>
    </xf>
    <xf numFmtId="0" fontId="6" fillId="0" borderId="0" xfId="1" applyFont="1"/>
    <xf numFmtId="0" fontId="8" fillId="0" borderId="0" xfId="1" applyFont="1"/>
    <xf numFmtId="0" fontId="7" fillId="2" borderId="5" xfId="1" applyFont="1" applyFill="1" applyBorder="1" applyAlignment="1">
      <alignment horizontal="center" vertical="center" readingOrder="2"/>
    </xf>
    <xf numFmtId="0" fontId="7" fillId="2" borderId="5" xfId="1" applyFont="1" applyFill="1" applyBorder="1" applyAlignment="1">
      <alignment horizontal="center" vertical="center" wrapText="1" readingOrder="2"/>
    </xf>
    <xf numFmtId="0" fontId="7" fillId="2" borderId="5" xfId="1" applyFont="1" applyFill="1" applyBorder="1" applyAlignment="1">
      <alignment horizontal="center" vertical="center" textRotation="90" readingOrder="2"/>
    </xf>
    <xf numFmtId="49" fontId="5" fillId="2" borderId="4" xfId="0" applyNumberFormat="1" applyFont="1" applyFill="1" applyBorder="1" applyAlignment="1">
      <alignment horizontal="center" vertical="center" readingOrder="2"/>
    </xf>
    <xf numFmtId="1" fontId="5" fillId="3" borderId="13" xfId="0" applyNumberFormat="1" applyFont="1" applyFill="1" applyBorder="1" applyAlignment="1">
      <alignment horizontal="center" vertical="center" readingOrder="2"/>
    </xf>
    <xf numFmtId="0" fontId="8" fillId="3" borderId="13" xfId="0" applyFont="1" applyFill="1" applyBorder="1" applyAlignment="1">
      <alignment horizontal="center" vertical="center" wrapText="1" readingOrder="2"/>
    </xf>
    <xf numFmtId="0" fontId="10" fillId="3" borderId="5" xfId="0" applyFont="1" applyFill="1" applyBorder="1" applyAlignment="1">
      <alignment horizontal="center" vertical="center" wrapText="1" readingOrder="2"/>
    </xf>
    <xf numFmtId="0" fontId="8" fillId="4" borderId="13" xfId="0" applyFont="1" applyFill="1" applyBorder="1" applyAlignment="1">
      <alignment horizontal="center" vertical="center" readingOrder="2"/>
    </xf>
    <xf numFmtId="0" fontId="8" fillId="3" borderId="5" xfId="1" applyFont="1" applyFill="1" applyBorder="1" applyAlignment="1">
      <alignment horizontal="center" vertical="center" wrapText="1" readingOrder="2"/>
    </xf>
    <xf numFmtId="0" fontId="8" fillId="3" borderId="6" xfId="1" applyFont="1" applyFill="1" applyBorder="1" applyAlignment="1">
      <alignment horizontal="center" vertical="center" wrapText="1" readingOrder="2"/>
    </xf>
    <xf numFmtId="0" fontId="5" fillId="0" borderId="0" xfId="1" applyFont="1"/>
    <xf numFmtId="1" fontId="8" fillId="3" borderId="13" xfId="0" applyNumberFormat="1" applyFont="1" applyFill="1" applyBorder="1" applyAlignment="1">
      <alignment horizontal="center" vertical="center" readingOrder="2"/>
    </xf>
    <xf numFmtId="0" fontId="8" fillId="5" borderId="13" xfId="0" applyFont="1" applyFill="1" applyBorder="1" applyAlignment="1">
      <alignment horizontal="center" vertical="center" readingOrder="2"/>
    </xf>
    <xf numFmtId="0" fontId="8" fillId="3" borderId="5" xfId="1" applyFont="1" applyFill="1" applyBorder="1" applyAlignment="1">
      <alignment horizontal="center" vertical="center" readingOrder="2"/>
    </xf>
    <xf numFmtId="0" fontId="8" fillId="3" borderId="6" xfId="1" applyFont="1" applyFill="1" applyBorder="1" applyAlignment="1">
      <alignment horizontal="center" vertical="center" readingOrder="2"/>
    </xf>
    <xf numFmtId="0" fontId="8" fillId="0" borderId="13" xfId="0" applyFont="1" applyBorder="1" applyAlignment="1">
      <alignment horizontal="center" vertical="center" readingOrder="2"/>
    </xf>
    <xf numFmtId="0" fontId="12" fillId="0" borderId="0" xfId="1" applyFont="1"/>
    <xf numFmtId="0" fontId="6" fillId="0" borderId="0" xfId="1" applyFont="1" applyAlignment="1">
      <alignment readingOrder="2"/>
    </xf>
    <xf numFmtId="0" fontId="7" fillId="2" borderId="67" xfId="1" applyFont="1" applyFill="1" applyBorder="1" applyAlignment="1">
      <alignment horizontal="center" vertical="center" textRotation="90" readingOrder="2"/>
    </xf>
    <xf numFmtId="49" fontId="5" fillId="2" borderId="13" xfId="0" applyNumberFormat="1" applyFont="1" applyFill="1" applyBorder="1" applyAlignment="1">
      <alignment horizontal="center" vertical="center" readingOrder="2"/>
    </xf>
    <xf numFmtId="0" fontId="8" fillId="6" borderId="13" xfId="0" applyFont="1" applyFill="1" applyBorder="1" applyAlignment="1">
      <alignment horizontal="center" vertical="center" readingOrder="2"/>
    </xf>
    <xf numFmtId="0" fontId="8" fillId="3" borderId="44" xfId="1" applyFont="1" applyFill="1" applyBorder="1" applyAlignment="1">
      <alignment horizontal="center" vertical="center" readingOrder="2"/>
    </xf>
    <xf numFmtId="0" fontId="8" fillId="3" borderId="42" xfId="1" applyFont="1" applyFill="1" applyBorder="1" applyAlignment="1">
      <alignment horizontal="center" vertical="center" readingOrder="2"/>
    </xf>
    <xf numFmtId="0" fontId="8" fillId="3" borderId="69" xfId="1" applyFont="1" applyFill="1" applyBorder="1" applyAlignment="1">
      <alignment horizontal="center" vertical="center" readingOrder="2"/>
    </xf>
    <xf numFmtId="0" fontId="8" fillId="3" borderId="70" xfId="1" applyFont="1" applyFill="1" applyBorder="1" applyAlignment="1">
      <alignment horizontal="center" vertical="center" readingOrder="2"/>
    </xf>
    <xf numFmtId="0" fontId="7" fillId="2" borderId="39" xfId="1" applyFont="1" applyFill="1" applyBorder="1" applyAlignment="1">
      <alignment horizontal="center" vertical="center" wrapText="1" readingOrder="2"/>
    </xf>
    <xf numFmtId="0" fontId="8" fillId="5" borderId="5" xfId="0" applyFont="1" applyFill="1" applyBorder="1" applyAlignment="1">
      <alignment horizontal="center" vertical="center" readingOrder="2"/>
    </xf>
    <xf numFmtId="0" fontId="8" fillId="7" borderId="13" xfId="0" applyFont="1" applyFill="1" applyBorder="1" applyAlignment="1">
      <alignment horizontal="center" vertical="center" readingOrder="2"/>
    </xf>
    <xf numFmtId="0" fontId="3" fillId="2" borderId="40" xfId="1" applyFont="1" applyFill="1" applyBorder="1" applyAlignment="1">
      <alignment vertical="center" readingOrder="2"/>
    </xf>
    <xf numFmtId="0" fontId="7" fillId="2" borderId="96" xfId="1" applyFont="1" applyFill="1" applyBorder="1" applyAlignment="1">
      <alignment horizontal="center" vertical="center" textRotation="90" readingOrder="2"/>
    </xf>
    <xf numFmtId="0" fontId="7" fillId="2" borderId="88" xfId="1" applyFont="1" applyFill="1" applyBorder="1" applyAlignment="1">
      <alignment horizontal="center" vertical="center" textRotation="90" readingOrder="2"/>
    </xf>
    <xf numFmtId="0" fontId="7" fillId="2" borderId="97" xfId="1" applyFont="1" applyFill="1" applyBorder="1" applyAlignment="1">
      <alignment horizontal="center" vertical="center" textRotation="90" readingOrder="2"/>
    </xf>
    <xf numFmtId="0" fontId="7" fillId="2" borderId="100" xfId="1" applyFont="1" applyFill="1" applyBorder="1" applyAlignment="1">
      <alignment horizontal="center" vertical="center" textRotation="90" readingOrder="2"/>
    </xf>
    <xf numFmtId="49" fontId="5" fillId="2" borderId="101" xfId="0" applyNumberFormat="1" applyFont="1" applyFill="1" applyBorder="1" applyAlignment="1">
      <alignment horizontal="center" vertical="center" readingOrder="2"/>
    </xf>
    <xf numFmtId="1" fontId="5" fillId="3" borderId="98" xfId="0" applyNumberFormat="1" applyFont="1" applyFill="1" applyBorder="1" applyAlignment="1">
      <alignment horizontal="center" vertical="center" readingOrder="2"/>
    </xf>
    <xf numFmtId="0" fontId="8" fillId="3" borderId="103" xfId="0" applyFont="1" applyFill="1" applyBorder="1" applyAlignment="1">
      <alignment horizontal="center" vertical="center" wrapText="1" readingOrder="2"/>
    </xf>
    <xf numFmtId="0" fontId="8" fillId="3" borderId="104" xfId="0" applyFont="1" applyFill="1" applyBorder="1" applyAlignment="1">
      <alignment horizontal="center" vertical="center" wrapText="1" readingOrder="2"/>
    </xf>
    <xf numFmtId="0" fontId="8" fillId="0" borderId="104" xfId="0" applyFont="1" applyBorder="1" applyAlignment="1">
      <alignment horizontal="center" vertical="center" readingOrder="2"/>
    </xf>
    <xf numFmtId="0" fontId="8" fillId="0" borderId="105" xfId="0" applyFont="1" applyBorder="1" applyAlignment="1">
      <alignment horizontal="center" vertical="center" readingOrder="2"/>
    </xf>
    <xf numFmtId="0" fontId="19" fillId="0" borderId="65" xfId="0" applyFont="1" applyBorder="1" applyAlignment="1">
      <alignment horizontal="center" vertical="center" readingOrder="2"/>
    </xf>
    <xf numFmtId="0" fontId="19" fillId="0" borderId="106" xfId="0" applyFont="1" applyBorder="1" applyAlignment="1">
      <alignment horizontal="center" vertical="center" readingOrder="2"/>
    </xf>
    <xf numFmtId="0" fontId="8" fillId="0" borderId="103" xfId="0" applyFont="1" applyBorder="1" applyAlignment="1">
      <alignment horizontal="center" vertical="center" readingOrder="2"/>
    </xf>
    <xf numFmtId="0" fontId="8" fillId="0" borderId="96" xfId="0" applyFont="1" applyBorder="1" applyAlignment="1">
      <alignment horizontal="center" vertical="center" readingOrder="2"/>
    </xf>
    <xf numFmtId="49" fontId="5" fillId="2" borderId="103" xfId="0" applyNumberFormat="1" applyFont="1" applyFill="1" applyBorder="1" applyAlignment="1">
      <alignment horizontal="center" vertical="center" readingOrder="2"/>
    </xf>
    <xf numFmtId="1" fontId="8" fillId="3" borderId="84" xfId="0" applyNumberFormat="1" applyFont="1" applyFill="1" applyBorder="1" applyAlignment="1">
      <alignment horizontal="center" vertical="center" readingOrder="2"/>
    </xf>
    <xf numFmtId="0" fontId="8" fillId="0" borderId="85" xfId="0" applyFont="1" applyBorder="1" applyAlignment="1">
      <alignment horizontal="center" vertical="center" readingOrder="2"/>
    </xf>
    <xf numFmtId="0" fontId="8" fillId="0" borderId="108" xfId="0" applyFont="1" applyBorder="1" applyAlignment="1">
      <alignment horizontal="center" vertical="center" readingOrder="2"/>
    </xf>
    <xf numFmtId="0" fontId="8" fillId="0" borderId="91" xfId="0" applyFont="1" applyBorder="1" applyAlignment="1">
      <alignment horizontal="center" vertical="center" readingOrder="2"/>
    </xf>
    <xf numFmtId="1" fontId="8" fillId="3" borderId="103" xfId="0" applyNumberFormat="1" applyFont="1" applyFill="1" applyBorder="1" applyAlignment="1">
      <alignment horizontal="center" vertical="center" readingOrder="2"/>
    </xf>
    <xf numFmtId="0" fontId="8" fillId="3" borderId="79" xfId="0" applyFont="1" applyFill="1" applyBorder="1" applyAlignment="1">
      <alignment horizontal="center" vertical="center" wrapText="1" readingOrder="2"/>
    </xf>
    <xf numFmtId="49" fontId="5" fillId="2" borderId="109" xfId="0" applyNumberFormat="1" applyFont="1" applyFill="1" applyBorder="1" applyAlignment="1">
      <alignment horizontal="center" vertical="center" readingOrder="2"/>
    </xf>
    <xf numFmtId="1" fontId="8" fillId="3" borderId="96" xfId="0" applyNumberFormat="1" applyFont="1" applyFill="1" applyBorder="1" applyAlignment="1">
      <alignment horizontal="center" vertical="center" readingOrder="2"/>
    </xf>
    <xf numFmtId="0" fontId="8" fillId="3" borderId="88" xfId="0" applyFont="1" applyFill="1" applyBorder="1" applyAlignment="1">
      <alignment horizontal="center" vertical="center" wrapText="1" readingOrder="2"/>
    </xf>
    <xf numFmtId="0" fontId="8" fillId="3" borderId="96" xfId="0" applyFont="1" applyFill="1" applyBorder="1" applyAlignment="1">
      <alignment horizontal="center" vertical="center" wrapText="1" readingOrder="2"/>
    </xf>
    <xf numFmtId="0" fontId="8" fillId="0" borderId="88" xfId="0" applyFont="1" applyBorder="1" applyAlignment="1">
      <alignment horizontal="center" vertical="center" readingOrder="2"/>
    </xf>
    <xf numFmtId="0" fontId="8" fillId="0" borderId="97" xfId="0" applyFont="1" applyBorder="1" applyAlignment="1">
      <alignment horizontal="center" vertical="center" readingOrder="2"/>
    </xf>
    <xf numFmtId="0" fontId="8" fillId="0" borderId="100" xfId="0" applyFont="1" applyBorder="1" applyAlignment="1">
      <alignment horizontal="center" vertical="center" readingOrder="2"/>
    </xf>
    <xf numFmtId="1" fontId="5" fillId="3" borderId="103" xfId="0" applyNumberFormat="1" applyFont="1" applyFill="1" applyBorder="1" applyAlignment="1">
      <alignment horizontal="center" vertical="center" readingOrder="2"/>
    </xf>
    <xf numFmtId="0" fontId="8" fillId="3" borderId="85" xfId="0" applyFont="1" applyFill="1" applyBorder="1" applyAlignment="1">
      <alignment horizontal="center" vertical="center" wrapText="1" readingOrder="2"/>
    </xf>
    <xf numFmtId="0" fontId="8" fillId="3" borderId="110" xfId="0" applyFont="1" applyFill="1" applyBorder="1" applyAlignment="1">
      <alignment horizontal="center" vertical="center" wrapText="1" readingOrder="2"/>
    </xf>
    <xf numFmtId="0" fontId="8" fillId="0" borderId="65" xfId="0" applyFont="1" applyBorder="1" applyAlignment="1">
      <alignment horizontal="center" vertical="center" readingOrder="2"/>
    </xf>
    <xf numFmtId="0" fontId="8" fillId="0" borderId="106" xfId="0" applyFont="1" applyBorder="1" applyAlignment="1">
      <alignment horizontal="center" vertical="center" readingOrder="2"/>
    </xf>
    <xf numFmtId="0" fontId="8" fillId="3" borderId="84" xfId="0" applyFont="1" applyFill="1" applyBorder="1" applyAlignment="1">
      <alignment horizontal="right" vertical="center" readingOrder="2"/>
    </xf>
    <xf numFmtId="0" fontId="8" fillId="3" borderId="79" xfId="0" applyFont="1" applyFill="1" applyBorder="1" applyAlignment="1">
      <alignment horizontal="right" vertical="center" readingOrder="2"/>
    </xf>
    <xf numFmtId="0" fontId="8" fillId="3" borderId="85" xfId="0" applyFont="1" applyFill="1" applyBorder="1" applyAlignment="1">
      <alignment horizontal="right" vertical="center" readingOrder="2"/>
    </xf>
    <xf numFmtId="0" fontId="8" fillId="3" borderId="87" xfId="0" applyFont="1" applyFill="1" applyBorder="1" applyAlignment="1">
      <alignment horizontal="center" vertical="center" wrapText="1" readingOrder="2"/>
    </xf>
    <xf numFmtId="0" fontId="8" fillId="3" borderId="111" xfId="0" applyFont="1" applyFill="1" applyBorder="1" applyAlignment="1">
      <alignment horizontal="center" vertical="center" wrapText="1" readingOrder="2"/>
    </xf>
    <xf numFmtId="0" fontId="8" fillId="3" borderId="0" xfId="0" applyFont="1" applyFill="1" applyAlignment="1">
      <alignment horizontal="right" vertical="center" readingOrder="2"/>
    </xf>
    <xf numFmtId="0" fontId="8" fillId="3" borderId="105" xfId="0" applyFont="1" applyFill="1" applyBorder="1" applyAlignment="1">
      <alignment horizontal="right" vertical="center" readingOrder="2"/>
    </xf>
    <xf numFmtId="1" fontId="8" fillId="3" borderId="104" xfId="0" applyNumberFormat="1" applyFont="1" applyFill="1" applyBorder="1" applyAlignment="1">
      <alignment horizontal="center" vertical="center" readingOrder="2"/>
    </xf>
    <xf numFmtId="0" fontId="8" fillId="3" borderId="0" xfId="0" applyFont="1" applyFill="1" applyAlignment="1">
      <alignment horizontal="center" vertical="center" wrapText="1" readingOrder="2"/>
    </xf>
    <xf numFmtId="0" fontId="18" fillId="3" borderId="0" xfId="0" applyFont="1" applyFill="1" applyAlignment="1">
      <alignment horizontal="center" vertical="center" readingOrder="2"/>
    </xf>
    <xf numFmtId="1" fontId="5" fillId="3" borderId="104" xfId="0" applyNumberFormat="1" applyFont="1" applyFill="1" applyBorder="1" applyAlignment="1">
      <alignment horizontal="center" vertical="center" readingOrder="2"/>
    </xf>
    <xf numFmtId="49" fontId="5" fillId="2" borderId="92" xfId="0" applyNumberFormat="1" applyFont="1" applyFill="1" applyBorder="1" applyAlignment="1">
      <alignment horizontal="center" vertical="center" readingOrder="2"/>
    </xf>
    <xf numFmtId="1" fontId="5" fillId="3" borderId="96" xfId="0" applyNumberFormat="1" applyFont="1" applyFill="1" applyBorder="1" applyAlignment="1">
      <alignment horizontal="center" vertical="center" readingOrder="2"/>
    </xf>
    <xf numFmtId="0" fontId="8" fillId="6" borderId="105" xfId="0" applyFont="1" applyFill="1" applyBorder="1" applyAlignment="1">
      <alignment horizontal="center" vertical="center" readingOrder="2"/>
    </xf>
    <xf numFmtId="0" fontId="8" fillId="6" borderId="88" xfId="0" applyFont="1" applyFill="1" applyBorder="1" applyAlignment="1">
      <alignment horizontal="center" vertical="center" readingOrder="2"/>
    </xf>
    <xf numFmtId="0" fontId="8" fillId="6" borderId="92" xfId="0" applyFont="1" applyFill="1" applyBorder="1" applyAlignment="1">
      <alignment horizontal="center" vertical="center" readingOrder="2"/>
    </xf>
    <xf numFmtId="0" fontId="8" fillId="6" borderId="83" xfId="0" applyFont="1" applyFill="1" applyBorder="1" applyAlignment="1">
      <alignment horizontal="center" vertical="center" readingOrder="2"/>
    </xf>
    <xf numFmtId="0" fontId="8" fillId="6" borderId="79" xfId="0" applyFont="1" applyFill="1" applyBorder="1" applyAlignment="1">
      <alignment horizontal="center" vertical="center" readingOrder="2"/>
    </xf>
    <xf numFmtId="0" fontId="8" fillId="6" borderId="103" xfId="0" applyFont="1" applyFill="1" applyBorder="1" applyAlignment="1">
      <alignment horizontal="center" vertical="center" readingOrder="2"/>
    </xf>
    <xf numFmtId="0" fontId="8" fillId="6" borderId="85" xfId="0" applyFont="1" applyFill="1" applyBorder="1" applyAlignment="1">
      <alignment horizontal="center" vertical="center" readingOrder="2"/>
    </xf>
    <xf numFmtId="0" fontId="8" fillId="3" borderId="84" xfId="1" applyFont="1" applyFill="1" applyBorder="1" applyAlignment="1">
      <alignment vertical="center" readingOrder="2"/>
    </xf>
    <xf numFmtId="0" fontId="8" fillId="3" borderId="79" xfId="1" applyFont="1" applyFill="1" applyBorder="1" applyAlignment="1">
      <alignment vertical="center" readingOrder="2"/>
    </xf>
    <xf numFmtId="0" fontId="8" fillId="3" borderId="84" xfId="0" applyFont="1" applyFill="1" applyBorder="1" applyAlignment="1">
      <alignment horizontal="center" vertical="center" wrapText="1" readingOrder="2"/>
    </xf>
    <xf numFmtId="0" fontId="10" fillId="0" borderId="103" xfId="0" applyFont="1" applyBorder="1" applyAlignment="1">
      <alignment horizontal="center" vertical="center" readingOrder="2"/>
    </xf>
    <xf numFmtId="0" fontId="10" fillId="0" borderId="79" xfId="0" applyFont="1" applyBorder="1" applyAlignment="1">
      <alignment horizontal="center" vertical="center" readingOrder="2"/>
    </xf>
    <xf numFmtId="0" fontId="8" fillId="8" borderId="103" xfId="0" applyFont="1" applyFill="1" applyBorder="1" applyAlignment="1">
      <alignment horizontal="center" vertical="center" readingOrder="2"/>
    </xf>
    <xf numFmtId="0" fontId="8" fillId="5" borderId="85" xfId="0" applyFont="1" applyFill="1" applyBorder="1" applyAlignment="1">
      <alignment horizontal="center" vertical="center" readingOrder="2"/>
    </xf>
    <xf numFmtId="0" fontId="8" fillId="5" borderId="103" xfId="0" applyFont="1" applyFill="1" applyBorder="1" applyAlignment="1">
      <alignment horizontal="center" vertical="center" readingOrder="2"/>
    </xf>
    <xf numFmtId="0" fontId="8" fillId="5" borderId="79" xfId="0" applyFont="1" applyFill="1" applyBorder="1" applyAlignment="1">
      <alignment horizontal="center" vertical="center" readingOrder="2"/>
    </xf>
    <xf numFmtId="0" fontId="8" fillId="0" borderId="112" xfId="0" applyFont="1" applyBorder="1" applyAlignment="1">
      <alignment horizontal="center" vertical="center" readingOrder="2"/>
    </xf>
    <xf numFmtId="49" fontId="5" fillId="2" borderId="86" xfId="0" applyNumberFormat="1" applyFont="1" applyFill="1" applyBorder="1" applyAlignment="1">
      <alignment horizontal="center" vertical="center" readingOrder="2"/>
    </xf>
    <xf numFmtId="0" fontId="8" fillId="3" borderId="86" xfId="0" applyFont="1" applyFill="1" applyBorder="1" applyAlignment="1">
      <alignment horizontal="center" vertical="center" wrapText="1" readingOrder="2"/>
    </xf>
    <xf numFmtId="0" fontId="8" fillId="5" borderId="84" xfId="0" applyFont="1" applyFill="1" applyBorder="1" applyAlignment="1">
      <alignment horizontal="center" vertical="center" readingOrder="2"/>
    </xf>
    <xf numFmtId="0" fontId="8" fillId="5" borderId="96" xfId="0" applyFont="1" applyFill="1" applyBorder="1" applyAlignment="1">
      <alignment horizontal="center" vertical="center" readingOrder="2"/>
    </xf>
    <xf numFmtId="0" fontId="8" fillId="5" borderId="86" xfId="0" applyFont="1" applyFill="1" applyBorder="1" applyAlignment="1">
      <alignment horizontal="center" vertical="center" readingOrder="2"/>
    </xf>
    <xf numFmtId="0" fontId="8" fillId="5" borderId="88" xfId="0" applyFont="1" applyFill="1" applyBorder="1" applyAlignment="1">
      <alignment horizontal="center" vertical="center" readingOrder="2"/>
    </xf>
    <xf numFmtId="0" fontId="8" fillId="5" borderId="87" xfId="0" applyFont="1" applyFill="1" applyBorder="1" applyAlignment="1">
      <alignment horizontal="center" vertical="center" readingOrder="2"/>
    </xf>
    <xf numFmtId="0" fontId="8" fillId="9" borderId="96" xfId="0" applyFont="1" applyFill="1" applyBorder="1" applyAlignment="1">
      <alignment horizontal="center" vertical="center" readingOrder="2"/>
    </xf>
    <xf numFmtId="0" fontId="8" fillId="9" borderId="88" xfId="0" applyFont="1" applyFill="1" applyBorder="1" applyAlignment="1">
      <alignment horizontal="center" vertical="center" readingOrder="2"/>
    </xf>
    <xf numFmtId="0" fontId="7" fillId="2" borderId="109" xfId="1" applyFont="1" applyFill="1" applyBorder="1" applyAlignment="1">
      <alignment vertical="center" readingOrder="2"/>
    </xf>
    <xf numFmtId="0" fontId="7" fillId="2" borderId="0" xfId="1" applyFont="1" applyFill="1" applyAlignment="1">
      <alignment vertical="center" readingOrder="2"/>
    </xf>
    <xf numFmtId="0" fontId="12" fillId="2" borderId="83" xfId="1" applyFont="1" applyFill="1" applyBorder="1" applyAlignment="1">
      <alignment horizontal="center" vertical="center" readingOrder="2"/>
    </xf>
    <xf numFmtId="0" fontId="12" fillId="2" borderId="105" xfId="1" applyFont="1" applyFill="1" applyBorder="1" applyAlignment="1">
      <alignment horizontal="center" vertical="center" readingOrder="2"/>
    </xf>
    <xf numFmtId="0" fontId="7" fillId="2" borderId="0" xfId="1" applyFont="1" applyFill="1" applyAlignment="1">
      <alignment vertical="center" wrapText="1" readingOrder="2"/>
    </xf>
    <xf numFmtId="0" fontId="7" fillId="2" borderId="105" xfId="1" applyFont="1" applyFill="1" applyBorder="1" applyAlignment="1">
      <alignment vertical="center" wrapText="1" readingOrder="2"/>
    </xf>
    <xf numFmtId="0" fontId="7" fillId="2" borderId="68" xfId="1" applyFont="1" applyFill="1" applyBorder="1" applyAlignment="1">
      <alignment vertical="center" wrapText="1" readingOrder="2"/>
    </xf>
    <xf numFmtId="0" fontId="12" fillId="2" borderId="96" xfId="1" applyFont="1" applyFill="1" applyBorder="1" applyAlignment="1">
      <alignment horizontal="center" vertical="center" readingOrder="2"/>
    </xf>
    <xf numFmtId="0" fontId="7" fillId="2" borderId="113" xfId="1" applyFont="1" applyFill="1" applyBorder="1" applyAlignment="1">
      <alignment vertical="center" readingOrder="2"/>
    </xf>
    <xf numFmtId="0" fontId="7" fillId="2" borderId="34" xfId="1" applyFont="1" applyFill="1" applyBorder="1" applyAlignment="1">
      <alignment vertical="center" readingOrder="2"/>
    </xf>
    <xf numFmtId="0" fontId="7" fillId="2" borderId="34" xfId="1" applyFont="1" applyFill="1" applyBorder="1" applyAlignment="1">
      <alignment vertical="center" wrapText="1" readingOrder="2"/>
    </xf>
    <xf numFmtId="0" fontId="7" fillId="2" borderId="115" xfId="1" applyFont="1" applyFill="1" applyBorder="1" applyAlignment="1">
      <alignment vertical="center" wrapText="1" readingOrder="2"/>
    </xf>
    <xf numFmtId="0" fontId="7" fillId="2" borderId="77" xfId="1" applyFont="1" applyFill="1" applyBorder="1" applyAlignment="1">
      <alignment vertical="center" wrapText="1" readingOrder="2"/>
    </xf>
    <xf numFmtId="0" fontId="6" fillId="0" borderId="109" xfId="1" applyFont="1" applyBorder="1" applyAlignment="1">
      <alignment readingOrder="2"/>
    </xf>
    <xf numFmtId="0" fontId="6" fillId="0" borderId="83" xfId="1" applyFont="1" applyBorder="1" applyAlignment="1">
      <alignment readingOrder="2"/>
    </xf>
    <xf numFmtId="0" fontId="6" fillId="0" borderId="105" xfId="1" applyFont="1" applyBorder="1" applyAlignment="1">
      <alignment readingOrder="2"/>
    </xf>
    <xf numFmtId="0" fontId="6" fillId="0" borderId="86" xfId="1" applyFont="1" applyBorder="1" applyAlignment="1">
      <alignment readingOrder="2"/>
    </xf>
    <xf numFmtId="0" fontId="6" fillId="0" borderId="87" xfId="1" applyFont="1" applyBorder="1" applyAlignment="1">
      <alignment readingOrder="2"/>
    </xf>
    <xf numFmtId="0" fontId="6" fillId="0" borderId="88" xfId="1" applyFont="1" applyBorder="1" applyAlignment="1">
      <alignment readingOrder="2"/>
    </xf>
    <xf numFmtId="0" fontId="7" fillId="2" borderId="116" xfId="1" applyFont="1" applyFill="1" applyBorder="1" applyAlignment="1">
      <alignment horizontal="center" vertical="center" textRotation="90" readingOrder="2"/>
    </xf>
    <xf numFmtId="0" fontId="8" fillId="0" borderId="103" xfId="1" applyFont="1" applyBorder="1" applyAlignment="1">
      <alignment horizontal="center" vertical="center" readingOrder="2"/>
    </xf>
    <xf numFmtId="0" fontId="7" fillId="0" borderId="103" xfId="1" applyFont="1" applyBorder="1" applyAlignment="1">
      <alignment horizontal="center" vertical="center" readingOrder="2"/>
    </xf>
    <xf numFmtId="0" fontId="7" fillId="6" borderId="103" xfId="1" applyFont="1" applyFill="1" applyBorder="1" applyAlignment="1">
      <alignment vertical="center" textRotation="90" readingOrder="2"/>
    </xf>
    <xf numFmtId="0" fontId="7" fillId="0" borderId="103" xfId="1" applyFont="1" applyBorder="1" applyAlignment="1">
      <alignment vertical="center" textRotation="90" readingOrder="2"/>
    </xf>
    <xf numFmtId="0" fontId="7" fillId="0" borderId="0" xfId="1" applyFont="1" applyAlignment="1">
      <alignment horizontal="center" vertical="center" readingOrder="2"/>
    </xf>
    <xf numFmtId="0" fontId="10" fillId="3" borderId="103" xfId="0" applyFont="1" applyFill="1" applyBorder="1" applyAlignment="1">
      <alignment horizontal="center" vertical="center" wrapText="1" readingOrder="2"/>
    </xf>
    <xf numFmtId="0" fontId="8" fillId="4" borderId="103" xfId="0" applyFont="1" applyFill="1" applyBorder="1" applyAlignment="1">
      <alignment horizontal="center" vertical="center" readingOrder="2"/>
    </xf>
    <xf numFmtId="1" fontId="8" fillId="3" borderId="5" xfId="0" applyNumberFormat="1" applyFont="1" applyFill="1" applyBorder="1" applyAlignment="1">
      <alignment horizontal="center" vertical="center" readingOrder="2"/>
    </xf>
    <xf numFmtId="0" fontId="8" fillId="3" borderId="5" xfId="0" applyFont="1" applyFill="1" applyBorder="1" applyAlignment="1">
      <alignment horizontal="center" vertical="center" wrapText="1" readingOrder="2"/>
    </xf>
    <xf numFmtId="0" fontId="5" fillId="5" borderId="5" xfId="0" applyFont="1" applyFill="1" applyBorder="1" applyAlignment="1">
      <alignment horizontal="center" vertical="center" readingOrder="2"/>
    </xf>
    <xf numFmtId="0" fontId="7" fillId="0" borderId="64" xfId="1" applyFont="1" applyBorder="1" applyAlignment="1">
      <alignment horizontal="center" vertical="center" readingOrder="2"/>
    </xf>
    <xf numFmtId="0" fontId="7" fillId="0" borderId="66" xfId="1" applyFont="1" applyBorder="1" applyAlignment="1">
      <alignment horizontal="center" vertical="center" readingOrder="2"/>
    </xf>
    <xf numFmtId="0" fontId="7" fillId="0" borderId="67" xfId="1" applyFont="1" applyBorder="1" applyAlignment="1">
      <alignment horizontal="center" vertical="center" textRotation="90" readingOrder="2"/>
    </xf>
    <xf numFmtId="49" fontId="20" fillId="3" borderId="13" xfId="0" applyNumberFormat="1" applyFont="1" applyFill="1" applyBorder="1" applyAlignment="1">
      <alignment horizontal="center" vertical="center" readingOrder="2"/>
    </xf>
    <xf numFmtId="1" fontId="20" fillId="5" borderId="13" xfId="0" applyNumberFormat="1" applyFont="1" applyFill="1" applyBorder="1" applyAlignment="1">
      <alignment horizontal="center" vertical="center" readingOrder="2"/>
    </xf>
    <xf numFmtId="0" fontId="21" fillId="5" borderId="13" xfId="0" applyFont="1" applyFill="1" applyBorder="1" applyAlignment="1">
      <alignment horizontal="center" vertical="center" wrapText="1" readingOrder="2"/>
    </xf>
    <xf numFmtId="0" fontId="20" fillId="10" borderId="13" xfId="0" applyFont="1" applyFill="1" applyBorder="1" applyAlignment="1">
      <alignment horizontal="center" vertical="center" readingOrder="2"/>
    </xf>
    <xf numFmtId="0" fontId="20" fillId="5" borderId="13" xfId="0" applyFont="1" applyFill="1" applyBorder="1" applyAlignment="1">
      <alignment horizontal="center" vertical="center" readingOrder="2"/>
    </xf>
    <xf numFmtId="0" fontId="20" fillId="3" borderId="44" xfId="1" applyFont="1" applyFill="1" applyBorder="1" applyAlignment="1">
      <alignment horizontal="center" vertical="center" wrapText="1" readingOrder="2"/>
    </xf>
    <xf numFmtId="0" fontId="20" fillId="3" borderId="42" xfId="1" applyFont="1" applyFill="1" applyBorder="1" applyAlignment="1">
      <alignment horizontal="center" vertical="center" wrapText="1" readingOrder="2"/>
    </xf>
    <xf numFmtId="0" fontId="20" fillId="3" borderId="43" xfId="1" applyFont="1" applyFill="1" applyBorder="1" applyAlignment="1">
      <alignment horizontal="center" vertical="center" wrapText="1" readingOrder="2"/>
    </xf>
    <xf numFmtId="0" fontId="20" fillId="0" borderId="0" xfId="1" applyFont="1"/>
    <xf numFmtId="0" fontId="20" fillId="0" borderId="0" xfId="1" applyFont="1" applyAlignment="1">
      <alignment horizontal="center" vertical="center"/>
    </xf>
    <xf numFmtId="0" fontId="20" fillId="5" borderId="13" xfId="0" applyFont="1" applyFill="1" applyBorder="1" applyAlignment="1">
      <alignment vertical="center" readingOrder="2"/>
    </xf>
    <xf numFmtId="0" fontId="20" fillId="5" borderId="44" xfId="0" applyFont="1" applyFill="1" applyBorder="1" applyAlignment="1">
      <alignment vertical="center" readingOrder="2"/>
    </xf>
    <xf numFmtId="0" fontId="20" fillId="5" borderId="43" xfId="0" applyFont="1" applyFill="1" applyBorder="1" applyAlignment="1">
      <alignment vertical="center" readingOrder="2"/>
    </xf>
    <xf numFmtId="0" fontId="7" fillId="0" borderId="72" xfId="1" applyFont="1" applyBorder="1" applyAlignment="1">
      <alignment horizontal="center" vertical="center" wrapText="1" readingOrder="2"/>
    </xf>
    <xf numFmtId="0" fontId="20" fillId="11" borderId="13" xfId="0" applyFont="1" applyFill="1" applyBorder="1" applyAlignment="1">
      <alignment horizontal="center" vertical="center" readingOrder="2"/>
    </xf>
    <xf numFmtId="0" fontId="23" fillId="0" borderId="0" xfId="0" applyFont="1"/>
    <xf numFmtId="0" fontId="25" fillId="0" borderId="67" xfId="1" applyFont="1" applyBorder="1" applyAlignment="1">
      <alignment horizontal="center" vertical="center" textRotation="90" readingOrder="2"/>
    </xf>
    <xf numFmtId="49" fontId="27" fillId="3" borderId="122" xfId="0" applyNumberFormat="1" applyFont="1" applyFill="1" applyBorder="1" applyAlignment="1">
      <alignment horizontal="center" vertical="center" readingOrder="2"/>
    </xf>
    <xf numFmtId="1" fontId="25" fillId="3" borderId="13" xfId="0" applyNumberFormat="1" applyFont="1" applyFill="1" applyBorder="1" applyAlignment="1">
      <alignment horizontal="center" vertical="center" readingOrder="2"/>
    </xf>
    <xf numFmtId="0" fontId="28" fillId="3" borderId="13" xfId="0" applyFont="1" applyFill="1" applyBorder="1" applyAlignment="1">
      <alignment horizontal="center" vertical="center" wrapText="1" readingOrder="2"/>
    </xf>
    <xf numFmtId="0" fontId="25" fillId="3" borderId="13" xfId="0" applyFont="1" applyFill="1" applyBorder="1" applyAlignment="1">
      <alignment horizontal="center" vertical="center" wrapText="1" readingOrder="2"/>
    </xf>
    <xf numFmtId="0" fontId="25" fillId="12" borderId="13" xfId="0" applyFont="1" applyFill="1" applyBorder="1" applyAlignment="1">
      <alignment horizontal="center" vertical="center" readingOrder="2"/>
    </xf>
    <xf numFmtId="0" fontId="25" fillId="5" borderId="13" xfId="0" applyFont="1" applyFill="1" applyBorder="1" applyAlignment="1">
      <alignment horizontal="center" vertical="center" readingOrder="2"/>
    </xf>
    <xf numFmtId="0" fontId="8" fillId="13" borderId="5" xfId="0" applyFont="1" applyFill="1" applyBorder="1" applyAlignment="1">
      <alignment horizontal="center" vertical="center" readingOrder="2"/>
    </xf>
    <xf numFmtId="0" fontId="8" fillId="0" borderId="5" xfId="0" applyFont="1" applyBorder="1" applyAlignment="1">
      <alignment horizontal="center" vertical="center" readingOrder="2"/>
    </xf>
    <xf numFmtId="0" fontId="8" fillId="3" borderId="17" xfId="1" applyFont="1" applyFill="1" applyBorder="1" applyAlignment="1">
      <alignment horizontal="center" vertical="center" wrapText="1" readingOrder="2"/>
    </xf>
    <xf numFmtId="0" fontId="8" fillId="3" borderId="15" xfId="1" applyFont="1" applyFill="1" applyBorder="1" applyAlignment="1">
      <alignment horizontal="center" vertical="center" wrapText="1" readingOrder="2"/>
    </xf>
    <xf numFmtId="0" fontId="8" fillId="3" borderId="125" xfId="1" applyFont="1" applyFill="1" applyBorder="1" applyAlignment="1">
      <alignment horizontal="center" vertical="center" wrapText="1" readingOrder="2"/>
    </xf>
    <xf numFmtId="0" fontId="30" fillId="3" borderId="5" xfId="0" applyFont="1" applyFill="1" applyBorder="1" applyAlignment="1">
      <alignment horizontal="center" vertical="center" wrapText="1" readingOrder="2"/>
    </xf>
    <xf numFmtId="0" fontId="31" fillId="3" borderId="5" xfId="0" applyFont="1" applyFill="1" applyBorder="1" applyAlignment="1">
      <alignment horizontal="center" vertical="center" wrapText="1" readingOrder="2"/>
    </xf>
    <xf numFmtId="0" fontId="8" fillId="9" borderId="5" xfId="0" applyFont="1" applyFill="1" applyBorder="1" applyAlignment="1">
      <alignment horizontal="center" vertical="center" readingOrder="2"/>
    </xf>
    <xf numFmtId="164" fontId="8" fillId="3" borderId="5" xfId="0" applyNumberFormat="1" applyFont="1" applyFill="1" applyBorder="1" applyAlignment="1">
      <alignment horizontal="center" vertical="center" readingOrder="2"/>
    </xf>
    <xf numFmtId="0" fontId="8" fillId="14" borderId="5" xfId="0" applyFont="1" applyFill="1" applyBorder="1" applyAlignment="1">
      <alignment horizontal="center" vertical="center" readingOrder="2"/>
    </xf>
    <xf numFmtId="0" fontId="13" fillId="2" borderId="3" xfId="1" applyFont="1" applyFill="1" applyBorder="1" applyAlignment="1">
      <alignment vertical="center" readingOrder="2"/>
    </xf>
    <xf numFmtId="0" fontId="8" fillId="2" borderId="5" xfId="1" applyFont="1" applyFill="1" applyBorder="1" applyAlignment="1">
      <alignment horizontal="center" vertical="center" readingOrder="2"/>
    </xf>
    <xf numFmtId="0" fontId="7" fillId="0" borderId="5" xfId="1" applyFont="1" applyBorder="1" applyAlignment="1">
      <alignment horizontal="center" vertical="center" textRotation="90" readingOrder="2"/>
    </xf>
    <xf numFmtId="0" fontId="7" fillId="0" borderId="6" xfId="1" applyFont="1" applyBorder="1" applyAlignment="1">
      <alignment horizontal="center" vertical="center" readingOrder="2"/>
    </xf>
    <xf numFmtId="49" fontId="8" fillId="0" borderId="4" xfId="0" applyNumberFormat="1" applyFont="1" applyBorder="1" applyAlignment="1">
      <alignment horizontal="center" vertical="center" readingOrder="2"/>
    </xf>
    <xf numFmtId="0" fontId="7" fillId="0" borderId="5" xfId="1" applyFont="1" applyBorder="1" applyAlignment="1">
      <alignment horizontal="center" vertical="center" readingOrder="2"/>
    </xf>
    <xf numFmtId="0" fontId="8" fillId="0" borderId="5" xfId="1" applyFont="1" applyBorder="1" applyAlignment="1">
      <alignment horizontal="center" vertical="center" readingOrder="2"/>
    </xf>
    <xf numFmtId="0" fontId="7" fillId="8" borderId="5" xfId="1" applyFont="1" applyFill="1" applyBorder="1" applyAlignment="1">
      <alignment horizontal="center" vertical="center" textRotation="90" readingOrder="2"/>
    </xf>
    <xf numFmtId="0" fontId="8" fillId="3" borderId="17" xfId="0" applyFont="1" applyFill="1" applyBorder="1" applyAlignment="1">
      <alignment vertical="center" readingOrder="2"/>
    </xf>
    <xf numFmtId="0" fontId="8" fillId="3" borderId="15" xfId="0" applyFont="1" applyFill="1" applyBorder="1" applyAlignment="1">
      <alignment vertical="center" readingOrder="2"/>
    </xf>
    <xf numFmtId="0" fontId="8" fillId="3" borderId="16" xfId="0" applyFont="1" applyFill="1" applyBorder="1" applyAlignment="1">
      <alignment vertical="center" readingOrder="2"/>
    </xf>
    <xf numFmtId="0" fontId="19" fillId="3" borderId="5" xfId="0" applyFont="1" applyFill="1" applyBorder="1" applyAlignment="1">
      <alignment horizontal="center" vertical="center" wrapText="1" readingOrder="2"/>
    </xf>
    <xf numFmtId="0" fontId="8" fillId="8" borderId="5" xfId="0" applyFont="1" applyFill="1" applyBorder="1" applyAlignment="1">
      <alignment horizontal="center" vertical="center" readingOrder="2"/>
    </xf>
    <xf numFmtId="0" fontId="5" fillId="2" borderId="4" xfId="1" applyFont="1" applyFill="1" applyBorder="1" applyAlignment="1">
      <alignment horizontal="center" vertical="center" textRotation="255" wrapText="1" readingOrder="2"/>
    </xf>
    <xf numFmtId="1" fontId="8" fillId="2" borderId="5" xfId="0" applyNumberFormat="1" applyFont="1" applyFill="1" applyBorder="1" applyAlignment="1">
      <alignment horizontal="center" vertical="center" readingOrder="2"/>
    </xf>
    <xf numFmtId="0" fontId="8" fillId="2" borderId="5" xfId="0" applyFont="1" applyFill="1" applyBorder="1" applyAlignment="1">
      <alignment horizontal="center" vertical="center" wrapText="1" readingOrder="2"/>
    </xf>
    <xf numFmtId="0" fontId="33" fillId="2" borderId="0" xfId="1" applyFont="1" applyFill="1"/>
    <xf numFmtId="0" fontId="19" fillId="0" borderId="5" xfId="0" applyFont="1" applyBorder="1" applyAlignment="1">
      <alignment horizontal="center" vertical="center" wrapText="1" readingOrder="2"/>
    </xf>
    <xf numFmtId="0" fontId="19" fillId="2" borderId="5" xfId="0" applyFont="1" applyFill="1" applyBorder="1" applyAlignment="1">
      <alignment horizontal="center" vertical="center" wrapText="1" readingOrder="2"/>
    </xf>
    <xf numFmtId="0" fontId="5" fillId="0" borderId="16" xfId="1" applyFont="1" applyBorder="1"/>
    <xf numFmtId="0" fontId="8" fillId="15" borderId="5" xfId="0" applyFont="1" applyFill="1" applyBorder="1" applyAlignment="1">
      <alignment horizontal="center" vertical="center" readingOrder="2"/>
    </xf>
    <xf numFmtId="0" fontId="8" fillId="2" borderId="5" xfId="0" applyFont="1" applyFill="1" applyBorder="1" applyAlignment="1">
      <alignment horizontal="center" vertical="center" readingOrder="2"/>
    </xf>
    <xf numFmtId="0" fontId="8" fillId="3" borderId="5" xfId="0" applyFont="1" applyFill="1" applyBorder="1" applyAlignment="1">
      <alignment horizontal="center" vertical="center" readingOrder="2"/>
    </xf>
    <xf numFmtId="0" fontId="5" fillId="0" borderId="5" xfId="1" applyFont="1" applyBorder="1"/>
    <xf numFmtId="0" fontId="8" fillId="16" borderId="5" xfId="0" applyFont="1" applyFill="1" applyBorder="1" applyAlignment="1">
      <alignment horizontal="center" vertical="center" readingOrder="2"/>
    </xf>
    <xf numFmtId="0" fontId="8" fillId="17" borderId="5" xfId="0" applyFont="1" applyFill="1" applyBorder="1" applyAlignment="1">
      <alignment horizontal="center" vertical="center" readingOrder="2"/>
    </xf>
    <xf numFmtId="0" fontId="5" fillId="14" borderId="5" xfId="0" applyFont="1" applyFill="1" applyBorder="1" applyAlignment="1">
      <alignment horizontal="center" vertical="center" readingOrder="2"/>
    </xf>
    <xf numFmtId="0" fontId="33" fillId="0" borderId="0" xfId="1" applyFont="1"/>
    <xf numFmtId="0" fontId="8" fillId="18" borderId="5" xfId="0" applyFont="1" applyFill="1" applyBorder="1" applyAlignment="1">
      <alignment horizontal="center" vertical="center" readingOrder="2"/>
    </xf>
    <xf numFmtId="0" fontId="7" fillId="2" borderId="5" xfId="1" applyFont="1" applyFill="1" applyBorder="1" applyAlignment="1">
      <alignment horizontal="center" vertical="center" textRotation="90" wrapText="1" readingOrder="2"/>
    </xf>
    <xf numFmtId="49" fontId="5" fillId="2" borderId="4" xfId="0" applyNumberFormat="1" applyFont="1" applyFill="1" applyBorder="1" applyAlignment="1">
      <alignment horizontal="center" vertical="center" wrapText="1" readingOrder="2"/>
    </xf>
    <xf numFmtId="1" fontId="16" fillId="3" borderId="5" xfId="0" applyNumberFormat="1" applyFont="1" applyFill="1" applyBorder="1" applyAlignment="1">
      <alignment horizontal="center" vertical="center" wrapText="1" readingOrder="2"/>
    </xf>
    <xf numFmtId="0" fontId="8" fillId="14" borderId="5" xfId="0" applyFont="1" applyFill="1" applyBorder="1" applyAlignment="1">
      <alignment horizontal="center" vertical="center" wrapText="1" readingOrder="2"/>
    </xf>
    <xf numFmtId="0" fontId="8" fillId="5" borderId="5" xfId="0" applyFont="1" applyFill="1" applyBorder="1" applyAlignment="1">
      <alignment horizontal="center" vertical="center" wrapText="1" readingOrder="2"/>
    </xf>
    <xf numFmtId="0" fontId="21" fillId="3" borderId="13" xfId="0" applyFont="1" applyFill="1" applyBorder="1" applyAlignment="1">
      <alignment horizontal="center" vertical="center" wrapText="1" readingOrder="2"/>
    </xf>
    <xf numFmtId="0" fontId="20" fillId="0" borderId="13" xfId="0" applyFont="1" applyBorder="1" applyAlignment="1">
      <alignment horizontal="center" vertical="center" readingOrder="2"/>
    </xf>
    <xf numFmtId="0" fontId="20" fillId="6" borderId="13" xfId="0" applyFont="1" applyFill="1" applyBorder="1" applyAlignment="1">
      <alignment horizontal="center" vertical="center" readingOrder="2"/>
    </xf>
    <xf numFmtId="0" fontId="7" fillId="6" borderId="44" xfId="1" applyFont="1" applyFill="1" applyBorder="1" applyAlignment="1">
      <alignment horizontal="center" vertical="center" textRotation="90" readingOrder="2"/>
    </xf>
    <xf numFmtId="0" fontId="7" fillId="6" borderId="43" xfId="1" applyFont="1" applyFill="1" applyBorder="1" applyAlignment="1">
      <alignment horizontal="center" vertical="center" textRotation="90" readingOrder="2"/>
    </xf>
    <xf numFmtId="0" fontId="7" fillId="6" borderId="67" xfId="1" applyFont="1" applyFill="1" applyBorder="1" applyAlignment="1">
      <alignment horizontal="center" vertical="center" textRotation="90" readingOrder="2"/>
    </xf>
    <xf numFmtId="0" fontId="20" fillId="0" borderId="44" xfId="0" applyFont="1" applyBorder="1" applyAlignment="1">
      <alignment vertical="center" readingOrder="2"/>
    </xf>
    <xf numFmtId="0" fontId="20" fillId="0" borderId="43" xfId="0" applyFont="1" applyBorder="1" applyAlignment="1">
      <alignment vertical="center" readingOrder="2"/>
    </xf>
    <xf numFmtId="0" fontId="15" fillId="2" borderId="3" xfId="1" applyFont="1" applyFill="1" applyBorder="1" applyAlignment="1">
      <alignment vertical="center" readingOrder="2"/>
    </xf>
    <xf numFmtId="0" fontId="40" fillId="0" borderId="0" xfId="1" applyFont="1"/>
    <xf numFmtId="0" fontId="5" fillId="2" borderId="5" xfId="1" applyFont="1" applyFill="1" applyBorder="1" applyAlignment="1">
      <alignment horizontal="center" vertical="center" textRotation="90" readingOrder="2"/>
    </xf>
    <xf numFmtId="0" fontId="39" fillId="0" borderId="0" xfId="1" applyFont="1"/>
    <xf numFmtId="0" fontId="41" fillId="0" borderId="0" xfId="1" applyFont="1"/>
    <xf numFmtId="0" fontId="43" fillId="2" borderId="3" xfId="1" applyFont="1" applyFill="1" applyBorder="1" applyAlignment="1">
      <alignment vertical="center" readingOrder="2"/>
    </xf>
    <xf numFmtId="0" fontId="44" fillId="2" borderId="5" xfId="1" applyFont="1" applyFill="1" applyBorder="1" applyAlignment="1">
      <alignment horizontal="center" vertical="center" textRotation="90" readingOrder="2"/>
    </xf>
    <xf numFmtId="49" fontId="39" fillId="2" borderId="4" xfId="0" applyNumberFormat="1" applyFont="1" applyFill="1" applyBorder="1" applyAlignment="1">
      <alignment horizontal="center" vertical="center" readingOrder="2"/>
    </xf>
    <xf numFmtId="1" fontId="40" fillId="3" borderId="5" xfId="0" applyNumberFormat="1" applyFont="1" applyFill="1" applyBorder="1" applyAlignment="1">
      <alignment horizontal="center" vertical="center" readingOrder="2"/>
    </xf>
    <xf numFmtId="0" fontId="45" fillId="3" borderId="5" xfId="0" applyFont="1" applyFill="1" applyBorder="1" applyAlignment="1">
      <alignment horizontal="center" vertical="center" wrapText="1" readingOrder="2"/>
    </xf>
    <xf numFmtId="0" fontId="40" fillId="5" borderId="5" xfId="0" applyFont="1" applyFill="1" applyBorder="1" applyAlignment="1">
      <alignment horizontal="center" vertical="center" readingOrder="2"/>
    </xf>
    <xf numFmtId="0" fontId="40" fillId="3" borderId="5" xfId="0" applyFont="1" applyFill="1" applyBorder="1" applyAlignment="1">
      <alignment horizontal="center" vertical="center" wrapText="1" readingOrder="2"/>
    </xf>
    <xf numFmtId="0" fontId="39" fillId="5" borderId="5" xfId="0" applyFont="1" applyFill="1" applyBorder="1" applyAlignment="1">
      <alignment horizontal="center" vertical="center" readingOrder="2"/>
    </xf>
    <xf numFmtId="9" fontId="8" fillId="3" borderId="13" xfId="2" applyFont="1" applyFill="1" applyBorder="1" applyAlignment="1">
      <alignment horizontal="center" vertical="center" readingOrder="2"/>
    </xf>
    <xf numFmtId="0" fontId="8" fillId="19" borderId="13" xfId="0" applyFont="1" applyFill="1" applyBorder="1" applyAlignment="1">
      <alignment horizontal="center" vertical="center" readingOrder="2"/>
    </xf>
    <xf numFmtId="0" fontId="8" fillId="3" borderId="44" xfId="1" applyFont="1" applyFill="1" applyBorder="1" applyAlignment="1">
      <alignment horizontal="center" vertical="center" wrapText="1" readingOrder="2"/>
    </xf>
    <xf numFmtId="0" fontId="8" fillId="3" borderId="42" xfId="1" applyFont="1" applyFill="1" applyBorder="1" applyAlignment="1">
      <alignment horizontal="center" vertical="center" wrapText="1" readingOrder="2"/>
    </xf>
    <xf numFmtId="0" fontId="8" fillId="3" borderId="43" xfId="1" applyFont="1" applyFill="1" applyBorder="1" applyAlignment="1">
      <alignment horizontal="center" vertical="center" wrapText="1" readingOrder="2"/>
    </xf>
    <xf numFmtId="0" fontId="8" fillId="3" borderId="13" xfId="1" applyFont="1" applyFill="1" applyBorder="1" applyAlignment="1">
      <alignment horizontal="center" vertical="center" wrapText="1" readingOrder="2"/>
    </xf>
    <xf numFmtId="0" fontId="5" fillId="5" borderId="13" xfId="0" applyFont="1" applyFill="1" applyBorder="1" applyAlignment="1">
      <alignment horizontal="center" vertical="center" readingOrder="2"/>
    </xf>
    <xf numFmtId="0" fontId="46" fillId="3" borderId="13" xfId="0" applyFont="1" applyFill="1" applyBorder="1" applyAlignment="1">
      <alignment horizontal="center" vertical="center" wrapText="1" readingOrder="2"/>
    </xf>
    <xf numFmtId="9" fontId="8" fillId="3" borderId="5" xfId="2" applyFont="1" applyFill="1" applyBorder="1" applyAlignment="1">
      <alignment horizontal="center" vertical="center" readingOrder="2"/>
    </xf>
    <xf numFmtId="0" fontId="8" fillId="12" borderId="5" xfId="0" applyFont="1" applyFill="1" applyBorder="1" applyAlignment="1">
      <alignment horizontal="center" vertical="center" readingOrder="2"/>
    </xf>
    <xf numFmtId="0" fontId="8" fillId="20" borderId="13" xfId="0" applyFont="1" applyFill="1" applyBorder="1" applyAlignment="1">
      <alignment horizontal="center" vertical="center" readingOrder="2"/>
    </xf>
    <xf numFmtId="0" fontId="5" fillId="3" borderId="44" xfId="0" applyFont="1" applyFill="1" applyBorder="1" applyAlignment="1">
      <alignment horizontal="right" vertical="center" readingOrder="2"/>
    </xf>
    <xf numFmtId="0" fontId="5" fillId="3" borderId="42" xfId="0" applyFont="1" applyFill="1" applyBorder="1" applyAlignment="1">
      <alignment horizontal="right" vertical="center" readingOrder="2"/>
    </xf>
    <xf numFmtId="0" fontId="5" fillId="3" borderId="43" xfId="0" applyFont="1" applyFill="1" applyBorder="1" applyAlignment="1">
      <alignment horizontal="right" vertical="center" readingOrder="2"/>
    </xf>
    <xf numFmtId="0" fontId="5" fillId="20" borderId="13" xfId="0" applyFont="1" applyFill="1" applyBorder="1" applyAlignment="1">
      <alignment horizontal="center" vertical="center" readingOrder="2"/>
    </xf>
    <xf numFmtId="9" fontId="8" fillId="5" borderId="13" xfId="2" applyFont="1" applyFill="1" applyBorder="1" applyAlignment="1">
      <alignment horizontal="center" vertical="center" readingOrder="2"/>
    </xf>
    <xf numFmtId="0" fontId="8" fillId="5" borderId="13" xfId="0" applyFont="1" applyFill="1" applyBorder="1" applyAlignment="1">
      <alignment horizontal="center" vertical="center" wrapText="1" readingOrder="2"/>
    </xf>
    <xf numFmtId="9" fontId="47" fillId="3" borderId="13" xfId="2" applyFont="1" applyFill="1" applyBorder="1" applyAlignment="1">
      <alignment horizontal="center" vertical="center" readingOrder="2"/>
    </xf>
    <xf numFmtId="0" fontId="47" fillId="3" borderId="13" xfId="0" applyFont="1" applyFill="1" applyBorder="1" applyAlignment="1">
      <alignment horizontal="center" vertical="center" wrapText="1" readingOrder="2"/>
    </xf>
    <xf numFmtId="0" fontId="8" fillId="6" borderId="5" xfId="0" applyFont="1" applyFill="1" applyBorder="1" applyAlignment="1">
      <alignment horizontal="center" vertical="center" readingOrder="2"/>
    </xf>
    <xf numFmtId="9" fontId="8" fillId="3" borderId="13" xfId="0" applyNumberFormat="1" applyFont="1" applyFill="1" applyBorder="1" applyAlignment="1">
      <alignment horizontal="center" vertical="center" readingOrder="2"/>
    </xf>
    <xf numFmtId="0" fontId="7" fillId="2" borderId="134" xfId="1" applyFont="1" applyFill="1" applyBorder="1" applyAlignment="1">
      <alignment horizontal="center" vertical="center" textRotation="90" readingOrder="2"/>
    </xf>
    <xf numFmtId="49" fontId="5" fillId="2" borderId="135" xfId="0" applyNumberFormat="1" applyFont="1" applyFill="1" applyBorder="1" applyAlignment="1">
      <alignment horizontal="center" vertical="center" readingOrder="2"/>
    </xf>
    <xf numFmtId="9" fontId="8" fillId="3" borderId="136" xfId="2" applyFont="1" applyFill="1" applyBorder="1" applyAlignment="1">
      <alignment horizontal="center" vertical="center" readingOrder="2"/>
    </xf>
    <xf numFmtId="0" fontId="8" fillId="3" borderId="136" xfId="0" applyFont="1" applyFill="1" applyBorder="1" applyAlignment="1">
      <alignment horizontal="center" vertical="center" wrapText="1" readingOrder="2"/>
    </xf>
    <xf numFmtId="0" fontId="8" fillId="5" borderId="136" xfId="0" applyFont="1" applyFill="1" applyBorder="1" applyAlignment="1">
      <alignment horizontal="center" vertical="center" readingOrder="2"/>
    </xf>
    <xf numFmtId="49" fontId="5" fillId="2" borderId="122" xfId="0" applyNumberFormat="1" applyFont="1" applyFill="1" applyBorder="1" applyAlignment="1">
      <alignment horizontal="center" vertical="center" readingOrder="2"/>
    </xf>
    <xf numFmtId="0" fontId="8" fillId="3" borderId="69" xfId="0" applyFont="1" applyFill="1" applyBorder="1" applyAlignment="1">
      <alignment horizontal="right" vertical="center" readingOrder="2"/>
    </xf>
    <xf numFmtId="0" fontId="8" fillId="3" borderId="70" xfId="0" applyFont="1" applyFill="1" applyBorder="1" applyAlignment="1">
      <alignment horizontal="right" vertical="center" readingOrder="2"/>
    </xf>
    <xf numFmtId="0" fontId="8" fillId="3" borderId="138" xfId="0" applyFont="1" applyFill="1" applyBorder="1" applyAlignment="1">
      <alignment horizontal="right" vertical="center" readingOrder="2"/>
    </xf>
    <xf numFmtId="9" fontId="8" fillId="3" borderId="67" xfId="2" applyFont="1" applyFill="1" applyBorder="1" applyAlignment="1">
      <alignment horizontal="center" vertical="center" readingOrder="2"/>
    </xf>
    <xf numFmtId="0" fontId="8" fillId="3" borderId="67" xfId="0" applyFont="1" applyFill="1" applyBorder="1" applyAlignment="1">
      <alignment horizontal="center" vertical="center" wrapText="1" readingOrder="2"/>
    </xf>
    <xf numFmtId="0" fontId="8" fillId="5" borderId="67" xfId="0" applyFont="1" applyFill="1" applyBorder="1" applyAlignment="1">
      <alignment horizontal="center" vertical="center" readingOrder="2"/>
    </xf>
    <xf numFmtId="0" fontId="8" fillId="3" borderId="121" xfId="1" applyFont="1" applyFill="1" applyBorder="1" applyAlignment="1">
      <alignment horizontal="center" vertical="center" readingOrder="2"/>
    </xf>
    <xf numFmtId="9" fontId="8" fillId="3" borderId="134" xfId="2" applyFont="1" applyFill="1" applyBorder="1" applyAlignment="1">
      <alignment horizontal="center" vertical="center" readingOrder="2"/>
    </xf>
    <xf numFmtId="0" fontId="8" fillId="3" borderId="134" xfId="0" applyFont="1" applyFill="1" applyBorder="1" applyAlignment="1">
      <alignment horizontal="center" vertical="center" wrapText="1" readingOrder="2"/>
    </xf>
    <xf numFmtId="0" fontId="5" fillId="5" borderId="134" xfId="0" applyFont="1" applyFill="1" applyBorder="1" applyAlignment="1">
      <alignment horizontal="center" vertical="center" readingOrder="2"/>
    </xf>
    <xf numFmtId="0" fontId="8" fillId="21" borderId="13" xfId="0" applyFont="1" applyFill="1" applyBorder="1" applyAlignment="1">
      <alignment horizontal="center" vertical="center" readingOrder="2"/>
    </xf>
    <xf numFmtId="1" fontId="18" fillId="3" borderId="5" xfId="0" applyNumberFormat="1" applyFont="1" applyFill="1" applyBorder="1" applyAlignment="1">
      <alignment horizontal="center" vertical="center" readingOrder="2"/>
    </xf>
    <xf numFmtId="0" fontId="18" fillId="3" borderId="13" xfId="0" applyFont="1" applyFill="1" applyBorder="1" applyAlignment="1">
      <alignment horizontal="center" vertical="center" wrapText="1" readingOrder="2"/>
    </xf>
    <xf numFmtId="0" fontId="18" fillId="3" borderId="15" xfId="0" applyFont="1" applyFill="1" applyBorder="1" applyAlignment="1">
      <alignment horizontal="center" vertical="center" readingOrder="2"/>
    </xf>
    <xf numFmtId="49" fontId="5" fillId="2" borderId="14" xfId="0" applyNumberFormat="1" applyFont="1" applyFill="1" applyBorder="1" applyAlignment="1">
      <alignment horizontal="center" vertical="center" readingOrder="2"/>
    </xf>
    <xf numFmtId="0" fontId="5" fillId="3" borderId="13" xfId="0" applyFont="1" applyFill="1" applyBorder="1" applyAlignment="1">
      <alignment horizontal="center" vertical="center" wrapText="1" readingOrder="2"/>
    </xf>
    <xf numFmtId="0" fontId="5" fillId="8" borderId="0" xfId="1" applyFont="1" applyFill="1"/>
    <xf numFmtId="0" fontId="5" fillId="8" borderId="5" xfId="0" applyFont="1" applyFill="1" applyBorder="1" applyAlignment="1">
      <alignment horizontal="center" vertical="center" readingOrder="2"/>
    </xf>
    <xf numFmtId="0" fontId="8" fillId="3" borderId="44" xfId="0" applyFont="1" applyFill="1" applyBorder="1" applyAlignment="1">
      <alignment horizontal="right" vertical="center" readingOrder="2"/>
    </xf>
    <xf numFmtId="0" fontId="8" fillId="3" borderId="42" xfId="0" applyFont="1" applyFill="1" applyBorder="1" applyAlignment="1">
      <alignment horizontal="right" vertical="center" readingOrder="2"/>
    </xf>
    <xf numFmtId="0" fontId="8" fillId="3" borderId="43" xfId="0" applyFont="1" applyFill="1" applyBorder="1" applyAlignment="1">
      <alignment horizontal="right" vertical="center" readingOrder="2"/>
    </xf>
    <xf numFmtId="0" fontId="8" fillId="8" borderId="13" xfId="0" applyFont="1" applyFill="1" applyBorder="1" applyAlignment="1">
      <alignment horizontal="center" vertical="center" readingOrder="2"/>
    </xf>
    <xf numFmtId="0" fontId="5" fillId="8" borderId="13" xfId="0" applyFont="1" applyFill="1" applyBorder="1" applyAlignment="1">
      <alignment horizontal="center" vertical="center" readingOrder="2"/>
    </xf>
    <xf numFmtId="0" fontId="8" fillId="9" borderId="13" xfId="0" applyFont="1" applyFill="1" applyBorder="1" applyAlignment="1">
      <alignment horizontal="center" vertical="center" readingOrder="2"/>
    </xf>
    <xf numFmtId="0" fontId="5" fillId="15" borderId="13" xfId="0" applyFont="1" applyFill="1" applyBorder="1" applyAlignment="1">
      <alignment horizontal="center" vertical="center" readingOrder="2"/>
    </xf>
    <xf numFmtId="0" fontId="6" fillId="0" borderId="39" xfId="1" applyFont="1" applyBorder="1" applyAlignment="1">
      <alignment readingOrder="2"/>
    </xf>
    <xf numFmtId="0" fontId="8" fillId="15" borderId="13" xfId="0" applyFont="1" applyFill="1" applyBorder="1" applyAlignment="1">
      <alignment horizontal="center" vertical="center" readingOrder="2"/>
    </xf>
    <xf numFmtId="0" fontId="8" fillId="0" borderId="0" xfId="1" applyFont="1" applyAlignment="1">
      <alignment wrapText="1"/>
    </xf>
    <xf numFmtId="0" fontId="52" fillId="0" borderId="0" xfId="0" applyFont="1"/>
    <xf numFmtId="0" fontId="8" fillId="0" borderId="13" xfId="1" applyFont="1" applyBorder="1" applyAlignment="1">
      <alignment horizontal="center" vertical="center"/>
    </xf>
    <xf numFmtId="0" fontId="8" fillId="0" borderId="67" xfId="1" applyFont="1" applyBorder="1" applyAlignment="1">
      <alignment horizontal="center" vertical="center"/>
    </xf>
    <xf numFmtId="0" fontId="55" fillId="5" borderId="5" xfId="0" applyFont="1" applyFill="1" applyBorder="1" applyAlignment="1">
      <alignment horizontal="center" vertical="center" readingOrder="2"/>
    </xf>
    <xf numFmtId="0" fontId="5" fillId="12" borderId="5" xfId="0" applyFont="1" applyFill="1" applyBorder="1" applyAlignment="1">
      <alignment horizontal="center" vertical="center" readingOrder="2"/>
    </xf>
    <xf numFmtId="0" fontId="56" fillId="5" borderId="5" xfId="0" applyFont="1" applyFill="1" applyBorder="1" applyAlignment="1">
      <alignment horizontal="center" vertical="center" readingOrder="2"/>
    </xf>
    <xf numFmtId="0" fontId="25" fillId="10" borderId="13" xfId="0" applyFont="1" applyFill="1" applyBorder="1" applyAlignment="1">
      <alignment horizontal="center" vertical="center" readingOrder="2"/>
    </xf>
    <xf numFmtId="0" fontId="8" fillId="3" borderId="43" xfId="1" applyFont="1" applyFill="1" applyBorder="1" applyAlignment="1">
      <alignment horizontal="center" vertical="center" readingOrder="2"/>
    </xf>
    <xf numFmtId="1" fontId="8" fillId="3" borderId="13" xfId="0" applyNumberFormat="1" applyFont="1" applyFill="1" applyBorder="1" applyAlignment="1">
      <alignment horizontal="center" vertical="center" wrapText="1" readingOrder="2"/>
    </xf>
    <xf numFmtId="0" fontId="8" fillId="2" borderId="75" xfId="1" applyFont="1" applyFill="1" applyBorder="1" applyAlignment="1">
      <alignment horizontal="center" vertical="center" readingOrder="2"/>
    </xf>
    <xf numFmtId="0" fontId="8" fillId="2" borderId="146" xfId="1" applyFont="1" applyFill="1" applyBorder="1" applyAlignment="1">
      <alignment vertical="center" readingOrder="2"/>
    </xf>
    <xf numFmtId="0" fontId="8" fillId="2" borderId="143" xfId="1" applyFont="1" applyFill="1" applyBorder="1" applyAlignment="1">
      <alignment vertical="center" readingOrder="2"/>
    </xf>
    <xf numFmtId="0" fontId="8" fillId="3" borderId="138" xfId="1" applyFont="1" applyFill="1" applyBorder="1" applyAlignment="1">
      <alignment horizontal="center" vertical="center" readingOrder="2"/>
    </xf>
    <xf numFmtId="0" fontId="8" fillId="10" borderId="13" xfId="0" applyFont="1" applyFill="1" applyBorder="1" applyAlignment="1">
      <alignment horizontal="center" vertical="center" readingOrder="2"/>
    </xf>
    <xf numFmtId="0" fontId="58" fillId="22" borderId="148" xfId="0" applyFont="1" applyFill="1" applyBorder="1" applyAlignment="1">
      <alignment horizontal="center" vertical="center"/>
    </xf>
    <xf numFmtId="0" fontId="59" fillId="22" borderId="58" xfId="0" applyFont="1" applyFill="1" applyBorder="1" applyAlignment="1">
      <alignment horizontal="center" vertical="center"/>
    </xf>
    <xf numFmtId="0" fontId="61" fillId="22" borderId="152" xfId="0" applyFont="1" applyFill="1" applyBorder="1" applyAlignment="1">
      <alignment horizontal="right" vertical="center" wrapText="1"/>
    </xf>
    <xf numFmtId="0" fontId="61" fillId="22" borderId="153" xfId="0" applyFont="1" applyFill="1" applyBorder="1" applyAlignment="1">
      <alignment horizontal="right" vertical="center" wrapText="1"/>
    </xf>
    <xf numFmtId="0" fontId="61" fillId="22" borderId="155" xfId="0" applyFont="1" applyFill="1" applyBorder="1" applyAlignment="1">
      <alignment horizontal="right" vertical="center" wrapText="1"/>
    </xf>
    <xf numFmtId="0" fontId="61" fillId="22" borderId="150" xfId="0" applyFont="1" applyFill="1" applyBorder="1" applyAlignment="1">
      <alignment horizontal="right" vertical="center" wrapText="1"/>
    </xf>
    <xf numFmtId="0" fontId="61" fillId="22" borderId="158" xfId="0" applyFont="1" applyFill="1" applyBorder="1" applyAlignment="1">
      <alignment horizontal="right" vertical="center" wrapText="1"/>
    </xf>
    <xf numFmtId="0" fontId="62" fillId="22" borderId="61" xfId="0" applyFont="1" applyFill="1" applyBorder="1" applyAlignment="1">
      <alignment horizontal="right" vertical="center" wrapText="1"/>
    </xf>
    <xf numFmtId="0" fontId="61" fillId="22" borderId="43" xfId="0" applyFont="1" applyFill="1" applyBorder="1" applyAlignment="1">
      <alignment horizontal="right" vertical="center" wrapText="1"/>
    </xf>
    <xf numFmtId="0" fontId="61" fillId="22" borderId="138" xfId="0" applyFont="1" applyFill="1" applyBorder="1" applyAlignment="1">
      <alignment horizontal="right" vertical="center" wrapText="1"/>
    </xf>
    <xf numFmtId="0" fontId="62" fillId="22" borderId="155" xfId="0" applyFont="1" applyFill="1" applyBorder="1" applyAlignment="1">
      <alignment horizontal="right" vertical="center" wrapText="1"/>
    </xf>
    <xf numFmtId="0" fontId="61" fillId="22" borderId="61" xfId="0" applyFont="1" applyFill="1" applyBorder="1" applyAlignment="1">
      <alignment horizontal="right" vertical="center" wrapText="1"/>
    </xf>
    <xf numFmtId="0" fontId="61" fillId="22" borderId="160" xfId="0" applyFont="1" applyFill="1" applyBorder="1" applyAlignment="1">
      <alignment horizontal="right" vertical="center" wrapText="1"/>
    </xf>
    <xf numFmtId="0" fontId="61" fillId="22" borderId="13" xfId="0" applyFont="1" applyFill="1" applyBorder="1" applyAlignment="1">
      <alignment horizontal="right" vertical="center" wrapText="1"/>
    </xf>
    <xf numFmtId="0" fontId="64" fillId="0" borderId="0" xfId="0" applyFont="1" applyAlignment="1">
      <alignment vertical="center" wrapText="1"/>
    </xf>
    <xf numFmtId="0" fontId="61" fillId="0" borderId="0" xfId="0" applyFont="1" applyAlignment="1">
      <alignment horizontal="right" vertical="center" wrapText="1"/>
    </xf>
    <xf numFmtId="0" fontId="8" fillId="3" borderId="13" xfId="1" applyFont="1" applyFill="1" applyBorder="1" applyAlignment="1">
      <alignment vertical="center" wrapText="1" readingOrder="2"/>
    </xf>
    <xf numFmtId="0" fontId="65" fillId="22" borderId="58" xfId="0" applyFont="1" applyFill="1" applyBorder="1" applyAlignment="1">
      <alignment horizontal="center" vertical="center"/>
    </xf>
    <xf numFmtId="0" fontId="66" fillId="22" borderId="161" xfId="0" applyFont="1" applyFill="1" applyBorder="1" applyAlignment="1">
      <alignment horizontal="center"/>
    </xf>
    <xf numFmtId="0" fontId="61" fillId="22" borderId="61" xfId="0" applyFont="1" applyFill="1" applyBorder="1" applyAlignment="1">
      <alignment horizontal="center" vertical="center" wrapText="1"/>
    </xf>
    <xf numFmtId="0" fontId="67" fillId="22" borderId="120" xfId="0" applyFont="1" applyFill="1" applyBorder="1" applyAlignment="1">
      <alignment horizontal="center" vertical="center" wrapText="1"/>
    </xf>
    <xf numFmtId="0" fontId="68" fillId="22" borderId="61" xfId="0" applyFont="1" applyFill="1" applyBorder="1" applyAlignment="1">
      <alignment horizontal="center" wrapText="1"/>
    </xf>
    <xf numFmtId="0" fontId="68" fillId="22" borderId="162" xfId="0" applyFont="1" applyFill="1" applyBorder="1" applyAlignment="1">
      <alignment horizontal="center" wrapText="1"/>
    </xf>
    <xf numFmtId="0" fontId="61" fillId="22" borderId="43" xfId="0" applyFont="1" applyFill="1" applyBorder="1" applyAlignment="1">
      <alignment horizontal="center" vertical="center" wrapText="1"/>
    </xf>
    <xf numFmtId="0" fontId="67" fillId="22" borderId="13" xfId="0" applyFont="1" applyFill="1" applyBorder="1" applyAlignment="1">
      <alignment horizontal="center" vertical="center" wrapText="1"/>
    </xf>
    <xf numFmtId="0" fontId="61" fillId="22" borderId="13" xfId="0" applyFont="1" applyFill="1" applyBorder="1" applyAlignment="1">
      <alignment horizontal="center" vertical="center" wrapText="1"/>
    </xf>
    <xf numFmtId="0" fontId="61" fillId="22" borderId="13" xfId="0" applyFont="1" applyFill="1" applyBorder="1" applyAlignment="1">
      <alignment horizontal="center" wrapText="1"/>
    </xf>
    <xf numFmtId="0" fontId="68" fillId="22" borderId="43" xfId="0" applyFont="1" applyFill="1" applyBorder="1" applyAlignment="1">
      <alignment horizontal="center" wrapText="1"/>
    </xf>
    <xf numFmtId="0" fontId="68" fillId="22" borderId="163" xfId="0" applyFont="1" applyFill="1" applyBorder="1" applyAlignment="1">
      <alignment horizontal="center" wrapText="1"/>
    </xf>
    <xf numFmtId="0" fontId="68" fillId="22" borderId="13" xfId="0" applyFont="1" applyFill="1" applyBorder="1" applyAlignment="1">
      <alignment horizontal="center" wrapText="1"/>
    </xf>
    <xf numFmtId="0" fontId="61" fillId="22" borderId="138" xfId="0" applyFont="1" applyFill="1" applyBorder="1" applyAlignment="1">
      <alignment horizontal="center" vertical="center" wrapText="1"/>
    </xf>
    <xf numFmtId="0" fontId="67" fillId="22" borderId="67" xfId="0" applyFont="1" applyFill="1" applyBorder="1" applyAlignment="1">
      <alignment horizontal="center" vertical="center" wrapText="1"/>
    </xf>
    <xf numFmtId="0" fontId="61" fillId="22" borderId="160" xfId="0" applyFont="1" applyFill="1" applyBorder="1" applyAlignment="1">
      <alignment horizontal="center" vertical="center" wrapText="1"/>
    </xf>
    <xf numFmtId="0" fontId="67" fillId="22" borderId="50" xfId="0" applyFont="1" applyFill="1" applyBorder="1" applyAlignment="1">
      <alignment horizontal="center" vertical="center" wrapText="1"/>
    </xf>
    <xf numFmtId="0" fontId="68" fillId="22" borderId="50" xfId="0" applyFont="1" applyFill="1" applyBorder="1" applyAlignment="1">
      <alignment horizontal="center" wrapText="1"/>
    </xf>
    <xf numFmtId="0" fontId="68" fillId="22" borderId="160" xfId="0" applyFont="1" applyFill="1" applyBorder="1" applyAlignment="1">
      <alignment horizontal="center" wrapText="1"/>
    </xf>
    <xf numFmtId="0" fontId="68" fillId="22" borderId="164" xfId="0" applyFont="1" applyFill="1" applyBorder="1" applyAlignment="1">
      <alignment horizontal="center" wrapText="1"/>
    </xf>
    <xf numFmtId="0" fontId="67" fillId="22" borderId="120" xfId="0" applyFont="1" applyFill="1" applyBorder="1" applyAlignment="1">
      <alignment vertical="center" wrapText="1"/>
    </xf>
    <xf numFmtId="0" fontId="68" fillId="22" borderId="120" xfId="0" applyFont="1" applyFill="1" applyBorder="1" applyAlignment="1">
      <alignment horizontal="center" wrapText="1"/>
    </xf>
    <xf numFmtId="0" fontId="67" fillId="22" borderId="13" xfId="0" applyFont="1" applyFill="1" applyBorder="1" applyAlignment="1">
      <alignment vertical="center" wrapText="1"/>
    </xf>
    <xf numFmtId="0" fontId="61" fillId="22" borderId="13" xfId="0" applyFont="1" applyFill="1" applyBorder="1" applyAlignment="1">
      <alignment vertical="center" wrapText="1"/>
    </xf>
    <xf numFmtId="0" fontId="61" fillId="22" borderId="49" xfId="0" applyFont="1" applyFill="1" applyBorder="1" applyAlignment="1">
      <alignment horizontal="center" vertical="center" wrapText="1"/>
    </xf>
    <xf numFmtId="0" fontId="61" fillId="22" borderId="50" xfId="0" applyFont="1" applyFill="1" applyBorder="1" applyAlignment="1">
      <alignment vertical="center" wrapText="1"/>
    </xf>
    <xf numFmtId="0" fontId="62" fillId="22" borderId="61" xfId="0" applyFont="1" applyFill="1" applyBorder="1" applyAlignment="1">
      <alignment horizontal="center" vertical="center" wrapText="1"/>
    </xf>
    <xf numFmtId="0" fontId="62" fillId="22" borderId="160" xfId="0" applyFont="1" applyFill="1" applyBorder="1" applyAlignment="1">
      <alignment horizontal="center" vertical="center" wrapText="1"/>
    </xf>
    <xf numFmtId="0" fontId="61" fillId="22" borderId="57" xfId="0" applyFont="1" applyFill="1" applyBorder="1" applyAlignment="1">
      <alignment horizontal="center" vertical="center" wrapText="1"/>
    </xf>
    <xf numFmtId="0" fontId="67" fillId="22" borderId="58" xfId="0" applyFont="1" applyFill="1" applyBorder="1" applyAlignment="1">
      <alignment horizontal="center" vertical="center" wrapText="1"/>
    </xf>
    <xf numFmtId="0" fontId="68" fillId="22" borderId="57" xfId="0" applyFont="1" applyFill="1" applyBorder="1" applyAlignment="1">
      <alignment horizontal="center" wrapText="1"/>
    </xf>
    <xf numFmtId="0" fontId="67" fillId="22" borderId="145" xfId="0" applyFont="1" applyFill="1" applyBorder="1" applyAlignment="1">
      <alignment horizontal="center" vertical="center" wrapText="1"/>
    </xf>
    <xf numFmtId="0" fontId="68" fillId="22" borderId="49" xfId="0" applyFont="1" applyFill="1" applyBorder="1" applyAlignment="1">
      <alignment horizontal="center" wrapText="1"/>
    </xf>
    <xf numFmtId="0" fontId="68" fillId="22" borderId="165" xfId="0" applyFont="1" applyFill="1" applyBorder="1" applyAlignment="1">
      <alignment horizontal="center" wrapText="1"/>
    </xf>
    <xf numFmtId="0" fontId="68" fillId="22" borderId="138" xfId="0" applyFont="1" applyFill="1" applyBorder="1" applyAlignment="1">
      <alignment horizontal="center" wrapText="1"/>
    </xf>
    <xf numFmtId="0" fontId="68" fillId="22" borderId="166" xfId="0" applyFont="1" applyFill="1" applyBorder="1" applyAlignment="1">
      <alignment horizontal="center" wrapText="1"/>
    </xf>
    <xf numFmtId="0" fontId="64" fillId="22" borderId="13" xfId="0" applyFont="1" applyFill="1" applyBorder="1" applyAlignment="1">
      <alignment horizontal="right" vertical="center" wrapText="1"/>
    </xf>
    <xf numFmtId="0" fontId="69" fillId="22" borderId="13" xfId="0" applyFont="1" applyFill="1" applyBorder="1" applyAlignment="1">
      <alignment horizontal="center"/>
    </xf>
    <xf numFmtId="0" fontId="61" fillId="0" borderId="0" xfId="0" applyFont="1" applyAlignment="1">
      <alignment horizontal="center" vertical="center" wrapText="1"/>
    </xf>
    <xf numFmtId="0" fontId="64" fillId="0" borderId="0" xfId="0" applyFont="1" applyAlignment="1">
      <alignment horizontal="right" vertical="center" wrapText="1"/>
    </xf>
    <xf numFmtId="0" fontId="69" fillId="0" borderId="0" xfId="0" applyFont="1" applyAlignment="1">
      <alignment horizontal="center"/>
    </xf>
    <xf numFmtId="0" fontId="64" fillId="0" borderId="0" xfId="0" applyFont="1" applyAlignment="1">
      <alignment horizontal="center"/>
    </xf>
    <xf numFmtId="9" fontId="64" fillId="0" borderId="0" xfId="2" applyFont="1" applyFill="1" applyAlignment="1">
      <alignment horizontal="right" vertical="center"/>
    </xf>
    <xf numFmtId="0" fontId="64" fillId="0" borderId="0" xfId="0" applyFont="1" applyAlignment="1">
      <alignment horizontal="right" vertical="center"/>
    </xf>
    <xf numFmtId="0" fontId="64" fillId="0" borderId="0" xfId="0" applyFont="1" applyAlignment="1">
      <alignment vertical="center"/>
    </xf>
    <xf numFmtId="2" fontId="64" fillId="0" borderId="0" xfId="0" applyNumberFormat="1" applyFont="1" applyAlignment="1">
      <alignment vertical="center"/>
    </xf>
    <xf numFmtId="0" fontId="67" fillId="0" borderId="0" xfId="0" applyFont="1" applyAlignment="1">
      <alignment horizontal="right" vertical="center" wrapText="1"/>
    </xf>
    <xf numFmtId="0" fontId="64" fillId="0" borderId="0" xfId="0" applyFont="1" applyAlignment="1">
      <alignment horizontal="center" vertical="center"/>
    </xf>
    <xf numFmtId="0" fontId="64" fillId="22" borderId="13" xfId="0" applyFont="1" applyFill="1" applyBorder="1" applyAlignment="1">
      <alignment horizontal="center"/>
    </xf>
    <xf numFmtId="9" fontId="64" fillId="22" borderId="13" xfId="2" applyFont="1" applyFill="1" applyBorder="1" applyAlignment="1">
      <alignment horizontal="right" vertical="center"/>
    </xf>
    <xf numFmtId="0" fontId="64" fillId="22" borderId="13" xfId="0" applyFont="1" applyFill="1" applyBorder="1" applyAlignment="1">
      <alignment horizontal="right" vertical="center"/>
    </xf>
    <xf numFmtId="0" fontId="64" fillId="22" borderId="13" xfId="0" applyFont="1" applyFill="1" applyBorder="1" applyAlignment="1">
      <alignment vertical="center"/>
    </xf>
    <xf numFmtId="2" fontId="64" fillId="22" borderId="13" xfId="0" applyNumberFormat="1" applyFont="1" applyFill="1" applyBorder="1" applyAlignment="1">
      <alignment vertical="center"/>
    </xf>
    <xf numFmtId="0" fontId="67" fillId="22" borderId="13" xfId="0" applyFont="1" applyFill="1" applyBorder="1" applyAlignment="1">
      <alignment horizontal="right" vertical="center" wrapText="1"/>
    </xf>
    <xf numFmtId="0" fontId="64" fillId="22" borderId="13" xfId="0" applyFont="1" applyFill="1" applyBorder="1" applyAlignment="1">
      <alignment horizontal="center" vertical="center"/>
    </xf>
    <xf numFmtId="0" fontId="61" fillId="22" borderId="145" xfId="0" applyFont="1" applyFill="1" applyBorder="1" applyAlignment="1">
      <alignment horizontal="right" vertical="center" wrapText="1"/>
    </xf>
    <xf numFmtId="0" fontId="64" fillId="22" borderId="145" xfId="0" applyFont="1" applyFill="1" applyBorder="1" applyAlignment="1">
      <alignment vertical="center"/>
    </xf>
    <xf numFmtId="2" fontId="64" fillId="22" borderId="145" xfId="0" applyNumberFormat="1" applyFont="1" applyFill="1" applyBorder="1" applyAlignment="1">
      <alignment vertical="center"/>
    </xf>
    <xf numFmtId="0" fontId="67" fillId="22" borderId="145" xfId="0" applyFont="1" applyFill="1" applyBorder="1" applyAlignment="1">
      <alignment horizontal="right" vertical="center" wrapText="1"/>
    </xf>
    <xf numFmtId="0" fontId="61" fillId="22" borderId="145" xfId="0" applyFont="1" applyFill="1" applyBorder="1" applyAlignment="1">
      <alignment horizontal="center" vertical="center" wrapText="1"/>
    </xf>
    <xf numFmtId="0" fontId="61" fillId="22" borderId="50" xfId="0" applyFont="1" applyFill="1" applyBorder="1" applyAlignment="1">
      <alignment horizontal="right" vertical="center" wrapText="1"/>
    </xf>
    <xf numFmtId="0" fontId="61" fillId="22" borderId="50" xfId="0" applyFont="1" applyFill="1" applyBorder="1" applyAlignment="1">
      <alignment horizontal="center" vertical="center" wrapText="1"/>
    </xf>
    <xf numFmtId="0" fontId="64" fillId="22" borderId="44" xfId="0" applyFont="1" applyFill="1" applyBorder="1" applyAlignment="1">
      <alignment horizontal="center"/>
    </xf>
    <xf numFmtId="3" fontId="61" fillId="22" borderId="13" xfId="0" applyNumberFormat="1" applyFont="1" applyFill="1" applyBorder="1" applyAlignment="1">
      <alignment horizontal="right" vertical="center" wrapText="1"/>
    </xf>
    <xf numFmtId="0" fontId="61" fillId="24" borderId="13" xfId="0" applyFont="1" applyFill="1" applyBorder="1" applyAlignment="1">
      <alignment horizontal="right" vertical="center" wrapText="1"/>
    </xf>
    <xf numFmtId="3" fontId="61" fillId="22" borderId="13" xfId="0" applyNumberFormat="1" applyFont="1" applyFill="1" applyBorder="1" applyAlignment="1">
      <alignment horizontal="center" vertical="center" wrapText="1"/>
    </xf>
    <xf numFmtId="0" fontId="61" fillId="22" borderId="44" xfId="0" applyFont="1" applyFill="1" applyBorder="1" applyAlignment="1">
      <alignment horizontal="center" wrapText="1"/>
    </xf>
    <xf numFmtId="0" fontId="61" fillId="22" borderId="59" xfId="0" applyFont="1" applyFill="1" applyBorder="1" applyAlignment="1">
      <alignment horizontal="center" wrapText="1"/>
    </xf>
    <xf numFmtId="3" fontId="61" fillId="22" borderId="58" xfId="0" applyNumberFormat="1" applyFont="1" applyFill="1" applyBorder="1" applyAlignment="1">
      <alignment horizontal="right" vertical="center" wrapText="1"/>
    </xf>
    <xf numFmtId="0" fontId="61" fillId="22" borderId="120" xfId="0" applyFont="1" applyFill="1" applyBorder="1" applyAlignment="1">
      <alignment horizontal="right" vertical="center" wrapText="1"/>
    </xf>
    <xf numFmtId="0" fontId="61" fillId="22" borderId="120" xfId="0" applyFont="1" applyFill="1" applyBorder="1" applyAlignment="1">
      <alignment horizontal="center" vertical="center" wrapText="1"/>
    </xf>
    <xf numFmtId="3" fontId="61" fillId="22" borderId="120" xfId="0" applyNumberFormat="1" applyFont="1" applyFill="1" applyBorder="1" applyAlignment="1">
      <alignment horizontal="center" vertical="center" wrapText="1"/>
    </xf>
    <xf numFmtId="0" fontId="61" fillId="22" borderId="58" xfId="0" applyFont="1" applyFill="1" applyBorder="1" applyAlignment="1">
      <alignment horizontal="right" vertical="center" wrapText="1"/>
    </xf>
    <xf numFmtId="0" fontId="61" fillId="22" borderId="69" xfId="0" applyFont="1" applyFill="1" applyBorder="1" applyAlignment="1">
      <alignment horizontal="center" wrapText="1"/>
    </xf>
    <xf numFmtId="9" fontId="61" fillId="22" borderId="67" xfId="2" applyFont="1" applyFill="1" applyBorder="1" applyAlignment="1">
      <alignment horizontal="right" vertical="center" wrapText="1"/>
    </xf>
    <xf numFmtId="0" fontId="61" fillId="22" borderId="67" xfId="0" applyFont="1" applyFill="1" applyBorder="1" applyAlignment="1">
      <alignment horizontal="right" vertical="center" wrapText="1"/>
    </xf>
    <xf numFmtId="0" fontId="61" fillId="22" borderId="67" xfId="0" applyFont="1" applyFill="1" applyBorder="1" applyAlignment="1">
      <alignment horizontal="center" vertical="center" wrapText="1"/>
    </xf>
    <xf numFmtId="3" fontId="61" fillId="22" borderId="67" xfId="0" applyNumberFormat="1" applyFont="1" applyFill="1" applyBorder="1" applyAlignment="1">
      <alignment horizontal="center" vertical="center" wrapText="1"/>
    </xf>
    <xf numFmtId="9" fontId="61" fillId="22" borderId="13" xfId="2" applyFont="1" applyFill="1" applyBorder="1" applyAlignment="1">
      <alignment horizontal="right" vertical="center" wrapText="1"/>
    </xf>
    <xf numFmtId="0" fontId="61" fillId="22" borderId="120" xfId="0" applyFont="1" applyFill="1" applyBorder="1" applyAlignment="1">
      <alignment horizontal="center" wrapText="1"/>
    </xf>
    <xf numFmtId="9" fontId="61" fillId="22" borderId="145" xfId="2" applyFont="1" applyFill="1" applyBorder="1" applyAlignment="1">
      <alignment horizontal="right" vertical="center" wrapText="1"/>
    </xf>
    <xf numFmtId="3" fontId="61" fillId="22" borderId="145" xfId="0" applyNumberFormat="1" applyFont="1" applyFill="1" applyBorder="1" applyAlignment="1">
      <alignment horizontal="center" vertical="center" wrapText="1"/>
    </xf>
    <xf numFmtId="0" fontId="61" fillId="22" borderId="50" xfId="0" applyFont="1" applyFill="1" applyBorder="1" applyAlignment="1">
      <alignment horizontal="center" wrapText="1"/>
    </xf>
    <xf numFmtId="9" fontId="61" fillId="22" borderId="50" xfId="2" applyFont="1" applyFill="1" applyBorder="1" applyAlignment="1">
      <alignment horizontal="right" vertical="center" wrapText="1"/>
    </xf>
    <xf numFmtId="9" fontId="61" fillId="22" borderId="120" xfId="2" applyFont="1" applyFill="1" applyBorder="1" applyAlignment="1">
      <alignment horizontal="right" vertical="center" wrapText="1"/>
    </xf>
    <xf numFmtId="0" fontId="61" fillId="22" borderId="120" xfId="0" applyFont="1" applyFill="1" applyBorder="1" applyAlignment="1">
      <alignment vertical="center" wrapText="1"/>
    </xf>
    <xf numFmtId="0" fontId="61" fillId="22" borderId="51" xfId="0" applyFont="1" applyFill="1" applyBorder="1" applyAlignment="1">
      <alignment horizontal="center" wrapText="1"/>
    </xf>
    <xf numFmtId="3" fontId="61" fillId="22" borderId="50" xfId="0" applyNumberFormat="1" applyFont="1" applyFill="1" applyBorder="1" applyAlignment="1">
      <alignment horizontal="center" vertical="center" wrapText="1"/>
    </xf>
    <xf numFmtId="0" fontId="61" fillId="22" borderId="13" xfId="2" applyNumberFormat="1" applyFont="1" applyFill="1" applyBorder="1" applyAlignment="1">
      <alignment horizontal="right" vertical="center" wrapText="1"/>
    </xf>
    <xf numFmtId="0" fontId="61" fillId="22" borderId="120" xfId="2" applyNumberFormat="1" applyFont="1" applyFill="1" applyBorder="1" applyAlignment="1">
      <alignment horizontal="right" vertical="center" wrapText="1"/>
    </xf>
    <xf numFmtId="9" fontId="61" fillId="22" borderId="50" xfId="2" applyFont="1" applyFill="1" applyBorder="1" applyAlignment="1">
      <alignment horizontal="right" vertical="center" wrapText="1" readingOrder="2"/>
    </xf>
    <xf numFmtId="9" fontId="61" fillId="22" borderId="13" xfId="2" applyFont="1" applyFill="1" applyBorder="1" applyAlignment="1">
      <alignment horizontal="right" vertical="center" wrapText="1" readingOrder="2"/>
    </xf>
    <xf numFmtId="9" fontId="61" fillId="22" borderId="120" xfId="2" applyFont="1" applyFill="1" applyBorder="1" applyAlignment="1">
      <alignment horizontal="right" vertical="center" wrapText="1" readingOrder="2"/>
    </xf>
    <xf numFmtId="0" fontId="61" fillId="22" borderId="167" xfId="0" applyFont="1" applyFill="1" applyBorder="1" applyAlignment="1">
      <alignment horizontal="right" vertical="center" wrapText="1"/>
    </xf>
    <xf numFmtId="0" fontId="61" fillId="22" borderId="167" xfId="0" applyFont="1" applyFill="1" applyBorder="1" applyAlignment="1">
      <alignment horizontal="center" vertical="center" wrapText="1"/>
    </xf>
    <xf numFmtId="0" fontId="61" fillId="22" borderId="145" xfId="0" applyFont="1" applyFill="1" applyBorder="1" applyAlignment="1">
      <alignment horizontal="right" vertical="center" wrapText="1" readingOrder="2"/>
    </xf>
    <xf numFmtId="0" fontId="61" fillId="22" borderId="13" xfId="0" applyFont="1" applyFill="1" applyBorder="1" applyAlignment="1">
      <alignment horizontal="right" vertical="center" wrapText="1" readingOrder="2"/>
    </xf>
    <xf numFmtId="0" fontId="74" fillId="22" borderId="120" xfId="0" applyFont="1" applyFill="1" applyBorder="1" applyAlignment="1">
      <alignment horizontal="center" vertical="center" wrapText="1"/>
    </xf>
    <xf numFmtId="0" fontId="58" fillId="22" borderId="161" xfId="0" applyFont="1" applyFill="1" applyBorder="1" applyAlignment="1">
      <alignment horizontal="center"/>
    </xf>
    <xf numFmtId="9" fontId="58" fillId="22" borderId="58" xfId="2" applyFont="1" applyFill="1" applyBorder="1" applyAlignment="1">
      <alignment horizontal="center" vertical="center"/>
    </xf>
    <xf numFmtId="0" fontId="58" fillId="22" borderId="58" xfId="0" applyFont="1" applyFill="1" applyBorder="1" applyAlignment="1">
      <alignment horizontal="center" vertical="center"/>
    </xf>
    <xf numFmtId="2" fontId="58" fillId="22" borderId="58" xfId="0" applyNumberFormat="1" applyFont="1" applyFill="1" applyBorder="1" applyAlignment="1">
      <alignment horizontal="center" vertical="center"/>
    </xf>
    <xf numFmtId="0" fontId="64" fillId="22" borderId="145" xfId="0" applyFont="1" applyFill="1" applyBorder="1" applyAlignment="1">
      <alignment horizontal="right" vertical="center" wrapText="1"/>
    </xf>
    <xf numFmtId="0" fontId="64" fillId="22" borderId="145" xfId="0" applyFont="1" applyFill="1" applyBorder="1" applyAlignment="1">
      <alignment horizontal="center" vertical="center"/>
    </xf>
    <xf numFmtId="0" fontId="64" fillId="22" borderId="145" xfId="0" applyFont="1" applyFill="1" applyBorder="1" applyAlignment="1">
      <alignment horizontal="right" vertical="center"/>
    </xf>
    <xf numFmtId="9" fontId="64" fillId="22" borderId="145" xfId="2" applyFont="1" applyFill="1" applyBorder="1" applyAlignment="1">
      <alignment horizontal="right" vertical="center"/>
    </xf>
    <xf numFmtId="0" fontId="64" fillId="22" borderId="145" xfId="0" applyFont="1" applyFill="1" applyBorder="1" applyAlignment="1">
      <alignment horizontal="center"/>
    </xf>
    <xf numFmtId="0" fontId="69" fillId="22" borderId="145" xfId="0" applyFont="1" applyFill="1" applyBorder="1" applyAlignment="1">
      <alignment horizontal="center"/>
    </xf>
    <xf numFmtId="0" fontId="68" fillId="22" borderId="168" xfId="0" applyFont="1" applyFill="1" applyBorder="1" applyAlignment="1">
      <alignment horizontal="center" wrapText="1"/>
    </xf>
    <xf numFmtId="0" fontId="64" fillId="22" borderId="67" xfId="0" applyFont="1" applyFill="1" applyBorder="1" applyAlignment="1">
      <alignment vertical="center"/>
    </xf>
    <xf numFmtId="3" fontId="61" fillId="22" borderId="67" xfId="0" applyNumberFormat="1" applyFont="1" applyFill="1" applyBorder="1" applyAlignment="1">
      <alignment horizontal="right" vertical="center" wrapText="1"/>
    </xf>
    <xf numFmtId="0" fontId="68" fillId="22" borderId="67" xfId="0" applyFont="1" applyFill="1" applyBorder="1" applyAlignment="1">
      <alignment horizontal="center" wrapText="1"/>
    </xf>
    <xf numFmtId="2" fontId="64" fillId="22" borderId="67" xfId="0" applyNumberFormat="1" applyFont="1" applyFill="1" applyBorder="1" applyAlignment="1">
      <alignment vertical="center"/>
    </xf>
    <xf numFmtId="0" fontId="69" fillId="2" borderId="0" xfId="0" applyFont="1" applyFill="1" applyAlignment="1">
      <alignment horizontal="center"/>
    </xf>
    <xf numFmtId="0" fontId="75" fillId="3" borderId="5" xfId="0" applyFont="1" applyFill="1" applyBorder="1" applyAlignment="1">
      <alignment horizontal="center" vertical="center" wrapText="1" readingOrder="2"/>
    </xf>
    <xf numFmtId="0" fontId="76" fillId="3" borderId="13" xfId="0" applyFont="1" applyFill="1" applyBorder="1" applyAlignment="1">
      <alignment horizontal="center" vertical="center" wrapText="1" readingOrder="2"/>
    </xf>
    <xf numFmtId="1" fontId="10" fillId="3" borderId="5" xfId="0" applyNumberFormat="1" applyFont="1" applyFill="1" applyBorder="1" applyAlignment="1">
      <alignment horizontal="center" vertical="center" wrapText="1" readingOrder="2"/>
    </xf>
    <xf numFmtId="3" fontId="61" fillId="22" borderId="145" xfId="0" applyNumberFormat="1" applyFont="1" applyFill="1" applyBorder="1" applyAlignment="1">
      <alignment horizontal="right" vertical="center" wrapText="1"/>
    </xf>
    <xf numFmtId="0" fontId="68" fillId="22" borderId="145" xfId="0" applyFont="1" applyFill="1" applyBorder="1" applyAlignment="1">
      <alignment horizontal="center" wrapText="1"/>
    </xf>
    <xf numFmtId="0" fontId="67" fillId="22" borderId="167" xfId="0" applyFont="1" applyFill="1" applyBorder="1" applyAlignment="1">
      <alignment horizontal="center" vertical="center" wrapText="1"/>
    </xf>
    <xf numFmtId="0" fontId="64" fillId="22" borderId="50" xfId="0" applyFont="1" applyFill="1" applyBorder="1" applyAlignment="1">
      <alignment vertical="center"/>
    </xf>
    <xf numFmtId="0" fontId="67" fillId="22" borderId="167" xfId="0" applyFont="1" applyFill="1" applyBorder="1" applyAlignment="1">
      <alignment horizontal="right" vertical="center" wrapText="1"/>
    </xf>
    <xf numFmtId="2" fontId="64" fillId="22" borderId="50" xfId="0" applyNumberFormat="1" applyFont="1" applyFill="1" applyBorder="1" applyAlignment="1">
      <alignment vertical="center"/>
    </xf>
    <xf numFmtId="0" fontId="64" fillId="22" borderId="167" xfId="0" applyFont="1" applyFill="1" applyBorder="1" applyAlignment="1">
      <alignment vertical="center"/>
    </xf>
    <xf numFmtId="3" fontId="61" fillId="22" borderId="50" xfId="0" applyNumberFormat="1" applyFont="1" applyFill="1" applyBorder="1" applyAlignment="1">
      <alignment horizontal="right" vertical="center" wrapText="1"/>
    </xf>
    <xf numFmtId="0" fontId="64" fillId="22" borderId="171" xfId="0" applyFont="1" applyFill="1" applyBorder="1" applyAlignment="1">
      <alignment horizontal="center"/>
    </xf>
    <xf numFmtId="0" fontId="68" fillId="22" borderId="172" xfId="0" applyFont="1" applyFill="1" applyBorder="1" applyAlignment="1">
      <alignment horizontal="center" wrapText="1"/>
    </xf>
    <xf numFmtId="0" fontId="68" fillId="22" borderId="173" xfId="0" applyFont="1" applyFill="1" applyBorder="1" applyAlignment="1">
      <alignment horizontal="center" wrapText="1"/>
    </xf>
    <xf numFmtId="0" fontId="77" fillId="25" borderId="174" xfId="0" applyFont="1" applyFill="1" applyBorder="1" applyAlignment="1">
      <alignment horizontal="center" vertical="center" wrapText="1"/>
    </xf>
    <xf numFmtId="0" fontId="77" fillId="25" borderId="57" xfId="0" applyFont="1" applyFill="1" applyBorder="1" applyAlignment="1">
      <alignment horizontal="center" vertical="center"/>
    </xf>
    <xf numFmtId="165" fontId="8" fillId="3" borderId="5" xfId="0" applyNumberFormat="1" applyFont="1" applyFill="1" applyBorder="1" applyAlignment="1">
      <alignment horizontal="center" vertical="center" readingOrder="2"/>
    </xf>
    <xf numFmtId="0" fontId="31" fillId="3" borderId="13" xfId="0" applyFont="1" applyFill="1" applyBorder="1" applyAlignment="1">
      <alignment horizontal="center" vertical="center" wrapText="1" readingOrder="2"/>
    </xf>
    <xf numFmtId="0" fontId="25" fillId="0" borderId="13" xfId="0" applyFont="1" applyBorder="1" applyAlignment="1">
      <alignment horizontal="center" vertical="center" readingOrder="2"/>
    </xf>
    <xf numFmtId="0" fontId="8" fillId="2" borderId="75" xfId="1" applyFont="1" applyFill="1" applyBorder="1" applyAlignment="1">
      <alignment vertical="center" readingOrder="2"/>
    </xf>
    <xf numFmtId="0" fontId="8" fillId="2" borderId="76" xfId="1" applyFont="1" applyFill="1" applyBorder="1" applyAlignment="1">
      <alignment vertical="center" readingOrder="2"/>
    </xf>
    <xf numFmtId="0" fontId="8" fillId="28" borderId="5" xfId="0" applyFont="1" applyFill="1" applyBorder="1" applyAlignment="1">
      <alignment horizontal="center" vertical="center" readingOrder="2"/>
    </xf>
    <xf numFmtId="0" fontId="18" fillId="5" borderId="13" xfId="0" applyFont="1" applyFill="1" applyBorder="1" applyAlignment="1">
      <alignment horizontal="center" vertical="center" wrapText="1" readingOrder="2"/>
    </xf>
    <xf numFmtId="0" fontId="2" fillId="2" borderId="1" xfId="1" applyFont="1" applyFill="1" applyBorder="1" applyAlignment="1">
      <alignment horizontal="center" vertical="center" readingOrder="2"/>
    </xf>
    <xf numFmtId="0" fontId="2" fillId="2" borderId="2" xfId="1" applyFont="1" applyFill="1" applyBorder="1" applyAlignment="1">
      <alignment horizontal="center" vertical="center" readingOrder="2"/>
    </xf>
    <xf numFmtId="0" fontId="5" fillId="0" borderId="0" xfId="1" applyFont="1" applyAlignment="1">
      <alignment horizontal="center" textRotation="180"/>
    </xf>
    <xf numFmtId="0" fontId="6" fillId="0" borderId="4" xfId="1" applyFont="1" applyBorder="1" applyAlignment="1">
      <alignment horizontal="center" readingOrder="2"/>
    </xf>
    <xf numFmtId="0" fontId="6" fillId="0" borderId="5" xfId="1" applyFont="1" applyBorder="1" applyAlignment="1">
      <alignment horizontal="center" readingOrder="2"/>
    </xf>
    <xf numFmtId="0" fontId="6" fillId="0" borderId="6" xfId="1" applyFont="1" applyBorder="1" applyAlignment="1">
      <alignment horizontal="center" readingOrder="2"/>
    </xf>
    <xf numFmtId="0" fontId="7" fillId="0" borderId="4" xfId="1" applyFont="1" applyBorder="1" applyAlignment="1">
      <alignment horizontal="right" vertical="center" wrapText="1" readingOrder="2"/>
    </xf>
    <xf numFmtId="0" fontId="7" fillId="0" borderId="5" xfId="1" applyFont="1" applyBorder="1" applyAlignment="1">
      <alignment horizontal="right" vertical="center" wrapText="1" readingOrder="2"/>
    </xf>
    <xf numFmtId="0" fontId="7" fillId="0" borderId="5" xfId="1" applyFont="1" applyBorder="1" applyAlignment="1">
      <alignment horizontal="right" vertical="center" readingOrder="2"/>
    </xf>
    <xf numFmtId="0" fontId="7" fillId="0" borderId="5" xfId="1" applyFont="1" applyBorder="1" applyAlignment="1">
      <alignment horizontal="right" vertical="top" readingOrder="2"/>
    </xf>
    <xf numFmtId="0" fontId="7" fillId="0" borderId="6" xfId="1" applyFont="1" applyBorder="1" applyAlignment="1">
      <alignment horizontal="right" vertical="top" readingOrder="2"/>
    </xf>
    <xf numFmtId="0" fontId="7" fillId="0" borderId="7" xfId="1" applyFont="1" applyBorder="1" applyAlignment="1">
      <alignment horizontal="right" vertical="center" wrapText="1" readingOrder="2"/>
    </xf>
    <xf numFmtId="0" fontId="7" fillId="0" borderId="8" xfId="1" applyFont="1" applyBorder="1" applyAlignment="1">
      <alignment horizontal="right" vertical="center" wrapText="1" readingOrder="2"/>
    </xf>
    <xf numFmtId="0" fontId="7" fillId="0" borderId="9" xfId="1" applyFont="1" applyBorder="1" applyAlignment="1">
      <alignment horizontal="right" vertical="center" wrapText="1" readingOrder="2"/>
    </xf>
    <xf numFmtId="0" fontId="7" fillId="0" borderId="10" xfId="1" applyFont="1" applyBorder="1" applyAlignment="1">
      <alignment horizontal="right" vertical="center" wrapText="1" readingOrder="2"/>
    </xf>
    <xf numFmtId="0" fontId="7" fillId="0" borderId="11" xfId="1" applyFont="1" applyBorder="1" applyAlignment="1">
      <alignment horizontal="right" vertical="center" wrapText="1" readingOrder="2"/>
    </xf>
    <xf numFmtId="0" fontId="7" fillId="0" borderId="12" xfId="1" applyFont="1" applyBorder="1" applyAlignment="1">
      <alignment horizontal="right" vertical="center" wrapText="1" readingOrder="2"/>
    </xf>
    <xf numFmtId="0" fontId="7" fillId="0" borderId="6" xfId="1" applyFont="1" applyBorder="1" applyAlignment="1">
      <alignment horizontal="right" vertical="center" wrapText="1" readingOrder="2"/>
    </xf>
    <xf numFmtId="0" fontId="11" fillId="3" borderId="5" xfId="0" applyFont="1" applyFill="1" applyBorder="1" applyAlignment="1">
      <alignment horizontal="right" vertical="center" readingOrder="2"/>
    </xf>
    <xf numFmtId="0" fontId="8" fillId="3" borderId="5" xfId="1" applyFont="1" applyFill="1" applyBorder="1" applyAlignment="1">
      <alignment horizontal="center" vertical="center" readingOrder="2"/>
    </xf>
    <xf numFmtId="0" fontId="8" fillId="3" borderId="6" xfId="1" applyFont="1" applyFill="1" applyBorder="1" applyAlignment="1">
      <alignment horizontal="center" vertical="center" readingOrder="2"/>
    </xf>
    <xf numFmtId="0" fontId="7" fillId="2" borderId="4" xfId="1" applyFont="1" applyFill="1" applyBorder="1" applyAlignment="1">
      <alignment horizontal="center" vertical="center" textRotation="90" readingOrder="2"/>
    </xf>
    <xf numFmtId="0" fontId="7" fillId="2" borderId="5" xfId="1" applyFont="1" applyFill="1" applyBorder="1" applyAlignment="1">
      <alignment horizontal="center" vertical="center" readingOrder="2"/>
    </xf>
    <xf numFmtId="0" fontId="7" fillId="2" borderId="5" xfId="1" applyFont="1" applyFill="1" applyBorder="1" applyAlignment="1">
      <alignment horizontal="center" vertical="center" wrapText="1" readingOrder="2"/>
    </xf>
    <xf numFmtId="0" fontId="7" fillId="2" borderId="6" xfId="1" applyFont="1" applyFill="1" applyBorder="1" applyAlignment="1">
      <alignment horizontal="center" vertical="center" readingOrder="2"/>
    </xf>
    <xf numFmtId="0" fontId="9" fillId="3" borderId="5" xfId="0" applyFont="1" applyFill="1" applyBorder="1" applyAlignment="1">
      <alignment horizontal="center" vertical="center" readingOrder="2"/>
    </xf>
    <xf numFmtId="0" fontId="8" fillId="3" borderId="5" xfId="1" applyFont="1" applyFill="1" applyBorder="1" applyAlignment="1">
      <alignment horizontal="center" vertical="center" wrapText="1" readingOrder="2"/>
    </xf>
    <xf numFmtId="0" fontId="8" fillId="3" borderId="6" xfId="1" applyFont="1" applyFill="1" applyBorder="1" applyAlignment="1">
      <alignment horizontal="center" vertical="center" wrapText="1" readingOrder="2"/>
    </xf>
    <xf numFmtId="0" fontId="7" fillId="2" borderId="18" xfId="1" applyFont="1" applyFill="1" applyBorder="1" applyAlignment="1">
      <alignment horizontal="center" vertical="center" wrapText="1" readingOrder="2"/>
    </xf>
    <xf numFmtId="0" fontId="7" fillId="2" borderId="8" xfId="1" applyFont="1" applyFill="1" applyBorder="1" applyAlignment="1">
      <alignment horizontal="center" vertical="center" wrapText="1" readingOrder="2"/>
    </xf>
    <xf numFmtId="0" fontId="7" fillId="2" borderId="19" xfId="1" applyFont="1" applyFill="1" applyBorder="1" applyAlignment="1">
      <alignment horizontal="center" vertical="center" wrapText="1" readingOrder="2"/>
    </xf>
    <xf numFmtId="0" fontId="7" fillId="2" borderId="22" xfId="1" applyFont="1" applyFill="1" applyBorder="1" applyAlignment="1">
      <alignment horizontal="center" vertical="center" wrapText="1" readingOrder="2"/>
    </xf>
    <xf numFmtId="0" fontId="7" fillId="2" borderId="0" xfId="1" applyFont="1" applyFill="1" applyAlignment="1">
      <alignment horizontal="center" vertical="center" wrapText="1" readingOrder="2"/>
    </xf>
    <xf numFmtId="0" fontId="7" fillId="2" borderId="23" xfId="1" applyFont="1" applyFill="1" applyBorder="1" applyAlignment="1">
      <alignment horizontal="center" vertical="center" wrapText="1" readingOrder="2"/>
    </xf>
    <xf numFmtId="0" fontId="7" fillId="2" borderId="27" xfId="1" applyFont="1" applyFill="1" applyBorder="1" applyAlignment="1">
      <alignment horizontal="center" vertical="center" wrapText="1" readingOrder="2"/>
    </xf>
    <xf numFmtId="0" fontId="7" fillId="2" borderId="25" xfId="1" applyFont="1" applyFill="1" applyBorder="1" applyAlignment="1">
      <alignment horizontal="center" vertical="center" wrapText="1" readingOrder="2"/>
    </xf>
    <xf numFmtId="0" fontId="7" fillId="2" borderId="29" xfId="1" applyFont="1" applyFill="1" applyBorder="1" applyAlignment="1">
      <alignment horizontal="center" vertical="center" wrapText="1" readingOrder="2"/>
    </xf>
    <xf numFmtId="0" fontId="12" fillId="2" borderId="5" xfId="1" applyFont="1" applyFill="1" applyBorder="1" applyAlignment="1">
      <alignment horizontal="center" vertical="center" readingOrder="2"/>
    </xf>
    <xf numFmtId="0" fontId="12" fillId="2" borderId="28" xfId="1" applyFont="1" applyFill="1" applyBorder="1" applyAlignment="1">
      <alignment horizontal="center" vertical="center" readingOrder="2"/>
    </xf>
    <xf numFmtId="0" fontId="7" fillId="2" borderId="14" xfId="1" applyFont="1" applyFill="1" applyBorder="1" applyAlignment="1">
      <alignment horizontal="center" vertical="center" readingOrder="2"/>
    </xf>
    <xf numFmtId="0" fontId="7" fillId="2" borderId="15" xfId="1" applyFont="1" applyFill="1" applyBorder="1" applyAlignment="1">
      <alignment horizontal="center" vertical="center" readingOrder="2"/>
    </xf>
    <xf numFmtId="0" fontId="7" fillId="2" borderId="16" xfId="1" applyFont="1" applyFill="1" applyBorder="1" applyAlignment="1">
      <alignment horizontal="center" vertical="center" readingOrder="2"/>
    </xf>
    <xf numFmtId="0" fontId="7" fillId="2" borderId="17" xfId="1" applyFont="1" applyFill="1" applyBorder="1" applyAlignment="1">
      <alignment horizontal="center" vertical="center" wrapText="1" readingOrder="2"/>
    </xf>
    <xf numFmtId="0" fontId="7" fillId="2" borderId="15" xfId="1" applyFont="1" applyFill="1" applyBorder="1" applyAlignment="1">
      <alignment horizontal="center" vertical="center" wrapText="1" readingOrder="2"/>
    </xf>
    <xf numFmtId="0" fontId="7" fillId="2" borderId="16" xfId="1" applyFont="1" applyFill="1" applyBorder="1" applyAlignment="1">
      <alignment horizontal="center" vertical="center" wrapText="1" readingOrder="2"/>
    </xf>
    <xf numFmtId="0" fontId="7" fillId="2" borderId="7" xfId="1" applyFont="1" applyFill="1" applyBorder="1" applyAlignment="1">
      <alignment horizontal="center" vertical="center" readingOrder="2"/>
    </xf>
    <xf numFmtId="0" fontId="7" fillId="2" borderId="8" xfId="1" applyFont="1" applyFill="1" applyBorder="1" applyAlignment="1">
      <alignment horizontal="center" vertical="center" readingOrder="2"/>
    </xf>
    <xf numFmtId="0" fontId="7" fillId="2" borderId="9" xfId="1" applyFont="1" applyFill="1" applyBorder="1" applyAlignment="1">
      <alignment horizontal="center" vertical="center" readingOrder="2"/>
    </xf>
    <xf numFmtId="0" fontId="7" fillId="2" borderId="20" xfId="1" applyFont="1" applyFill="1" applyBorder="1" applyAlignment="1">
      <alignment horizontal="center" vertical="center" readingOrder="2"/>
    </xf>
    <xf numFmtId="0" fontId="7" fillId="2" borderId="0" xfId="1" applyFont="1" applyFill="1" applyAlignment="1">
      <alignment horizontal="center" vertical="center" readingOrder="2"/>
    </xf>
    <xf numFmtId="0" fontId="7" fillId="2" borderId="21" xfId="1" applyFont="1" applyFill="1" applyBorder="1" applyAlignment="1">
      <alignment horizontal="center" vertical="center" readingOrder="2"/>
    </xf>
    <xf numFmtId="0" fontId="7" fillId="2" borderId="24" xfId="1" applyFont="1" applyFill="1" applyBorder="1" applyAlignment="1">
      <alignment horizontal="center" vertical="center" readingOrder="2"/>
    </xf>
    <xf numFmtId="0" fontId="7" fillId="2" borderId="25" xfId="1" applyFont="1" applyFill="1" applyBorder="1" applyAlignment="1">
      <alignment horizontal="center" vertical="center" readingOrder="2"/>
    </xf>
    <xf numFmtId="0" fontId="7" fillId="2" borderId="26" xfId="1" applyFont="1" applyFill="1" applyBorder="1" applyAlignment="1">
      <alignment horizontal="center" vertical="center" readingOrder="2"/>
    </xf>
    <xf numFmtId="0" fontId="12" fillId="2" borderId="18" xfId="1" applyFont="1" applyFill="1" applyBorder="1" applyAlignment="1">
      <alignment horizontal="center" vertical="center" readingOrder="2"/>
    </xf>
    <xf numFmtId="0" fontId="12" fillId="2" borderId="8" xfId="1" applyFont="1" applyFill="1" applyBorder="1" applyAlignment="1">
      <alignment horizontal="center" vertical="center" readingOrder="2"/>
    </xf>
    <xf numFmtId="0" fontId="12" fillId="2" borderId="9" xfId="1" applyFont="1" applyFill="1" applyBorder="1" applyAlignment="1">
      <alignment horizontal="center" vertical="center" readingOrder="2"/>
    </xf>
    <xf numFmtId="0" fontId="12" fillId="2" borderId="22" xfId="1" applyFont="1" applyFill="1" applyBorder="1" applyAlignment="1">
      <alignment horizontal="center" vertical="center" readingOrder="2"/>
    </xf>
    <xf numFmtId="0" fontId="12" fillId="2" borderId="0" xfId="1" applyFont="1" applyFill="1" applyAlignment="1">
      <alignment horizontal="center" vertical="center" readingOrder="2"/>
    </xf>
    <xf numFmtId="0" fontId="12" fillId="2" borderId="21" xfId="1" applyFont="1" applyFill="1" applyBorder="1" applyAlignment="1">
      <alignment horizontal="center" vertical="center" readingOrder="2"/>
    </xf>
    <xf numFmtId="0" fontId="12" fillId="2" borderId="27" xfId="1" applyFont="1" applyFill="1" applyBorder="1" applyAlignment="1">
      <alignment horizontal="center" vertical="center" readingOrder="2"/>
    </xf>
    <xf numFmtId="0" fontId="12" fillId="2" borderId="25" xfId="1" applyFont="1" applyFill="1" applyBorder="1" applyAlignment="1">
      <alignment horizontal="center" vertical="center" readingOrder="2"/>
    </xf>
    <xf numFmtId="0" fontId="12" fillId="2" borderId="26" xfId="1" applyFont="1" applyFill="1" applyBorder="1" applyAlignment="1">
      <alignment horizontal="center" vertical="center" readingOrder="2"/>
    </xf>
    <xf numFmtId="0" fontId="7" fillId="2" borderId="9" xfId="1" applyFont="1" applyFill="1" applyBorder="1" applyAlignment="1">
      <alignment horizontal="center" vertical="center" wrapText="1" readingOrder="2"/>
    </xf>
    <xf numFmtId="0" fontId="7" fillId="2" borderId="21" xfId="1" applyFont="1" applyFill="1" applyBorder="1" applyAlignment="1">
      <alignment horizontal="center" vertical="center" wrapText="1" readingOrder="2"/>
    </xf>
    <xf numFmtId="0" fontId="7" fillId="2" borderId="26" xfId="1" applyFont="1" applyFill="1" applyBorder="1" applyAlignment="1">
      <alignment horizontal="center" vertical="center" wrapText="1" readingOrder="2"/>
    </xf>
    <xf numFmtId="0" fontId="8" fillId="3" borderId="44" xfId="0" applyFont="1" applyFill="1" applyBorder="1" applyAlignment="1">
      <alignment horizontal="right" vertical="center" wrapText="1" readingOrder="2"/>
    </xf>
    <xf numFmtId="0" fontId="8" fillId="3" borderId="42" xfId="0" applyFont="1" applyFill="1" applyBorder="1" applyAlignment="1">
      <alignment horizontal="right" vertical="center" wrapText="1" readingOrder="2"/>
    </xf>
    <xf numFmtId="0" fontId="8" fillId="3" borderId="43" xfId="0" applyFont="1" applyFill="1" applyBorder="1" applyAlignment="1">
      <alignment horizontal="right" vertical="center" wrapText="1" readingOrder="2"/>
    </xf>
    <xf numFmtId="0" fontId="8" fillId="3" borderId="13" xfId="1" applyFont="1" applyFill="1" applyBorder="1" applyAlignment="1">
      <alignment horizontal="center" vertical="center" readingOrder="2"/>
    </xf>
    <xf numFmtId="0" fontId="7" fillId="2" borderId="71" xfId="1" applyFont="1" applyFill="1" applyBorder="1" applyAlignment="1">
      <alignment horizontal="center" vertical="center" readingOrder="2"/>
    </xf>
    <xf numFmtId="0" fontId="7" fillId="2" borderId="39" xfId="1" applyFont="1" applyFill="1" applyBorder="1" applyAlignment="1">
      <alignment horizontal="center" vertical="center" readingOrder="2"/>
    </xf>
    <xf numFmtId="0" fontId="7" fillId="2" borderId="40" xfId="1" applyFont="1" applyFill="1" applyBorder="1" applyAlignment="1">
      <alignment horizontal="center" vertical="center" readingOrder="2"/>
    </xf>
    <xf numFmtId="0" fontId="7" fillId="2" borderId="74" xfId="1" applyFont="1" applyFill="1" applyBorder="1" applyAlignment="1">
      <alignment horizontal="center" vertical="center" readingOrder="2"/>
    </xf>
    <xf numFmtId="0" fontId="7" fillId="2" borderId="68" xfId="1" applyFont="1" applyFill="1" applyBorder="1" applyAlignment="1">
      <alignment horizontal="center" vertical="center" readingOrder="2"/>
    </xf>
    <xf numFmtId="0" fontId="7" fillId="2" borderId="78" xfId="1" applyFont="1" applyFill="1" applyBorder="1" applyAlignment="1">
      <alignment horizontal="center" vertical="center" readingOrder="2"/>
    </xf>
    <xf numFmtId="0" fontId="7" fillId="2" borderId="34" xfId="1" applyFont="1" applyFill="1" applyBorder="1" applyAlignment="1">
      <alignment horizontal="center" vertical="center" readingOrder="2"/>
    </xf>
    <xf numFmtId="0" fontId="7" fillId="2" borderId="77" xfId="1" applyFont="1" applyFill="1" applyBorder="1" applyAlignment="1">
      <alignment horizontal="center" vertical="center" readingOrder="2"/>
    </xf>
    <xf numFmtId="0" fontId="7" fillId="2" borderId="72" xfId="1" applyFont="1" applyFill="1" applyBorder="1" applyAlignment="1">
      <alignment horizontal="center" vertical="center" wrapText="1" readingOrder="2"/>
    </xf>
    <xf numFmtId="0" fontId="7" fillId="2" borderId="33" xfId="1" applyFont="1" applyFill="1" applyBorder="1" applyAlignment="1">
      <alignment horizontal="center" vertical="center" wrapText="1" readingOrder="2"/>
    </xf>
    <xf numFmtId="0" fontId="7" fillId="2" borderId="73" xfId="1" applyFont="1" applyFill="1" applyBorder="1" applyAlignment="1">
      <alignment horizontal="center" vertical="center" wrapText="1" readingOrder="2"/>
    </xf>
    <xf numFmtId="0" fontId="8" fillId="3" borderId="44" xfId="0" applyFont="1" applyFill="1" applyBorder="1" applyAlignment="1">
      <alignment horizontal="right" vertical="center" readingOrder="2"/>
    </xf>
    <xf numFmtId="0" fontId="8" fillId="3" borderId="42" xfId="0" applyFont="1" applyFill="1" applyBorder="1" applyAlignment="1">
      <alignment horizontal="right" vertical="center" readingOrder="2"/>
    </xf>
    <xf numFmtId="0" fontId="8" fillId="3" borderId="43" xfId="0" applyFont="1" applyFill="1" applyBorder="1" applyAlignment="1">
      <alignment horizontal="right" vertical="center" readingOrder="2"/>
    </xf>
    <xf numFmtId="0" fontId="12" fillId="2" borderId="71" xfId="1" applyFont="1" applyFill="1" applyBorder="1" applyAlignment="1">
      <alignment horizontal="center" vertical="center" readingOrder="2"/>
    </xf>
    <xf numFmtId="0" fontId="12" fillId="2" borderId="40" xfId="1" applyFont="1" applyFill="1" applyBorder="1" applyAlignment="1">
      <alignment horizontal="center" vertical="center" readingOrder="2"/>
    </xf>
    <xf numFmtId="0" fontId="12" fillId="2" borderId="74" xfId="1" applyFont="1" applyFill="1" applyBorder="1" applyAlignment="1">
      <alignment horizontal="center" vertical="center" readingOrder="2"/>
    </xf>
    <xf numFmtId="0" fontId="12" fillId="2" borderId="68" xfId="1" applyFont="1" applyFill="1" applyBorder="1" applyAlignment="1">
      <alignment horizontal="center" vertical="center" readingOrder="2"/>
    </xf>
    <xf numFmtId="0" fontId="12" fillId="2" borderId="78" xfId="1" applyFont="1" applyFill="1" applyBorder="1" applyAlignment="1">
      <alignment horizontal="center" vertical="center" readingOrder="2"/>
    </xf>
    <xf numFmtId="0" fontId="12" fillId="2" borderId="77" xfId="1" applyFont="1" applyFill="1" applyBorder="1" applyAlignment="1">
      <alignment horizontal="center" vertical="center" readingOrder="2"/>
    </xf>
    <xf numFmtId="0" fontId="12" fillId="2" borderId="39" xfId="1" applyFont="1" applyFill="1" applyBorder="1" applyAlignment="1">
      <alignment horizontal="center" vertical="center" readingOrder="2"/>
    </xf>
    <xf numFmtId="0" fontId="12" fillId="2" borderId="34" xfId="1" applyFont="1" applyFill="1" applyBorder="1" applyAlignment="1">
      <alignment horizontal="center" vertical="center" readingOrder="2"/>
    </xf>
    <xf numFmtId="0" fontId="12" fillId="2" borderId="75" xfId="1" applyFont="1" applyFill="1" applyBorder="1" applyAlignment="1">
      <alignment horizontal="center" vertical="center" readingOrder="2"/>
    </xf>
    <xf numFmtId="0" fontId="12" fillId="2" borderId="76" xfId="1" applyFont="1" applyFill="1" applyBorder="1" applyAlignment="1">
      <alignment horizontal="center" vertical="center" readingOrder="2"/>
    </xf>
    <xf numFmtId="0" fontId="7" fillId="2" borderId="71" xfId="1" applyFont="1" applyFill="1" applyBorder="1" applyAlignment="1">
      <alignment horizontal="center" vertical="center" wrapText="1" readingOrder="2"/>
    </xf>
    <xf numFmtId="0" fontId="7" fillId="2" borderId="39" xfId="1" applyFont="1" applyFill="1" applyBorder="1" applyAlignment="1">
      <alignment horizontal="center" vertical="center" wrapText="1" readingOrder="2"/>
    </xf>
    <xf numFmtId="0" fontId="7" fillId="2" borderId="40" xfId="1" applyFont="1" applyFill="1" applyBorder="1" applyAlignment="1">
      <alignment horizontal="center" vertical="center" wrapText="1" readingOrder="2"/>
    </xf>
    <xf numFmtId="0" fontId="7" fillId="2" borderId="74" xfId="1" applyFont="1" applyFill="1" applyBorder="1" applyAlignment="1">
      <alignment horizontal="center" vertical="center" wrapText="1" readingOrder="2"/>
    </xf>
    <xf numFmtId="0" fontId="7" fillId="2" borderId="68" xfId="1" applyFont="1" applyFill="1" applyBorder="1" applyAlignment="1">
      <alignment horizontal="center" vertical="center" wrapText="1" readingOrder="2"/>
    </xf>
    <xf numFmtId="0" fontId="7" fillId="2" borderId="78" xfId="1" applyFont="1" applyFill="1" applyBorder="1" applyAlignment="1">
      <alignment horizontal="center" vertical="center" wrapText="1" readingOrder="2"/>
    </xf>
    <xf numFmtId="0" fontId="7" fillId="2" borderId="34" xfId="1" applyFont="1" applyFill="1" applyBorder="1" applyAlignment="1">
      <alignment horizontal="center" vertical="center" wrapText="1" readingOrder="2"/>
    </xf>
    <xf numFmtId="0" fontId="7" fillId="2" borderId="77" xfId="1" applyFont="1" applyFill="1" applyBorder="1" applyAlignment="1">
      <alignment horizontal="center" vertical="center" wrapText="1" readingOrder="2"/>
    </xf>
    <xf numFmtId="0" fontId="8" fillId="3" borderId="13" xfId="0" applyFont="1" applyFill="1" applyBorder="1" applyAlignment="1">
      <alignment horizontal="right" vertical="center" readingOrder="2"/>
    </xf>
    <xf numFmtId="0" fontId="2" fillId="0" borderId="72" xfId="1" applyFont="1" applyBorder="1" applyAlignment="1">
      <alignment horizontal="center" vertical="center" readingOrder="2"/>
    </xf>
    <xf numFmtId="0" fontId="2" fillId="0" borderId="33" xfId="1" applyFont="1" applyBorder="1" applyAlignment="1">
      <alignment horizontal="center" vertical="center" readingOrder="2"/>
    </xf>
    <xf numFmtId="0" fontId="2" fillId="0" borderId="73" xfId="1" applyFont="1" applyBorder="1" applyAlignment="1">
      <alignment horizontal="center" vertical="center" readingOrder="2"/>
    </xf>
    <xf numFmtId="0" fontId="6" fillId="0" borderId="33" xfId="1" applyFont="1" applyBorder="1" applyAlignment="1">
      <alignment horizontal="center" readingOrder="2"/>
    </xf>
    <xf numFmtId="0" fontId="6" fillId="0" borderId="34" xfId="1" applyFont="1" applyBorder="1" applyAlignment="1">
      <alignment horizontal="center" readingOrder="2"/>
    </xf>
    <xf numFmtId="0" fontId="5" fillId="0" borderId="35" xfId="1" applyFont="1" applyBorder="1" applyAlignment="1">
      <alignment horizontal="right" vertical="center" wrapText="1" readingOrder="2"/>
    </xf>
    <xf numFmtId="0" fontId="5" fillId="0" borderId="36" xfId="1" applyFont="1" applyBorder="1" applyAlignment="1">
      <alignment horizontal="right" vertical="center" wrapText="1" readingOrder="2"/>
    </xf>
    <xf numFmtId="0" fontId="5" fillId="0" borderId="37" xfId="1" applyFont="1" applyBorder="1" applyAlignment="1">
      <alignment horizontal="right" vertical="center" wrapText="1" readingOrder="2"/>
    </xf>
    <xf numFmtId="0" fontId="5" fillId="0" borderId="38" xfId="1" applyFont="1" applyBorder="1" applyAlignment="1">
      <alignment horizontal="right" vertical="center" readingOrder="2"/>
    </xf>
    <xf numFmtId="0" fontId="5" fillId="0" borderId="39" xfId="1" applyFont="1" applyBorder="1" applyAlignment="1">
      <alignment horizontal="right" vertical="center" readingOrder="2"/>
    </xf>
    <xf numFmtId="0" fontId="5" fillId="0" borderId="38" xfId="1" applyFont="1" applyBorder="1" applyAlignment="1">
      <alignment horizontal="right" vertical="top" readingOrder="2"/>
    </xf>
    <xf numFmtId="0" fontId="5" fillId="0" borderId="39" xfId="1" applyFont="1" applyBorder="1" applyAlignment="1">
      <alignment horizontal="right" vertical="top" readingOrder="2"/>
    </xf>
    <xf numFmtId="0" fontId="5" fillId="0" borderId="40" xfId="1" applyFont="1" applyBorder="1" applyAlignment="1">
      <alignment horizontal="right" vertical="top" readingOrder="2"/>
    </xf>
    <xf numFmtId="0" fontId="5" fillId="0" borderId="45" xfId="1" applyFont="1" applyBorder="1" applyAlignment="1">
      <alignment horizontal="right" vertical="top" readingOrder="2"/>
    </xf>
    <xf numFmtId="0" fontId="5" fillId="0" borderId="46" xfId="1" applyFont="1" applyBorder="1" applyAlignment="1">
      <alignment horizontal="right" vertical="top" readingOrder="2"/>
    </xf>
    <xf numFmtId="0" fontId="5" fillId="0" borderId="47" xfId="1" applyFont="1" applyBorder="1" applyAlignment="1">
      <alignment horizontal="right" vertical="top" readingOrder="2"/>
    </xf>
    <xf numFmtId="0" fontId="5" fillId="0" borderId="41" xfId="1" applyFont="1" applyBorder="1" applyAlignment="1">
      <alignment horizontal="right" vertical="center" wrapText="1" readingOrder="2"/>
    </xf>
    <xf numFmtId="0" fontId="5" fillId="0" borderId="42" xfId="1" applyFont="1" applyBorder="1" applyAlignment="1">
      <alignment horizontal="right" vertical="center" wrapText="1" readingOrder="2"/>
    </xf>
    <xf numFmtId="0" fontId="5" fillId="0" borderId="43" xfId="1" applyFont="1" applyBorder="1" applyAlignment="1">
      <alignment horizontal="right" vertical="center" wrapText="1" readingOrder="2"/>
    </xf>
    <xf numFmtId="0" fontId="5" fillId="0" borderId="44" xfId="1" applyFont="1" applyBorder="1" applyAlignment="1">
      <alignment horizontal="right" vertical="center" readingOrder="2"/>
    </xf>
    <xf numFmtId="0" fontId="5" fillId="0" borderId="43" xfId="1" applyFont="1" applyBorder="1" applyAlignment="1">
      <alignment horizontal="right" vertical="center" readingOrder="2"/>
    </xf>
    <xf numFmtId="0" fontId="5" fillId="0" borderId="48" xfId="1" applyFont="1" applyBorder="1" applyAlignment="1">
      <alignment horizontal="right" vertical="center" wrapText="1" readingOrder="2"/>
    </xf>
    <xf numFmtId="0" fontId="5" fillId="0" borderId="46" xfId="1" applyFont="1" applyBorder="1" applyAlignment="1">
      <alignment horizontal="right" vertical="center" wrapText="1" readingOrder="2"/>
    </xf>
    <xf numFmtId="0" fontId="5" fillId="0" borderId="49" xfId="1" applyFont="1" applyBorder="1" applyAlignment="1">
      <alignment horizontal="right" vertical="center" wrapText="1" readingOrder="2"/>
    </xf>
    <xf numFmtId="0" fontId="5" fillId="0" borderId="50" xfId="1" applyFont="1" applyBorder="1" applyAlignment="1">
      <alignment horizontal="right" vertical="center" wrapText="1" readingOrder="2"/>
    </xf>
    <xf numFmtId="0" fontId="5" fillId="0" borderId="51" xfId="1" applyFont="1" applyBorder="1" applyAlignment="1">
      <alignment horizontal="right" vertical="center" wrapText="1" readingOrder="2"/>
    </xf>
    <xf numFmtId="0" fontId="5" fillId="0" borderId="52" xfId="1" applyFont="1" applyBorder="1" applyAlignment="1">
      <alignment horizontal="right" vertical="center" wrapText="1" readingOrder="2"/>
    </xf>
    <xf numFmtId="0" fontId="5" fillId="0" borderId="53" xfId="1" applyFont="1" applyBorder="1" applyAlignment="1">
      <alignment horizontal="right" vertical="center" wrapText="1" readingOrder="2"/>
    </xf>
    <xf numFmtId="0" fontId="7" fillId="2" borderId="54" xfId="1" applyFont="1" applyFill="1" applyBorder="1" applyAlignment="1">
      <alignment horizontal="center" vertical="center" textRotation="90" readingOrder="2"/>
    </xf>
    <xf numFmtId="0" fontId="7" fillId="2" borderId="63" xfId="1" applyFont="1" applyFill="1" applyBorder="1" applyAlignment="1">
      <alignment horizontal="center" vertical="center" textRotation="90" readingOrder="2"/>
    </xf>
    <xf numFmtId="0" fontId="7" fillId="2" borderId="55" xfId="1" applyFont="1" applyFill="1" applyBorder="1" applyAlignment="1">
      <alignment horizontal="center" vertical="center" readingOrder="2"/>
    </xf>
    <xf numFmtId="0" fontId="7" fillId="2" borderId="56" xfId="1" applyFont="1" applyFill="1" applyBorder="1" applyAlignment="1">
      <alignment horizontal="center" vertical="center" readingOrder="2"/>
    </xf>
    <xf numFmtId="0" fontId="7" fillId="2" borderId="57" xfId="1" applyFont="1" applyFill="1" applyBorder="1" applyAlignment="1">
      <alignment horizontal="center" vertical="center" readingOrder="2"/>
    </xf>
    <xf numFmtId="0" fontId="7" fillId="2" borderId="64" xfId="1" applyFont="1" applyFill="1" applyBorder="1" applyAlignment="1">
      <alignment horizontal="center" vertical="center" readingOrder="2"/>
    </xf>
    <xf numFmtId="0" fontId="7" fillId="2" borderId="65" xfId="1" applyFont="1" applyFill="1" applyBorder="1" applyAlignment="1">
      <alignment horizontal="center" vertical="center" readingOrder="2"/>
    </xf>
    <xf numFmtId="0" fontId="7" fillId="2" borderId="58" xfId="1" applyFont="1" applyFill="1" applyBorder="1" applyAlignment="1">
      <alignment horizontal="center" vertical="center" wrapText="1" readingOrder="2"/>
    </xf>
    <xf numFmtId="0" fontId="7" fillId="2" borderId="66" xfId="1" applyFont="1" applyFill="1" applyBorder="1" applyAlignment="1">
      <alignment horizontal="center" vertical="center" readingOrder="2"/>
    </xf>
    <xf numFmtId="0" fontId="7" fillId="2" borderId="58" xfId="1" applyFont="1" applyFill="1" applyBorder="1" applyAlignment="1">
      <alignment horizontal="center" vertical="center" readingOrder="2"/>
    </xf>
    <xf numFmtId="0" fontId="7" fillId="2" borderId="62" xfId="1" applyFont="1" applyFill="1" applyBorder="1" applyAlignment="1">
      <alignment horizontal="center" vertical="center" readingOrder="2"/>
    </xf>
    <xf numFmtId="0" fontId="7" fillId="2" borderId="59" xfId="1" applyFont="1" applyFill="1" applyBorder="1" applyAlignment="1">
      <alignment horizontal="center" vertical="center" readingOrder="2"/>
    </xf>
    <xf numFmtId="0" fontId="7" fillId="2" borderId="60" xfId="1" applyFont="1" applyFill="1" applyBorder="1" applyAlignment="1">
      <alignment horizontal="center" vertical="center" readingOrder="2"/>
    </xf>
    <xf numFmtId="0" fontId="7" fillId="2" borderId="61" xfId="1" applyFont="1" applyFill="1" applyBorder="1" applyAlignment="1">
      <alignment horizontal="center" vertical="center" readingOrder="2"/>
    </xf>
    <xf numFmtId="0" fontId="8" fillId="3" borderId="44" xfId="1" applyFont="1" applyFill="1" applyBorder="1" applyAlignment="1">
      <alignment horizontal="center" vertical="center" wrapText="1" readingOrder="2"/>
    </xf>
    <xf numFmtId="0" fontId="8" fillId="3" borderId="42" xfId="1" applyFont="1" applyFill="1" applyBorder="1" applyAlignment="1">
      <alignment horizontal="center" vertical="center" wrapText="1" readingOrder="2"/>
    </xf>
    <xf numFmtId="0" fontId="8" fillId="3" borderId="43" xfId="1" applyFont="1" applyFill="1" applyBorder="1" applyAlignment="1">
      <alignment horizontal="center" vertical="center" wrapText="1" readingOrder="2"/>
    </xf>
    <xf numFmtId="0" fontId="8" fillId="3" borderId="13" xfId="1" applyFont="1" applyFill="1" applyBorder="1" applyAlignment="1">
      <alignment horizontal="center" vertical="center" wrapText="1" readingOrder="2"/>
    </xf>
    <xf numFmtId="0" fontId="5" fillId="2" borderId="71" xfId="1" applyFont="1" applyFill="1" applyBorder="1" applyAlignment="1">
      <alignment horizontal="center" vertical="center" readingOrder="2"/>
    </xf>
    <xf numFmtId="0" fontId="5" fillId="2" borderId="39" xfId="1" applyFont="1" applyFill="1" applyBorder="1" applyAlignment="1">
      <alignment horizontal="center" vertical="center" readingOrder="2"/>
    </xf>
    <xf numFmtId="0" fontId="5" fillId="2" borderId="40" xfId="1" applyFont="1" applyFill="1" applyBorder="1" applyAlignment="1">
      <alignment horizontal="center" vertical="center" readingOrder="2"/>
    </xf>
    <xf numFmtId="0" fontId="5" fillId="2" borderId="74" xfId="1" applyFont="1" applyFill="1" applyBorder="1" applyAlignment="1">
      <alignment horizontal="center" vertical="center" readingOrder="2"/>
    </xf>
    <xf numFmtId="0" fontId="5" fillId="2" borderId="0" xfId="1" applyFont="1" applyFill="1" applyAlignment="1">
      <alignment horizontal="center" vertical="center" readingOrder="2"/>
    </xf>
    <xf numFmtId="0" fontId="5" fillId="2" borderId="68" xfId="1" applyFont="1" applyFill="1" applyBorder="1" applyAlignment="1">
      <alignment horizontal="center" vertical="center" readingOrder="2"/>
    </xf>
    <xf numFmtId="0" fontId="5" fillId="2" borderId="78" xfId="1" applyFont="1" applyFill="1" applyBorder="1" applyAlignment="1">
      <alignment horizontal="center" vertical="center" readingOrder="2"/>
    </xf>
    <xf numFmtId="0" fontId="5" fillId="2" borderId="34" xfId="1" applyFont="1" applyFill="1" applyBorder="1" applyAlignment="1">
      <alignment horizontal="center" vertical="center" readingOrder="2"/>
    </xf>
    <xf numFmtId="0" fontId="5" fillId="2" borderId="77" xfId="1" applyFont="1" applyFill="1" applyBorder="1" applyAlignment="1">
      <alignment horizontal="center" vertical="center" readingOrder="2"/>
    </xf>
    <xf numFmtId="0" fontId="5" fillId="2" borderId="72" xfId="1" applyFont="1" applyFill="1" applyBorder="1" applyAlignment="1">
      <alignment horizontal="center" vertical="center" wrapText="1" readingOrder="2"/>
    </xf>
    <xf numFmtId="0" fontId="5" fillId="2" borderId="33" xfId="1" applyFont="1" applyFill="1" applyBorder="1" applyAlignment="1">
      <alignment horizontal="center" vertical="center" wrapText="1" readingOrder="2"/>
    </xf>
    <xf numFmtId="0" fontId="5" fillId="2" borderId="73" xfId="1" applyFont="1" applyFill="1" applyBorder="1" applyAlignment="1">
      <alignment horizontal="center" vertical="center" wrapText="1" readingOrder="2"/>
    </xf>
    <xf numFmtId="0" fontId="5" fillId="2" borderId="71" xfId="1" applyFont="1" applyFill="1" applyBorder="1" applyAlignment="1">
      <alignment horizontal="center" vertical="center" wrapText="1" readingOrder="2"/>
    </xf>
    <xf numFmtId="0" fontId="5" fillId="2" borderId="39" xfId="1" applyFont="1" applyFill="1" applyBorder="1" applyAlignment="1">
      <alignment horizontal="center" vertical="center" wrapText="1" readingOrder="2"/>
    </xf>
    <xf numFmtId="0" fontId="5" fillId="2" borderId="40" xfId="1" applyFont="1" applyFill="1" applyBorder="1" applyAlignment="1">
      <alignment horizontal="center" vertical="center" wrapText="1" readingOrder="2"/>
    </xf>
    <xf numFmtId="0" fontId="5" fillId="2" borderId="74" xfId="1" applyFont="1" applyFill="1" applyBorder="1" applyAlignment="1">
      <alignment horizontal="center" vertical="center" wrapText="1" readingOrder="2"/>
    </xf>
    <xf numFmtId="0" fontId="5" fillId="2" borderId="0" xfId="1" applyFont="1" applyFill="1" applyAlignment="1">
      <alignment horizontal="center" vertical="center" wrapText="1" readingOrder="2"/>
    </xf>
    <xf numFmtId="0" fontId="5" fillId="2" borderId="68" xfId="1" applyFont="1" applyFill="1" applyBorder="1" applyAlignment="1">
      <alignment horizontal="center" vertical="center" wrapText="1" readingOrder="2"/>
    </xf>
    <xf numFmtId="0" fontId="5" fillId="2" borderId="78" xfId="1" applyFont="1" applyFill="1" applyBorder="1" applyAlignment="1">
      <alignment horizontal="center" vertical="center" wrapText="1" readingOrder="2"/>
    </xf>
    <xf numFmtId="0" fontId="5" fillId="2" borderId="34" xfId="1" applyFont="1" applyFill="1" applyBorder="1" applyAlignment="1">
      <alignment horizontal="center" vertical="center" wrapText="1" readingOrder="2"/>
    </xf>
    <xf numFmtId="0" fontId="5" fillId="2" borderId="77" xfId="1" applyFont="1" applyFill="1" applyBorder="1" applyAlignment="1">
      <alignment horizontal="center" vertical="center" wrapText="1" readingOrder="2"/>
    </xf>
    <xf numFmtId="0" fontId="8" fillId="2" borderId="75" xfId="1" applyFont="1" applyFill="1" applyBorder="1" applyAlignment="1">
      <alignment horizontal="center" vertical="center" readingOrder="2"/>
    </xf>
    <xf numFmtId="0" fontId="8" fillId="2" borderId="76" xfId="1" applyFont="1" applyFill="1" applyBorder="1" applyAlignment="1">
      <alignment horizontal="center" vertical="center" readingOrder="2"/>
    </xf>
    <xf numFmtId="0" fontId="8" fillId="2" borderId="39" xfId="1" applyFont="1" applyFill="1" applyBorder="1" applyAlignment="1">
      <alignment horizontal="center" vertical="center" readingOrder="2"/>
    </xf>
    <xf numFmtId="0" fontId="8" fillId="2" borderId="40" xfId="1" applyFont="1" applyFill="1" applyBorder="1" applyAlignment="1">
      <alignment horizontal="center" vertical="center" readingOrder="2"/>
    </xf>
    <xf numFmtId="0" fontId="8" fillId="2" borderId="34" xfId="1" applyFont="1" applyFill="1" applyBorder="1" applyAlignment="1">
      <alignment horizontal="center" vertical="center" readingOrder="2"/>
    </xf>
    <xf numFmtId="0" fontId="8" fillId="2" borderId="77" xfId="1" applyFont="1" applyFill="1" applyBorder="1" applyAlignment="1">
      <alignment horizontal="center" vertical="center" readingOrder="2"/>
    </xf>
    <xf numFmtId="0" fontId="7" fillId="2" borderId="144" xfId="1" applyFont="1" applyFill="1" applyBorder="1" applyAlignment="1">
      <alignment horizontal="center" vertical="center" textRotation="90" readingOrder="2"/>
    </xf>
    <xf numFmtId="0" fontId="7" fillId="2" borderId="45" xfId="1" applyFont="1" applyFill="1" applyBorder="1" applyAlignment="1">
      <alignment horizontal="center" vertical="center" readingOrder="2"/>
    </xf>
    <xf numFmtId="0" fontId="7" fillId="2" borderId="46" xfId="1" applyFont="1" applyFill="1" applyBorder="1" applyAlignment="1">
      <alignment horizontal="center" vertical="center" readingOrder="2"/>
    </xf>
    <xf numFmtId="0" fontId="7" fillId="2" borderId="49" xfId="1" applyFont="1" applyFill="1" applyBorder="1" applyAlignment="1">
      <alignment horizontal="center" vertical="center" readingOrder="2"/>
    </xf>
    <xf numFmtId="0" fontId="7" fillId="2" borderId="145" xfId="1" applyFont="1" applyFill="1" applyBorder="1" applyAlignment="1">
      <alignment horizontal="center" vertical="center" wrapText="1" readingOrder="2"/>
    </xf>
    <xf numFmtId="0" fontId="7" fillId="2" borderId="145" xfId="1" applyFont="1" applyFill="1" applyBorder="1" applyAlignment="1">
      <alignment horizontal="center" vertical="center" readingOrder="2"/>
    </xf>
    <xf numFmtId="0" fontId="7" fillId="2" borderId="47" xfId="1" applyFont="1" applyFill="1" applyBorder="1" applyAlignment="1">
      <alignment horizontal="center" vertical="center" readingOrder="2"/>
    </xf>
    <xf numFmtId="0" fontId="8" fillId="3" borderId="44" xfId="1" applyFont="1" applyFill="1" applyBorder="1" applyAlignment="1">
      <alignment horizontal="center" vertical="center" readingOrder="2"/>
    </xf>
    <xf numFmtId="0" fontId="8" fillId="3" borderId="42" xfId="1" applyFont="1" applyFill="1" applyBorder="1" applyAlignment="1">
      <alignment horizontal="center" vertical="center" readingOrder="2"/>
    </xf>
    <xf numFmtId="0" fontId="8" fillId="3" borderId="43" xfId="1" applyFont="1" applyFill="1" applyBorder="1" applyAlignment="1">
      <alignment horizontal="center" vertical="center" readingOrder="2"/>
    </xf>
    <xf numFmtId="0" fontId="8" fillId="2" borderId="71" xfId="1" applyFont="1" applyFill="1" applyBorder="1" applyAlignment="1">
      <alignment horizontal="center" vertical="center" readingOrder="2"/>
    </xf>
    <xf numFmtId="0" fontId="8" fillId="2" borderId="74" xfId="1" applyFont="1" applyFill="1" applyBorder="1" applyAlignment="1">
      <alignment horizontal="center" vertical="center" readingOrder="2"/>
    </xf>
    <xf numFmtId="0" fontId="8" fillId="2" borderId="68" xfId="1" applyFont="1" applyFill="1" applyBorder="1" applyAlignment="1">
      <alignment horizontal="center" vertical="center" readingOrder="2"/>
    </xf>
    <xf numFmtId="0" fontId="8" fillId="2" borderId="78" xfId="1" applyFont="1" applyFill="1" applyBorder="1" applyAlignment="1">
      <alignment horizontal="center" vertical="center" readingOrder="2"/>
    </xf>
    <xf numFmtId="0" fontId="8" fillId="2" borderId="0" xfId="1" applyFont="1" applyFill="1" applyAlignment="1">
      <alignment horizontal="center" vertical="center" readingOrder="2"/>
    </xf>
    <xf numFmtId="0" fontId="8" fillId="3" borderId="139" xfId="1" applyFont="1" applyFill="1" applyBorder="1" applyAlignment="1">
      <alignment horizontal="center" vertical="center" wrapText="1" readingOrder="2"/>
    </xf>
    <xf numFmtId="0" fontId="8" fillId="3" borderId="140" xfId="1" applyFont="1" applyFill="1" applyBorder="1" applyAlignment="1">
      <alignment horizontal="center" vertical="center" wrapText="1" readingOrder="2"/>
    </xf>
    <xf numFmtId="0" fontId="8" fillId="3" borderId="147" xfId="1" applyFont="1" applyFill="1" applyBorder="1" applyAlignment="1">
      <alignment horizontal="center" vertical="center" wrapText="1" readingOrder="2"/>
    </xf>
    <xf numFmtId="0" fontId="8" fillId="3" borderId="13" xfId="0" applyFont="1" applyFill="1" applyBorder="1" applyAlignment="1">
      <alignment horizontal="right" vertical="center" wrapText="1" readingOrder="2"/>
    </xf>
    <xf numFmtId="0" fontId="8" fillId="2" borderId="75" xfId="1" applyFont="1" applyFill="1" applyBorder="1" applyAlignment="1">
      <alignment horizontal="center" vertical="top" readingOrder="2"/>
    </xf>
    <xf numFmtId="0" fontId="8" fillId="2" borderId="143" xfId="1" applyFont="1" applyFill="1" applyBorder="1" applyAlignment="1">
      <alignment horizontal="center" vertical="top" readingOrder="2"/>
    </xf>
    <xf numFmtId="0" fontId="8" fillId="2" borderId="76" xfId="1" applyFont="1" applyFill="1" applyBorder="1" applyAlignment="1">
      <alignment horizontal="center" vertical="top" readingOrder="2"/>
    </xf>
    <xf numFmtId="0" fontId="8" fillId="3" borderId="5" xfId="0" applyFont="1" applyFill="1" applyBorder="1" applyAlignment="1">
      <alignment horizontal="right" vertical="center" readingOrder="2"/>
    </xf>
    <xf numFmtId="0" fontId="8" fillId="3" borderId="17" xfId="0" applyFont="1" applyFill="1" applyBorder="1" applyAlignment="1">
      <alignment horizontal="right" vertical="center" readingOrder="2"/>
    </xf>
    <xf numFmtId="0" fontId="8" fillId="3" borderId="15" xfId="0" applyFont="1" applyFill="1" applyBorder="1" applyAlignment="1">
      <alignment horizontal="right" vertical="center" readingOrder="2"/>
    </xf>
    <xf numFmtId="0" fontId="8" fillId="3" borderId="16" xfId="0" applyFont="1" applyFill="1" applyBorder="1" applyAlignment="1">
      <alignment horizontal="right" vertical="center" readingOrder="2"/>
    </xf>
    <xf numFmtId="0" fontId="5" fillId="3" borderId="5" xfId="1" applyFont="1" applyFill="1" applyBorder="1" applyAlignment="1">
      <alignment horizontal="center" vertical="center" readingOrder="2"/>
    </xf>
    <xf numFmtId="0" fontId="5" fillId="3" borderId="6" xfId="1" applyFont="1" applyFill="1" applyBorder="1" applyAlignment="1">
      <alignment horizontal="center" vertical="center" readingOrder="2"/>
    </xf>
    <xf numFmtId="0" fontId="8" fillId="0" borderId="5" xfId="0" applyFont="1" applyBorder="1" applyAlignment="1">
      <alignment horizontal="right" vertical="center" readingOrder="2"/>
    </xf>
    <xf numFmtId="0" fontId="79" fillId="0" borderId="1" xfId="1" applyFont="1" applyBorder="1" applyAlignment="1">
      <alignment horizontal="center" vertical="center" readingOrder="2"/>
    </xf>
    <xf numFmtId="0" fontId="79" fillId="0" borderId="2" xfId="1" applyFont="1" applyBorder="1" applyAlignment="1">
      <alignment horizontal="center" vertical="center" readingOrder="2"/>
    </xf>
    <xf numFmtId="0" fontId="7" fillId="0" borderId="35" xfId="1" applyFont="1" applyBorder="1" applyAlignment="1">
      <alignment horizontal="right" vertical="center" wrapText="1" readingOrder="2"/>
    </xf>
    <xf numFmtId="0" fontId="7" fillId="0" borderId="36" xfId="1" applyFont="1" applyBorder="1" applyAlignment="1">
      <alignment horizontal="right" vertical="center" wrapText="1" readingOrder="2"/>
    </xf>
    <xf numFmtId="0" fontId="7" fillId="0" borderId="37" xfId="1" applyFont="1" applyBorder="1" applyAlignment="1">
      <alignment horizontal="right" vertical="center" wrapText="1" readingOrder="2"/>
    </xf>
    <xf numFmtId="0" fontId="7" fillId="0" borderId="38" xfId="1" applyFont="1" applyBorder="1" applyAlignment="1">
      <alignment horizontal="right" vertical="center" readingOrder="2"/>
    </xf>
    <xf numFmtId="0" fontId="7" fillId="0" borderId="39" xfId="1" applyFont="1" applyBorder="1" applyAlignment="1">
      <alignment horizontal="right" vertical="center" readingOrder="2"/>
    </xf>
    <xf numFmtId="0" fontId="7" fillId="0" borderId="38" xfId="1" applyFont="1" applyBorder="1" applyAlignment="1">
      <alignment horizontal="right" vertical="top" readingOrder="2"/>
    </xf>
    <xf numFmtId="0" fontId="7" fillId="0" borderId="39" xfId="1" applyFont="1" applyBorder="1" applyAlignment="1">
      <alignment horizontal="right" vertical="top" readingOrder="2"/>
    </xf>
    <xf numFmtId="0" fontId="7" fillId="0" borderId="40" xfId="1" applyFont="1" applyBorder="1" applyAlignment="1">
      <alignment horizontal="right" vertical="top" readingOrder="2"/>
    </xf>
    <xf numFmtId="0" fontId="7" fillId="0" borderId="45" xfId="1" applyFont="1" applyBorder="1" applyAlignment="1">
      <alignment horizontal="right" vertical="top" readingOrder="2"/>
    </xf>
    <xf numFmtId="0" fontId="7" fillId="0" borderId="46" xfId="1" applyFont="1" applyBorder="1" applyAlignment="1">
      <alignment horizontal="right" vertical="top" readingOrder="2"/>
    </xf>
    <xf numFmtId="0" fontId="7" fillId="0" borderId="47" xfId="1" applyFont="1" applyBorder="1" applyAlignment="1">
      <alignment horizontal="right" vertical="top" readingOrder="2"/>
    </xf>
    <xf numFmtId="0" fontId="7" fillId="0" borderId="41" xfId="1" applyFont="1" applyBorder="1" applyAlignment="1">
      <alignment horizontal="right" vertical="center" wrapText="1" readingOrder="2"/>
    </xf>
    <xf numFmtId="0" fontId="7" fillId="0" borderId="42" xfId="1" applyFont="1" applyBorder="1" applyAlignment="1">
      <alignment horizontal="right" vertical="center" wrapText="1" readingOrder="2"/>
    </xf>
    <xf numFmtId="0" fontId="7" fillId="0" borderId="43" xfId="1" applyFont="1" applyBorder="1" applyAlignment="1">
      <alignment horizontal="right" vertical="center" wrapText="1" readingOrder="2"/>
    </xf>
    <xf numFmtId="0" fontId="7" fillId="0" borderId="44" xfId="1" applyFont="1" applyBorder="1" applyAlignment="1">
      <alignment horizontal="right" vertical="center" readingOrder="2"/>
    </xf>
    <xf numFmtId="0" fontId="7" fillId="0" borderId="43" xfId="1" applyFont="1" applyBorder="1" applyAlignment="1">
      <alignment horizontal="right" vertical="center" readingOrder="2"/>
    </xf>
    <xf numFmtId="0" fontId="7" fillId="0" borderId="48" xfId="1" applyFont="1" applyBorder="1" applyAlignment="1">
      <alignment horizontal="right" vertical="center" wrapText="1" readingOrder="2"/>
    </xf>
    <xf numFmtId="0" fontId="7" fillId="0" borderId="46" xfId="1" applyFont="1" applyBorder="1" applyAlignment="1">
      <alignment horizontal="right" vertical="center" wrapText="1" readingOrder="2"/>
    </xf>
    <xf numFmtId="0" fontId="7" fillId="0" borderId="49" xfId="1" applyFont="1" applyBorder="1" applyAlignment="1">
      <alignment horizontal="right" vertical="center" wrapText="1" readingOrder="2"/>
    </xf>
    <xf numFmtId="0" fontId="7" fillId="0" borderId="50" xfId="1" applyFont="1" applyBorder="1" applyAlignment="1">
      <alignment horizontal="right" vertical="center" wrapText="1" readingOrder="2"/>
    </xf>
    <xf numFmtId="0" fontId="7" fillId="0" borderId="51" xfId="1" applyFont="1" applyBorder="1" applyAlignment="1">
      <alignment horizontal="right" vertical="center" wrapText="1" readingOrder="2"/>
    </xf>
    <xf numFmtId="0" fontId="7" fillId="0" borderId="52" xfId="1" applyFont="1" applyBorder="1" applyAlignment="1">
      <alignment horizontal="right" vertical="center" wrapText="1" readingOrder="2"/>
    </xf>
    <xf numFmtId="0" fontId="7" fillId="0" borderId="53" xfId="1" applyFont="1" applyBorder="1" applyAlignment="1">
      <alignment horizontal="right" vertical="center" wrapText="1" readingOrder="2"/>
    </xf>
    <xf numFmtId="0" fontId="5" fillId="3" borderId="44" xfId="1" applyFont="1" applyFill="1" applyBorder="1" applyAlignment="1">
      <alignment horizontal="center" vertical="center" readingOrder="2"/>
    </xf>
    <xf numFmtId="0" fontId="5" fillId="3" borderId="42" xfId="1" applyFont="1" applyFill="1" applyBorder="1" applyAlignment="1">
      <alignment horizontal="center" vertical="center" readingOrder="2"/>
    </xf>
    <xf numFmtId="0" fontId="5" fillId="3" borderId="123" xfId="1" applyFont="1" applyFill="1" applyBorder="1" applyAlignment="1">
      <alignment horizontal="center" vertical="center" readingOrder="2"/>
    </xf>
    <xf numFmtId="0" fontId="8" fillId="0" borderId="69" xfId="1" applyFont="1" applyBorder="1" applyAlignment="1">
      <alignment horizontal="right" vertical="center"/>
    </xf>
    <xf numFmtId="0" fontId="8" fillId="0" borderId="70" xfId="1" applyFont="1" applyBorder="1" applyAlignment="1">
      <alignment horizontal="right" vertical="center"/>
    </xf>
    <xf numFmtId="0" fontId="8" fillId="0" borderId="138" xfId="1" applyFont="1" applyBorder="1" applyAlignment="1">
      <alignment horizontal="right" vertical="center"/>
    </xf>
    <xf numFmtId="0" fontId="8" fillId="0" borderId="44" xfId="1" applyFont="1" applyBorder="1" applyAlignment="1">
      <alignment horizontal="right" vertical="center"/>
    </xf>
    <xf numFmtId="0" fontId="8" fillId="0" borderId="42" xfId="1" applyFont="1" applyBorder="1" applyAlignment="1">
      <alignment horizontal="right" vertical="center"/>
    </xf>
    <xf numFmtId="0" fontId="8" fillId="0" borderId="43" xfId="1" applyFont="1" applyBorder="1" applyAlignment="1">
      <alignment horizontal="right" vertical="center"/>
    </xf>
    <xf numFmtId="0" fontId="8" fillId="3" borderId="44" xfId="0" applyFont="1" applyFill="1" applyBorder="1" applyAlignment="1">
      <alignment horizontal="right" vertical="center" wrapText="1" indent="1" readingOrder="2"/>
    </xf>
    <xf numFmtId="0" fontId="8" fillId="3" borderId="42" xfId="0" applyFont="1" applyFill="1" applyBorder="1" applyAlignment="1">
      <alignment horizontal="right" vertical="center" wrapText="1" indent="1" readingOrder="2"/>
    </xf>
    <xf numFmtId="0" fontId="8" fillId="3" borderId="43" xfId="0" applyFont="1" applyFill="1" applyBorder="1" applyAlignment="1">
      <alignment horizontal="right" vertical="center" wrapText="1" indent="1" readingOrder="2"/>
    </xf>
    <xf numFmtId="0" fontId="7" fillId="0" borderId="38" xfId="1" applyFont="1" applyBorder="1" applyAlignment="1">
      <alignment horizontal="right" vertical="top" readingOrder="1"/>
    </xf>
    <xf numFmtId="0" fontId="7" fillId="0" borderId="39" xfId="1" applyFont="1" applyBorder="1" applyAlignment="1">
      <alignment horizontal="right" vertical="top" readingOrder="1"/>
    </xf>
    <xf numFmtId="0" fontId="7" fillId="0" borderId="40" xfId="1" applyFont="1" applyBorder="1" applyAlignment="1">
      <alignment horizontal="right" vertical="top" readingOrder="1"/>
    </xf>
    <xf numFmtId="0" fontId="7" fillId="0" borderId="45" xfId="1" applyFont="1" applyBorder="1" applyAlignment="1">
      <alignment horizontal="right" vertical="top" readingOrder="1"/>
    </xf>
    <xf numFmtId="0" fontId="7" fillId="0" borderId="46" xfId="1" applyFont="1" applyBorder="1" applyAlignment="1">
      <alignment horizontal="right" vertical="top" readingOrder="1"/>
    </xf>
    <xf numFmtId="0" fontId="7" fillId="0" borderId="47" xfId="1" applyFont="1" applyBorder="1" applyAlignment="1">
      <alignment horizontal="right" vertical="top" readingOrder="1"/>
    </xf>
    <xf numFmtId="0" fontId="7" fillId="0" borderId="38" xfId="1" applyFont="1" applyBorder="1" applyAlignment="1">
      <alignment horizontal="right" vertical="top" wrapText="1" readingOrder="2"/>
    </xf>
    <xf numFmtId="0" fontId="12" fillId="2" borderId="75" xfId="1" applyFont="1" applyFill="1" applyBorder="1" applyAlignment="1">
      <alignment horizontal="center" vertical="center" wrapText="1" readingOrder="2"/>
    </xf>
    <xf numFmtId="0" fontId="12" fillId="2" borderId="143" xfId="1" applyFont="1" applyFill="1" applyBorder="1" applyAlignment="1">
      <alignment horizontal="center" vertical="center" readingOrder="2"/>
    </xf>
    <xf numFmtId="0" fontId="59" fillId="27" borderId="156" xfId="3" applyFont="1" applyFill="1" applyBorder="1" applyAlignment="1">
      <alignment horizontal="center" vertical="center" wrapText="1"/>
    </xf>
    <xf numFmtId="0" fontId="59" fillId="27" borderId="157" xfId="3" applyFont="1" applyFill="1" applyBorder="1" applyAlignment="1">
      <alignment horizontal="center" vertical="center" wrapText="1"/>
    </xf>
    <xf numFmtId="0" fontId="59" fillId="27" borderId="159" xfId="3" applyFont="1" applyFill="1" applyBorder="1" applyAlignment="1">
      <alignment horizontal="center" vertical="center" wrapText="1"/>
    </xf>
    <xf numFmtId="0" fontId="63" fillId="27" borderId="156" xfId="3" applyFont="1" applyFill="1" applyBorder="1" applyAlignment="1">
      <alignment horizontal="center" vertical="center" wrapText="1"/>
    </xf>
    <xf numFmtId="0" fontId="63" fillId="27" borderId="157" xfId="3" applyFont="1" applyFill="1" applyBorder="1" applyAlignment="1">
      <alignment horizontal="center" vertical="center" wrapText="1"/>
    </xf>
    <xf numFmtId="0" fontId="63" fillId="27" borderId="159" xfId="3" applyFont="1" applyFill="1" applyBorder="1" applyAlignment="1">
      <alignment horizontal="center" vertical="center" wrapText="1"/>
    </xf>
    <xf numFmtId="0" fontId="59" fillId="0" borderId="156" xfId="3" applyFont="1" applyBorder="1" applyAlignment="1">
      <alignment horizontal="center" vertical="center" wrapText="1"/>
    </xf>
    <xf numFmtId="0" fontId="59" fillId="0" borderId="157" xfId="3" applyFont="1" applyBorder="1" applyAlignment="1">
      <alignment horizontal="center" vertical="center" wrapText="1"/>
    </xf>
    <xf numFmtId="0" fontId="59" fillId="0" borderId="159" xfId="3" applyFont="1" applyBorder="1" applyAlignment="1">
      <alignment horizontal="center" vertical="center" wrapText="1"/>
    </xf>
    <xf numFmtId="0" fontId="59" fillId="0" borderId="169" xfId="3" applyFont="1" applyBorder="1" applyAlignment="1">
      <alignment horizontal="center" vertical="center" wrapText="1"/>
    </xf>
    <xf numFmtId="0" fontId="59" fillId="0" borderId="170" xfId="3" applyFont="1" applyBorder="1" applyAlignment="1">
      <alignment horizontal="center" vertical="center" wrapText="1"/>
    </xf>
    <xf numFmtId="0" fontId="59" fillId="0" borderId="156" xfId="0" applyFont="1" applyBorder="1" applyAlignment="1">
      <alignment horizontal="center" vertical="center" wrapText="1"/>
    </xf>
    <xf numFmtId="0" fontId="59" fillId="0" borderId="157" xfId="0" applyFont="1" applyBorder="1" applyAlignment="1">
      <alignment horizontal="center" vertical="center" wrapText="1"/>
    </xf>
    <xf numFmtId="0" fontId="59" fillId="0" borderId="159" xfId="0" applyFont="1" applyBorder="1" applyAlignment="1">
      <alignment horizontal="center" vertical="center" wrapText="1"/>
    </xf>
    <xf numFmtId="0" fontId="59" fillId="27" borderId="169" xfId="0" applyFont="1" applyFill="1" applyBorder="1" applyAlignment="1">
      <alignment horizontal="center" vertical="center" wrapText="1"/>
    </xf>
    <xf numFmtId="0" fontId="59" fillId="27" borderId="157" xfId="0" applyFont="1" applyFill="1" applyBorder="1" applyAlignment="1">
      <alignment horizontal="center" vertical="center" wrapText="1"/>
    </xf>
    <xf numFmtId="0" fontId="59" fillId="27" borderId="170" xfId="0" applyFont="1" applyFill="1" applyBorder="1" applyAlignment="1">
      <alignment horizontal="center" vertical="center" wrapText="1"/>
    </xf>
    <xf numFmtId="0" fontId="59" fillId="0" borderId="169" xfId="0" applyFont="1" applyBorder="1" applyAlignment="1">
      <alignment horizontal="center" vertical="center" wrapText="1"/>
    </xf>
    <xf numFmtId="0" fontId="59" fillId="27" borderId="156" xfId="0" applyFont="1" applyFill="1" applyBorder="1" applyAlignment="1">
      <alignment horizontal="center" vertical="center" wrapText="1"/>
    </xf>
    <xf numFmtId="0" fontId="59" fillId="27" borderId="170" xfId="3" applyFont="1" applyFill="1" applyBorder="1" applyAlignment="1">
      <alignment horizontal="center" vertical="center" wrapText="1"/>
    </xf>
    <xf numFmtId="0" fontId="59" fillId="27" borderId="169" xfId="3" applyFont="1" applyFill="1" applyBorder="1" applyAlignment="1">
      <alignment horizontal="center" vertical="center" wrapText="1"/>
    </xf>
    <xf numFmtId="0" fontId="59" fillId="27" borderId="159" xfId="0" applyFont="1" applyFill="1" applyBorder="1" applyAlignment="1">
      <alignment horizontal="center" vertical="center" wrapText="1"/>
    </xf>
    <xf numFmtId="0" fontId="78" fillId="26" borderId="156" xfId="0" applyFont="1" applyFill="1" applyBorder="1" applyAlignment="1">
      <alignment horizontal="center" vertical="center" textRotation="90" wrapText="1"/>
    </xf>
    <xf numFmtId="0" fontId="78" fillId="26" borderId="157" xfId="0" applyFont="1" applyFill="1" applyBorder="1" applyAlignment="1">
      <alignment horizontal="center" vertical="center" textRotation="90" wrapText="1"/>
    </xf>
    <xf numFmtId="0" fontId="78" fillId="26" borderId="159" xfId="0" applyFont="1" applyFill="1" applyBorder="1" applyAlignment="1">
      <alignment horizontal="center" vertical="center" textRotation="90" wrapText="1"/>
    </xf>
    <xf numFmtId="0" fontId="59" fillId="0" borderId="170" xfId="0" applyFont="1" applyBorder="1" applyAlignment="1">
      <alignment horizontal="center" vertical="center" wrapText="1"/>
    </xf>
    <xf numFmtId="0" fontId="51" fillId="3" borderId="44" xfId="0" applyFont="1" applyFill="1" applyBorder="1" applyAlignment="1">
      <alignment vertical="center" readingOrder="2"/>
    </xf>
    <xf numFmtId="0" fontId="51" fillId="3" borderId="42" xfId="0" applyFont="1" applyFill="1" applyBorder="1" applyAlignment="1">
      <alignment vertical="center" readingOrder="2"/>
    </xf>
    <xf numFmtId="0" fontId="51" fillId="3" borderId="43" xfId="0" applyFont="1" applyFill="1" applyBorder="1" applyAlignment="1">
      <alignment vertical="center" readingOrder="2"/>
    </xf>
    <xf numFmtId="0" fontId="51" fillId="3" borderId="13" xfId="0" applyFont="1" applyFill="1" applyBorder="1" applyAlignment="1">
      <alignment vertical="center" readingOrder="2"/>
    </xf>
    <xf numFmtId="0" fontId="7" fillId="0" borderId="5" xfId="1" applyFont="1" applyBorder="1" applyAlignment="1">
      <alignment horizontal="right" vertical="top" wrapText="1" readingOrder="2"/>
    </xf>
    <xf numFmtId="0" fontId="7" fillId="0" borderId="6" xfId="1" applyFont="1" applyBorder="1" applyAlignment="1">
      <alignment horizontal="right" vertical="top" wrapText="1" readingOrder="2"/>
    </xf>
    <xf numFmtId="0" fontId="8" fillId="3" borderId="5" xfId="0" applyFont="1" applyFill="1" applyBorder="1" applyAlignment="1">
      <alignment horizontal="right" vertical="center" wrapText="1" readingOrder="2"/>
    </xf>
    <xf numFmtId="0" fontId="8" fillId="3" borderId="17" xfId="1" applyFont="1" applyFill="1" applyBorder="1" applyAlignment="1">
      <alignment horizontal="center" vertical="center" wrapText="1" readingOrder="2"/>
    </xf>
    <xf numFmtId="0" fontId="8" fillId="3" borderId="15" xfId="1" applyFont="1" applyFill="1" applyBorder="1" applyAlignment="1">
      <alignment horizontal="center" vertical="center" wrapText="1" readingOrder="2"/>
    </xf>
    <xf numFmtId="0" fontId="8" fillId="3" borderId="125" xfId="1" applyFont="1" applyFill="1" applyBorder="1" applyAlignment="1">
      <alignment horizontal="center" vertical="center" wrapText="1" readingOrder="2"/>
    </xf>
    <xf numFmtId="0" fontId="8" fillId="3" borderId="5" xfId="0" quotePrefix="1" applyFont="1" applyFill="1" applyBorder="1" applyAlignment="1">
      <alignment horizontal="right" vertical="center" wrapText="1" readingOrder="2"/>
    </xf>
    <xf numFmtId="0" fontId="18" fillId="3" borderId="17" xfId="0" applyFont="1" applyFill="1" applyBorder="1" applyAlignment="1">
      <alignment horizontal="center" vertical="center" readingOrder="2"/>
    </xf>
    <xf numFmtId="0" fontId="18" fillId="3" borderId="15" xfId="0" applyFont="1" applyFill="1" applyBorder="1" applyAlignment="1">
      <alignment horizontal="center" vertical="center" readingOrder="2"/>
    </xf>
    <xf numFmtId="0" fontId="18" fillId="3" borderId="16" xfId="0" applyFont="1" applyFill="1" applyBorder="1" applyAlignment="1">
      <alignment horizontal="center" vertical="center" readingOrder="2"/>
    </xf>
    <xf numFmtId="0" fontId="18" fillId="3" borderId="5" xfId="0" applyFont="1" applyFill="1" applyBorder="1" applyAlignment="1">
      <alignment horizontal="center" vertical="center" readingOrder="2"/>
    </xf>
    <xf numFmtId="0" fontId="7" fillId="2" borderId="6" xfId="1" applyFont="1" applyFill="1" applyBorder="1" applyAlignment="1">
      <alignment horizontal="center" vertical="center" wrapText="1" readingOrder="2"/>
    </xf>
    <xf numFmtId="0" fontId="18" fillId="3" borderId="142" xfId="0" applyFont="1" applyFill="1" applyBorder="1" applyAlignment="1">
      <alignment horizontal="center" vertical="center" readingOrder="2"/>
    </xf>
    <xf numFmtId="0" fontId="8" fillId="3" borderId="17" xfId="1" applyFont="1" applyFill="1" applyBorder="1" applyAlignment="1">
      <alignment horizontal="center" vertical="center" readingOrder="2"/>
    </xf>
    <xf numFmtId="0" fontId="8" fillId="3" borderId="15" xfId="1" applyFont="1" applyFill="1" applyBorder="1" applyAlignment="1">
      <alignment horizontal="center" vertical="center" readingOrder="2"/>
    </xf>
    <xf numFmtId="0" fontId="8" fillId="3" borderId="125" xfId="1" applyFont="1" applyFill="1" applyBorder="1" applyAlignment="1">
      <alignment horizontal="center" vertical="center" readingOrder="2"/>
    </xf>
    <xf numFmtId="0" fontId="16" fillId="5" borderId="17" xfId="0" applyFont="1" applyFill="1" applyBorder="1" applyAlignment="1">
      <alignment horizontal="center" vertical="center" readingOrder="2"/>
    </xf>
    <xf numFmtId="0" fontId="16" fillId="5" borderId="15" xfId="0" applyFont="1" applyFill="1" applyBorder="1" applyAlignment="1">
      <alignment horizontal="center" vertical="center" readingOrder="2"/>
    </xf>
    <xf numFmtId="0" fontId="16" fillId="5" borderId="16" xfId="0" applyFont="1" applyFill="1" applyBorder="1" applyAlignment="1">
      <alignment horizontal="center" vertical="center" readingOrder="2"/>
    </xf>
    <xf numFmtId="0" fontId="8" fillId="3" borderId="139" xfId="0" applyFont="1" applyFill="1" applyBorder="1" applyAlignment="1">
      <alignment horizontal="right" vertical="center" readingOrder="2"/>
    </xf>
    <xf numFmtId="0" fontId="8" fillId="3" borderId="140" xfId="0" applyFont="1" applyFill="1" applyBorder="1" applyAlignment="1">
      <alignment horizontal="right" vertical="center" readingOrder="2"/>
    </xf>
    <xf numFmtId="0" fontId="8" fillId="3" borderId="147" xfId="0" applyFont="1" applyFill="1" applyBorder="1" applyAlignment="1">
      <alignment horizontal="right" vertical="center" readingOrder="2"/>
    </xf>
    <xf numFmtId="0" fontId="8" fillId="3" borderId="124" xfId="1" applyFont="1" applyFill="1" applyBorder="1" applyAlignment="1">
      <alignment horizontal="center" vertical="center" wrapText="1" readingOrder="2"/>
    </xf>
    <xf numFmtId="0" fontId="8" fillId="3" borderId="124" xfId="1" applyFont="1" applyFill="1" applyBorder="1" applyAlignment="1">
      <alignment horizontal="center" vertical="center" readingOrder="2"/>
    </xf>
    <xf numFmtId="0" fontId="8" fillId="3" borderId="134" xfId="0" applyFont="1" applyFill="1" applyBorder="1" applyAlignment="1">
      <alignment horizontal="right" vertical="center" readingOrder="2"/>
    </xf>
    <xf numFmtId="0" fontId="5" fillId="3" borderId="139" xfId="1" applyFont="1" applyFill="1" applyBorder="1" applyAlignment="1">
      <alignment horizontal="center" vertical="center" readingOrder="2"/>
    </xf>
    <xf numFmtId="0" fontId="5" fillId="3" borderId="140" xfId="1" applyFont="1" applyFill="1" applyBorder="1" applyAlignment="1">
      <alignment horizontal="center" vertical="center" readingOrder="2"/>
    </xf>
    <xf numFmtId="0" fontId="5" fillId="3" borderId="141" xfId="1" applyFont="1" applyFill="1" applyBorder="1" applyAlignment="1">
      <alignment horizontal="center" vertical="center" readingOrder="2"/>
    </xf>
    <xf numFmtId="0" fontId="7" fillId="2" borderId="129" xfId="1" applyFont="1" applyFill="1" applyBorder="1" applyAlignment="1">
      <alignment horizontal="center" vertical="center" readingOrder="2"/>
    </xf>
    <xf numFmtId="0" fontId="7" fillId="2" borderId="36" xfId="1" applyFont="1" applyFill="1" applyBorder="1" applyAlignment="1">
      <alignment horizontal="center" vertical="center" readingOrder="2"/>
    </xf>
    <xf numFmtId="0" fontId="7" fillId="2" borderId="37" xfId="1" applyFont="1" applyFill="1" applyBorder="1" applyAlignment="1">
      <alignment horizontal="center" vertical="center" readingOrder="2"/>
    </xf>
    <xf numFmtId="0" fontId="7" fillId="2" borderId="129" xfId="1" applyFont="1" applyFill="1" applyBorder="1" applyAlignment="1">
      <alignment horizontal="center" vertical="center" wrapText="1" readingOrder="2"/>
    </xf>
    <xf numFmtId="0" fontId="7" fillId="2" borderId="36" xfId="1" applyFont="1" applyFill="1" applyBorder="1" applyAlignment="1">
      <alignment horizontal="center" vertical="center" wrapText="1" readingOrder="2"/>
    </xf>
    <xf numFmtId="0" fontId="7" fillId="2" borderId="37" xfId="1" applyFont="1" applyFill="1" applyBorder="1" applyAlignment="1">
      <alignment horizontal="center" vertical="center" wrapText="1" readingOrder="2"/>
    </xf>
    <xf numFmtId="0" fontId="7" fillId="2" borderId="38" xfId="1" applyFont="1" applyFill="1" applyBorder="1" applyAlignment="1">
      <alignment horizontal="center" vertical="center" readingOrder="2"/>
    </xf>
    <xf numFmtId="0" fontId="7" fillId="2" borderId="131" xfId="1" applyFont="1" applyFill="1" applyBorder="1" applyAlignment="1">
      <alignment horizontal="center" vertical="center" readingOrder="2"/>
    </xf>
    <xf numFmtId="0" fontId="8" fillId="3" borderId="136" xfId="0" applyFont="1" applyFill="1" applyBorder="1" applyAlignment="1">
      <alignment horizontal="right" vertical="center" readingOrder="2"/>
    </xf>
    <xf numFmtId="0" fontId="8" fillId="3" borderId="129" xfId="1" applyFont="1" applyFill="1" applyBorder="1" applyAlignment="1">
      <alignment horizontal="center" vertical="center" wrapText="1" readingOrder="2"/>
    </xf>
    <xf numFmtId="0" fontId="8" fillId="3" borderId="36" xfId="1" applyFont="1" applyFill="1" applyBorder="1" applyAlignment="1">
      <alignment horizontal="center" vertical="center" wrapText="1" readingOrder="2"/>
    </xf>
    <xf numFmtId="0" fontId="8" fillId="3" borderId="137" xfId="1" applyFont="1" applyFill="1" applyBorder="1" applyAlignment="1">
      <alignment horizontal="center" vertical="center" wrapText="1" readingOrder="2"/>
    </xf>
    <xf numFmtId="0" fontId="7" fillId="0" borderId="39" xfId="1" applyFont="1" applyBorder="1" applyAlignment="1">
      <alignment horizontal="right" vertical="top" wrapText="1" readingOrder="2"/>
    </xf>
    <xf numFmtId="0" fontId="7" fillId="0" borderId="40" xfId="1" applyFont="1" applyBorder="1" applyAlignment="1">
      <alignment horizontal="right" vertical="top" wrapText="1" readingOrder="2"/>
    </xf>
    <xf numFmtId="0" fontId="7" fillId="0" borderId="45" xfId="1" applyFont="1" applyBorder="1" applyAlignment="1">
      <alignment horizontal="right" vertical="top" wrapText="1" readingOrder="2"/>
    </xf>
    <xf numFmtId="0" fontId="7" fillId="0" borderId="46" xfId="1" applyFont="1" applyBorder="1" applyAlignment="1">
      <alignment horizontal="right" vertical="top" wrapText="1" readingOrder="2"/>
    </xf>
    <xf numFmtId="0" fontId="7" fillId="0" borderId="47" xfId="1" applyFont="1" applyBorder="1" applyAlignment="1">
      <alignment horizontal="right" vertical="top" wrapText="1" readingOrder="2"/>
    </xf>
    <xf numFmtId="0" fontId="7" fillId="0" borderId="74" xfId="1" applyFont="1" applyBorder="1" applyAlignment="1">
      <alignment horizontal="right" vertical="center" wrapText="1" readingOrder="2"/>
    </xf>
    <xf numFmtId="0" fontId="7" fillId="0" borderId="0" xfId="1" applyFont="1" applyAlignment="1">
      <alignment horizontal="right" vertical="center" wrapText="1" readingOrder="2"/>
    </xf>
    <xf numFmtId="0" fontId="7" fillId="0" borderId="65" xfId="1" applyFont="1" applyBorder="1" applyAlignment="1">
      <alignment horizontal="right" vertical="center" wrapText="1" readingOrder="2"/>
    </xf>
    <xf numFmtId="0" fontId="7" fillId="0" borderId="67" xfId="1" applyFont="1" applyBorder="1" applyAlignment="1">
      <alignment horizontal="right" vertical="center" wrapText="1" readingOrder="2"/>
    </xf>
    <xf numFmtId="0" fontId="7" fillId="0" borderId="69" xfId="1" applyFont="1" applyBorder="1" applyAlignment="1">
      <alignment horizontal="right" vertical="center" wrapText="1" readingOrder="2"/>
    </xf>
    <xf numFmtId="0" fontId="7" fillId="0" borderId="70" xfId="1" applyFont="1" applyBorder="1" applyAlignment="1">
      <alignment horizontal="right" vertical="center" wrapText="1" readingOrder="2"/>
    </xf>
    <xf numFmtId="0" fontId="7" fillId="0" borderId="121" xfId="1" applyFont="1" applyBorder="1" applyAlignment="1">
      <alignment horizontal="right" vertical="center" wrapText="1" readingOrder="2"/>
    </xf>
    <xf numFmtId="0" fontId="7" fillId="2" borderId="126" xfId="1" applyFont="1" applyFill="1" applyBorder="1" applyAlignment="1">
      <alignment horizontal="center" vertical="center" textRotation="90" readingOrder="2"/>
    </xf>
    <xf numFmtId="0" fontId="7" fillId="2" borderId="130" xfId="1" applyFont="1" applyFill="1" applyBorder="1" applyAlignment="1">
      <alignment horizontal="center" vertical="center" textRotation="90" readingOrder="2"/>
    </xf>
    <xf numFmtId="0" fontId="7" fillId="2" borderId="127" xfId="1" applyFont="1" applyFill="1" applyBorder="1" applyAlignment="1">
      <alignment horizontal="center" vertical="center" readingOrder="2"/>
    </xf>
    <xf numFmtId="0" fontId="7" fillId="2" borderId="132" xfId="1" applyFont="1" applyFill="1" applyBorder="1" applyAlignment="1">
      <alignment horizontal="center" vertical="center" readingOrder="2"/>
    </xf>
    <xf numFmtId="0" fontId="7" fillId="2" borderId="128" xfId="1" applyFont="1" applyFill="1" applyBorder="1" applyAlignment="1">
      <alignment horizontal="center" vertical="center" wrapText="1" readingOrder="2"/>
    </xf>
    <xf numFmtId="0" fontId="7" fillId="2" borderId="133" xfId="1" applyFont="1" applyFill="1" applyBorder="1" applyAlignment="1">
      <alignment horizontal="center" vertical="center" readingOrder="2"/>
    </xf>
    <xf numFmtId="0" fontId="7" fillId="2" borderId="128" xfId="1" applyFont="1" applyFill="1" applyBorder="1" applyAlignment="1">
      <alignment horizontal="center" vertical="center" readingOrder="2"/>
    </xf>
    <xf numFmtId="0" fontId="8" fillId="0" borderId="44" xfId="0" applyFont="1" applyBorder="1" applyAlignment="1">
      <alignment horizontal="right" vertical="center" readingOrder="2"/>
    </xf>
    <xf numFmtId="0" fontId="8" fillId="0" borderId="42" xfId="0" applyFont="1" applyBorder="1" applyAlignment="1">
      <alignment horizontal="right" vertical="center" readingOrder="2"/>
    </xf>
    <xf numFmtId="0" fontId="8" fillId="0" borderId="43" xfId="0" applyFont="1" applyBorder="1" applyAlignment="1">
      <alignment horizontal="right" vertical="center" readingOrder="2"/>
    </xf>
    <xf numFmtId="0" fontId="34" fillId="0" borderId="17" xfId="1" applyFont="1" applyBorder="1" applyAlignment="1">
      <alignment horizontal="right" vertical="center" wrapText="1" readingOrder="2"/>
    </xf>
    <xf numFmtId="0" fontId="7" fillId="0" borderId="15" xfId="1" applyFont="1" applyBorder="1" applyAlignment="1">
      <alignment horizontal="right" vertical="center" wrapText="1" readingOrder="2"/>
    </xf>
    <xf numFmtId="0" fontId="7" fillId="0" borderId="125" xfId="1" applyFont="1" applyBorder="1" applyAlignment="1">
      <alignment horizontal="right" vertical="center" wrapText="1" readingOrder="2"/>
    </xf>
    <xf numFmtId="0" fontId="5" fillId="3" borderId="13" xfId="0" applyFont="1" applyFill="1" applyBorder="1" applyAlignment="1">
      <alignment horizontal="right" vertical="center" readingOrder="2"/>
    </xf>
    <xf numFmtId="0" fontId="5" fillId="3" borderId="44" xfId="0" applyFont="1" applyFill="1" applyBorder="1" applyAlignment="1">
      <alignment horizontal="right" vertical="center" wrapText="1" readingOrder="2"/>
    </xf>
    <xf numFmtId="0" fontId="5" fillId="3" borderId="42" xfId="0" applyFont="1" applyFill="1" applyBorder="1" applyAlignment="1">
      <alignment horizontal="right" vertical="center" readingOrder="2"/>
    </xf>
    <xf numFmtId="0" fontId="5" fillId="3" borderId="43" xfId="0" applyFont="1" applyFill="1" applyBorder="1" applyAlignment="1">
      <alignment horizontal="right" vertical="center" readingOrder="2"/>
    </xf>
    <xf numFmtId="0" fontId="5" fillId="3" borderId="42" xfId="0" applyFont="1" applyFill="1" applyBorder="1" applyAlignment="1">
      <alignment horizontal="right" vertical="center" wrapText="1" readingOrder="2"/>
    </xf>
    <xf numFmtId="0" fontId="5" fillId="3" borderId="43" xfId="0" applyFont="1" applyFill="1" applyBorder="1" applyAlignment="1">
      <alignment horizontal="right" vertical="center" wrapText="1" readingOrder="2"/>
    </xf>
    <xf numFmtId="0" fontId="5" fillId="3" borderId="44" xfId="0" applyFont="1" applyFill="1" applyBorder="1" applyAlignment="1">
      <alignment horizontal="right" vertical="center" readingOrder="2"/>
    </xf>
    <xf numFmtId="0" fontId="5" fillId="5" borderId="13" xfId="0" applyFont="1" applyFill="1" applyBorder="1" applyAlignment="1">
      <alignment horizontal="right" vertical="center" readingOrder="2"/>
    </xf>
    <xf numFmtId="0" fontId="8" fillId="3" borderId="5" xfId="0" applyFont="1" applyFill="1" applyBorder="1" applyAlignment="1">
      <alignment horizontal="center" vertical="center" readingOrder="2"/>
    </xf>
    <xf numFmtId="0" fontId="5" fillId="3" borderId="5" xfId="0" applyFont="1" applyFill="1" applyBorder="1" applyAlignment="1">
      <alignment horizontal="right" vertical="center" readingOrder="2"/>
    </xf>
    <xf numFmtId="0" fontId="44" fillId="2" borderId="7" xfId="1" applyFont="1" applyFill="1" applyBorder="1" applyAlignment="1">
      <alignment horizontal="center" vertical="center" readingOrder="2"/>
    </xf>
    <xf numFmtId="0" fontId="44" fillId="2" borderId="8" xfId="1" applyFont="1" applyFill="1" applyBorder="1" applyAlignment="1">
      <alignment horizontal="center" vertical="center" readingOrder="2"/>
    </xf>
    <xf numFmtId="0" fontId="44" fillId="2" borderId="9" xfId="1" applyFont="1" applyFill="1" applyBorder="1" applyAlignment="1">
      <alignment horizontal="center" vertical="center" readingOrder="2"/>
    </xf>
    <xf numFmtId="0" fontId="44" fillId="2" borderId="20" xfId="1" applyFont="1" applyFill="1" applyBorder="1" applyAlignment="1">
      <alignment horizontal="center" vertical="center" readingOrder="2"/>
    </xf>
    <xf numFmtId="0" fontId="44" fillId="2" borderId="0" xfId="1" applyFont="1" applyFill="1" applyAlignment="1">
      <alignment horizontal="center" vertical="center" readingOrder="2"/>
    </xf>
    <xf numFmtId="0" fontId="44" fillId="2" borderId="21" xfId="1" applyFont="1" applyFill="1" applyBorder="1" applyAlignment="1">
      <alignment horizontal="center" vertical="center" readingOrder="2"/>
    </xf>
    <xf numFmtId="0" fontId="44" fillId="2" borderId="24" xfId="1" applyFont="1" applyFill="1" applyBorder="1" applyAlignment="1">
      <alignment horizontal="center" vertical="center" readingOrder="2"/>
    </xf>
    <xf numFmtId="0" fontId="44" fillId="2" borderId="25" xfId="1" applyFont="1" applyFill="1" applyBorder="1" applyAlignment="1">
      <alignment horizontal="center" vertical="center" readingOrder="2"/>
    </xf>
    <xf numFmtId="0" fontId="44" fillId="2" borderId="26" xfId="1" applyFont="1" applyFill="1" applyBorder="1" applyAlignment="1">
      <alignment horizontal="center" vertical="center" readingOrder="2"/>
    </xf>
    <xf numFmtId="0" fontId="41" fillId="2" borderId="18" xfId="1" applyFont="1" applyFill="1" applyBorder="1" applyAlignment="1">
      <alignment horizontal="center" vertical="center" readingOrder="2"/>
    </xf>
    <xf numFmtId="0" fontId="41" fillId="2" borderId="8" xfId="1" applyFont="1" applyFill="1" applyBorder="1" applyAlignment="1">
      <alignment horizontal="center" vertical="center" readingOrder="2"/>
    </xf>
    <xf numFmtId="0" fontId="41" fillId="2" borderId="9" xfId="1" applyFont="1" applyFill="1" applyBorder="1" applyAlignment="1">
      <alignment horizontal="center" vertical="center" readingOrder="2"/>
    </xf>
    <xf numFmtId="0" fontId="41" fillId="2" borderId="22" xfId="1" applyFont="1" applyFill="1" applyBorder="1" applyAlignment="1">
      <alignment horizontal="center" vertical="center" readingOrder="2"/>
    </xf>
    <xf numFmtId="0" fontId="41" fillId="2" borderId="0" xfId="1" applyFont="1" applyFill="1" applyAlignment="1">
      <alignment horizontal="center" vertical="center" readingOrder="2"/>
    </xf>
    <xf numFmtId="0" fontId="41" fillId="2" borderId="21" xfId="1" applyFont="1" applyFill="1" applyBorder="1" applyAlignment="1">
      <alignment horizontal="center" vertical="center" readingOrder="2"/>
    </xf>
    <xf numFmtId="0" fontId="41" fillId="2" borderId="27" xfId="1" applyFont="1" applyFill="1" applyBorder="1" applyAlignment="1">
      <alignment horizontal="center" vertical="center" readingOrder="2"/>
    </xf>
    <xf numFmtId="0" fontId="41" fillId="2" borderId="25" xfId="1" applyFont="1" applyFill="1" applyBorder="1" applyAlignment="1">
      <alignment horizontal="center" vertical="center" readingOrder="2"/>
    </xf>
    <xf numFmtId="0" fontId="41" fillId="2" borderId="26" xfId="1" applyFont="1" applyFill="1" applyBorder="1" applyAlignment="1">
      <alignment horizontal="center" vertical="center" readingOrder="2"/>
    </xf>
    <xf numFmtId="0" fontId="41" fillId="2" borderId="5" xfId="1" applyFont="1" applyFill="1" applyBorder="1" applyAlignment="1">
      <alignment horizontal="center" vertical="center" readingOrder="2"/>
    </xf>
    <xf numFmtId="0" fontId="44" fillId="2" borderId="18" xfId="1" applyFont="1" applyFill="1" applyBorder="1" applyAlignment="1">
      <alignment horizontal="center" vertical="center" wrapText="1" readingOrder="2"/>
    </xf>
    <xf numFmtId="0" fontId="44" fillId="2" borderId="8" xfId="1" applyFont="1" applyFill="1" applyBorder="1" applyAlignment="1">
      <alignment horizontal="center" vertical="center" wrapText="1" readingOrder="2"/>
    </xf>
    <xf numFmtId="0" fontId="44" fillId="2" borderId="9" xfId="1" applyFont="1" applyFill="1" applyBorder="1" applyAlignment="1">
      <alignment horizontal="center" vertical="center" wrapText="1" readingOrder="2"/>
    </xf>
    <xf numFmtId="0" fontId="44" fillId="2" borderId="22" xfId="1" applyFont="1" applyFill="1" applyBorder="1" applyAlignment="1">
      <alignment horizontal="center" vertical="center" wrapText="1" readingOrder="2"/>
    </xf>
    <xf numFmtId="0" fontId="44" fillId="2" borderId="0" xfId="1" applyFont="1" applyFill="1" applyAlignment="1">
      <alignment horizontal="center" vertical="center" wrapText="1" readingOrder="2"/>
    </xf>
    <xf numFmtId="0" fontId="44" fillId="2" borderId="21" xfId="1" applyFont="1" applyFill="1" applyBorder="1" applyAlignment="1">
      <alignment horizontal="center" vertical="center" wrapText="1" readingOrder="2"/>
    </xf>
    <xf numFmtId="0" fontId="44" fillId="2" borderId="27" xfId="1" applyFont="1" applyFill="1" applyBorder="1" applyAlignment="1">
      <alignment horizontal="center" vertical="center" wrapText="1" readingOrder="2"/>
    </xf>
    <xf numFmtId="0" fontId="44" fillId="2" borderId="25" xfId="1" applyFont="1" applyFill="1" applyBorder="1" applyAlignment="1">
      <alignment horizontal="center" vertical="center" wrapText="1" readingOrder="2"/>
    </xf>
    <xf numFmtId="0" fontId="44" fillId="2" borderId="26" xfId="1" applyFont="1" applyFill="1" applyBorder="1" applyAlignment="1">
      <alignment horizontal="center" vertical="center" wrapText="1" readingOrder="2"/>
    </xf>
    <xf numFmtId="0" fontId="40" fillId="3" borderId="5" xfId="0" applyFont="1" applyFill="1" applyBorder="1" applyAlignment="1">
      <alignment horizontal="right" vertical="center" readingOrder="2"/>
    </xf>
    <xf numFmtId="0" fontId="39" fillId="3" borderId="5" xfId="1" applyFont="1" applyFill="1" applyBorder="1" applyAlignment="1">
      <alignment horizontal="center" vertical="center" readingOrder="2"/>
    </xf>
    <xf numFmtId="0" fontId="39" fillId="3" borderId="6" xfId="1" applyFont="1" applyFill="1" applyBorder="1" applyAlignment="1">
      <alignment horizontal="center" vertical="center" readingOrder="2"/>
    </xf>
    <xf numFmtId="0" fontId="44" fillId="2" borderId="14" xfId="1" applyFont="1" applyFill="1" applyBorder="1" applyAlignment="1">
      <alignment horizontal="center" vertical="center" readingOrder="2"/>
    </xf>
    <xf numFmtId="0" fontId="44" fillId="2" borderId="15" xfId="1" applyFont="1" applyFill="1" applyBorder="1" applyAlignment="1">
      <alignment horizontal="center" vertical="center" readingOrder="2"/>
    </xf>
    <xf numFmtId="0" fontId="44" fillId="2" borderId="16" xfId="1" applyFont="1" applyFill="1" applyBorder="1" applyAlignment="1">
      <alignment horizontal="center" vertical="center" readingOrder="2"/>
    </xf>
    <xf numFmtId="0" fontId="44" fillId="2" borderId="5" xfId="1" applyFont="1" applyFill="1" applyBorder="1" applyAlignment="1">
      <alignment horizontal="center" vertical="center" wrapText="1" readingOrder="2"/>
    </xf>
    <xf numFmtId="0" fontId="44" fillId="2" borderId="17" xfId="1" applyFont="1" applyFill="1" applyBorder="1" applyAlignment="1">
      <alignment horizontal="center" vertical="center" wrapText="1" readingOrder="2"/>
    </xf>
    <xf numFmtId="0" fontId="44" fillId="2" borderId="15" xfId="1" applyFont="1" applyFill="1" applyBorder="1" applyAlignment="1">
      <alignment horizontal="center" vertical="center" wrapText="1" readingOrder="2"/>
    </xf>
    <xf numFmtId="0" fontId="44" fillId="2" borderId="16" xfId="1" applyFont="1" applyFill="1" applyBorder="1" applyAlignment="1">
      <alignment horizontal="center" vertical="center" wrapText="1" readingOrder="2"/>
    </xf>
    <xf numFmtId="0" fontId="40" fillId="3" borderId="5" xfId="1" applyFont="1" applyFill="1" applyBorder="1" applyAlignment="1">
      <alignment horizontal="center" vertical="center" readingOrder="2"/>
    </xf>
    <xf numFmtId="0" fontId="40" fillId="3" borderId="6" xfId="1" applyFont="1" applyFill="1" applyBorder="1" applyAlignment="1">
      <alignment horizontal="center" vertical="center" readingOrder="2"/>
    </xf>
    <xf numFmtId="0" fontId="44" fillId="2" borderId="19" xfId="1" applyFont="1" applyFill="1" applyBorder="1" applyAlignment="1">
      <alignment horizontal="center" vertical="center" wrapText="1" readingOrder="2"/>
    </xf>
    <xf numFmtId="0" fontId="44" fillId="2" borderId="23" xfId="1" applyFont="1" applyFill="1" applyBorder="1" applyAlignment="1">
      <alignment horizontal="center" vertical="center" wrapText="1" readingOrder="2"/>
    </xf>
    <xf numFmtId="0" fontId="44" fillId="2" borderId="29" xfId="1" applyFont="1" applyFill="1" applyBorder="1" applyAlignment="1">
      <alignment horizontal="center" vertical="center" wrapText="1" readingOrder="2"/>
    </xf>
    <xf numFmtId="0" fontId="41" fillId="2" borderId="28" xfId="1" applyFont="1" applyFill="1" applyBorder="1" applyAlignment="1">
      <alignment horizontal="center" vertical="center" readingOrder="2"/>
    </xf>
    <xf numFmtId="0" fontId="42" fillId="2" borderId="1" xfId="1" applyFont="1" applyFill="1" applyBorder="1" applyAlignment="1">
      <alignment horizontal="center" vertical="center" readingOrder="2"/>
    </xf>
    <xf numFmtId="0" fontId="42" fillId="2" borderId="2" xfId="1" applyFont="1" applyFill="1" applyBorder="1" applyAlignment="1">
      <alignment horizontal="center" vertical="center" readingOrder="2"/>
    </xf>
    <xf numFmtId="0" fontId="40" fillId="3" borderId="5" xfId="1" applyFont="1" applyFill="1" applyBorder="1" applyAlignment="1">
      <alignment horizontal="center" vertical="center" wrapText="1" readingOrder="2"/>
    </xf>
    <xf numFmtId="0" fontId="40" fillId="3" borderId="6" xfId="1" applyFont="1" applyFill="1" applyBorder="1" applyAlignment="1">
      <alignment horizontal="center" vertical="center" wrapText="1" readingOrder="2"/>
    </xf>
    <xf numFmtId="0" fontId="44" fillId="2" borderId="5" xfId="1" applyFont="1" applyFill="1" applyBorder="1" applyAlignment="1">
      <alignment horizontal="center" vertical="center" readingOrder="2"/>
    </xf>
    <xf numFmtId="0" fontId="44" fillId="2" borderId="6" xfId="1" applyFont="1" applyFill="1" applyBorder="1" applyAlignment="1">
      <alignment horizontal="center" vertical="center" readingOrder="2"/>
    </xf>
    <xf numFmtId="0" fontId="39" fillId="0" borderId="0" xfId="1" applyFont="1" applyAlignment="1">
      <alignment horizontal="center" textRotation="180"/>
    </xf>
    <xf numFmtId="0" fontId="44" fillId="0" borderId="5" xfId="1" applyFont="1" applyBorder="1" applyAlignment="1">
      <alignment horizontal="right" vertical="center" wrapText="1" readingOrder="2"/>
    </xf>
    <xf numFmtId="0" fontId="44" fillId="0" borderId="5" xfId="1" applyFont="1" applyBorder="1" applyAlignment="1">
      <alignment horizontal="right" vertical="center" readingOrder="2"/>
    </xf>
    <xf numFmtId="0" fontId="5" fillId="0" borderId="5" xfId="1" applyFont="1" applyBorder="1" applyAlignment="1">
      <alignment horizontal="right" vertical="top" readingOrder="2"/>
    </xf>
    <xf numFmtId="0" fontId="44" fillId="0" borderId="5" xfId="1" applyFont="1" applyBorder="1" applyAlignment="1">
      <alignment horizontal="right" vertical="top" readingOrder="2"/>
    </xf>
    <xf numFmtId="0" fontId="44" fillId="0" borderId="6" xfId="1" applyFont="1" applyBorder="1" applyAlignment="1">
      <alignment horizontal="right" vertical="top" readingOrder="2"/>
    </xf>
    <xf numFmtId="0" fontId="44" fillId="0" borderId="8" xfId="1" applyFont="1" applyBorder="1" applyAlignment="1">
      <alignment horizontal="right" vertical="center" wrapText="1" readingOrder="2"/>
    </xf>
    <xf numFmtId="0" fontId="44" fillId="0" borderId="9" xfId="1" applyFont="1" applyBorder="1" applyAlignment="1">
      <alignment horizontal="right" vertical="center" wrapText="1" readingOrder="2"/>
    </xf>
    <xf numFmtId="0" fontId="44" fillId="0" borderId="10" xfId="1" applyFont="1" applyBorder="1" applyAlignment="1">
      <alignment horizontal="right" vertical="center" wrapText="1" readingOrder="2"/>
    </xf>
    <xf numFmtId="0" fontId="44" fillId="0" borderId="11" xfId="1" applyFont="1" applyBorder="1" applyAlignment="1">
      <alignment horizontal="right" vertical="center" wrapText="1" readingOrder="2"/>
    </xf>
    <xf numFmtId="0" fontId="44" fillId="0" borderId="12" xfId="1" applyFont="1" applyBorder="1" applyAlignment="1">
      <alignment horizontal="right" vertical="center" wrapText="1" readingOrder="2"/>
    </xf>
    <xf numFmtId="0" fontId="44" fillId="0" borderId="6" xfId="1" applyFont="1" applyBorder="1" applyAlignment="1">
      <alignment horizontal="right" vertical="center" wrapText="1" readingOrder="2"/>
    </xf>
    <xf numFmtId="0" fontId="44" fillId="2" borderId="4" xfId="1" applyFont="1" applyFill="1" applyBorder="1" applyAlignment="1">
      <alignment horizontal="center" vertical="center" textRotation="90" readingOrder="2"/>
    </xf>
    <xf numFmtId="0" fontId="5" fillId="2" borderId="14" xfId="1" applyFont="1" applyFill="1" applyBorder="1" applyAlignment="1">
      <alignment horizontal="center" vertical="center" readingOrder="2"/>
    </xf>
    <xf numFmtId="0" fontId="5" fillId="2" borderId="15" xfId="1" applyFont="1" applyFill="1" applyBorder="1" applyAlignment="1">
      <alignment horizontal="center" vertical="center" readingOrder="2"/>
    </xf>
    <xf numFmtId="0" fontId="5" fillId="2" borderId="16" xfId="1" applyFont="1" applyFill="1" applyBorder="1" applyAlignment="1">
      <alignment horizontal="center" vertical="center" readingOrder="2"/>
    </xf>
    <xf numFmtId="0" fontId="5" fillId="2" borderId="5" xfId="1" applyFont="1" applyFill="1" applyBorder="1" applyAlignment="1">
      <alignment horizontal="center" vertical="center" wrapText="1" readingOrder="2"/>
    </xf>
    <xf numFmtId="0" fontId="5" fillId="2" borderId="17" xfId="1" applyFont="1" applyFill="1" applyBorder="1" applyAlignment="1">
      <alignment horizontal="center" vertical="center" wrapText="1" readingOrder="2"/>
    </xf>
    <xf numFmtId="0" fontId="5" fillId="2" borderId="15" xfId="1" applyFont="1" applyFill="1" applyBorder="1" applyAlignment="1">
      <alignment horizontal="center" vertical="center" wrapText="1" readingOrder="2"/>
    </xf>
    <xf numFmtId="0" fontId="5" fillId="2" borderId="16" xfId="1" applyFont="1" applyFill="1" applyBorder="1" applyAlignment="1">
      <alignment horizontal="center" vertical="center" wrapText="1" readingOrder="2"/>
    </xf>
    <xf numFmtId="0" fontId="5" fillId="2" borderId="7" xfId="1" applyFont="1" applyFill="1" applyBorder="1" applyAlignment="1">
      <alignment horizontal="center" vertical="center" readingOrder="2"/>
    </xf>
    <xf numFmtId="0" fontId="5" fillId="2" borderId="8" xfId="1" applyFont="1" applyFill="1" applyBorder="1" applyAlignment="1">
      <alignment horizontal="center" vertical="center" readingOrder="2"/>
    </xf>
    <xf numFmtId="0" fontId="5" fillId="2" borderId="9" xfId="1" applyFont="1" applyFill="1" applyBorder="1" applyAlignment="1">
      <alignment horizontal="center" vertical="center" readingOrder="2"/>
    </xf>
    <xf numFmtId="0" fontId="5" fillId="2" borderId="20" xfId="1" applyFont="1" applyFill="1" applyBorder="1" applyAlignment="1">
      <alignment horizontal="center" vertical="center" readingOrder="2"/>
    </xf>
    <xf numFmtId="0" fontId="5" fillId="2" borderId="21" xfId="1" applyFont="1" applyFill="1" applyBorder="1" applyAlignment="1">
      <alignment horizontal="center" vertical="center" readingOrder="2"/>
    </xf>
    <xf numFmtId="0" fontId="5" fillId="2" borderId="24" xfId="1" applyFont="1" applyFill="1" applyBorder="1" applyAlignment="1">
      <alignment horizontal="center" vertical="center" readingOrder="2"/>
    </xf>
    <xf numFmtId="0" fontId="5" fillId="2" borderId="25" xfId="1" applyFont="1" applyFill="1" applyBorder="1" applyAlignment="1">
      <alignment horizontal="center" vertical="center" readingOrder="2"/>
    </xf>
    <xf numFmtId="0" fontId="5" fillId="2" borderId="26" xfId="1" applyFont="1" applyFill="1" applyBorder="1" applyAlignment="1">
      <alignment horizontal="center" vertical="center" readingOrder="2"/>
    </xf>
    <xf numFmtId="0" fontId="8" fillId="2" borderId="18" xfId="1" applyFont="1" applyFill="1" applyBorder="1" applyAlignment="1">
      <alignment horizontal="center" vertical="center" readingOrder="2"/>
    </xf>
    <xf numFmtId="0" fontId="8" fillId="2" borderId="8" xfId="1" applyFont="1" applyFill="1" applyBorder="1" applyAlignment="1">
      <alignment horizontal="center" vertical="center" readingOrder="2"/>
    </xf>
    <xf numFmtId="0" fontId="8" fillId="2" borderId="9" xfId="1" applyFont="1" applyFill="1" applyBorder="1" applyAlignment="1">
      <alignment horizontal="center" vertical="center" readingOrder="2"/>
    </xf>
    <xf numFmtId="0" fontId="8" fillId="2" borderId="22" xfId="1" applyFont="1" applyFill="1" applyBorder="1" applyAlignment="1">
      <alignment horizontal="center" vertical="center" readingOrder="2"/>
    </xf>
    <xf numFmtId="0" fontId="8" fillId="2" borderId="21" xfId="1" applyFont="1" applyFill="1" applyBorder="1" applyAlignment="1">
      <alignment horizontal="center" vertical="center" readingOrder="2"/>
    </xf>
    <xf numFmtId="0" fontId="8" fillId="2" borderId="27" xfId="1" applyFont="1" applyFill="1" applyBorder="1" applyAlignment="1">
      <alignment horizontal="center" vertical="center" readingOrder="2"/>
    </xf>
    <xf numFmtId="0" fontId="8" fillId="2" borderId="25" xfId="1" applyFont="1" applyFill="1" applyBorder="1" applyAlignment="1">
      <alignment horizontal="center" vertical="center" readingOrder="2"/>
    </xf>
    <xf numFmtId="0" fontId="8" fillId="2" borderId="26" xfId="1" applyFont="1" applyFill="1" applyBorder="1" applyAlignment="1">
      <alignment horizontal="center" vertical="center" readingOrder="2"/>
    </xf>
    <xf numFmtId="0" fontId="5" fillId="2" borderId="5" xfId="1" applyFont="1" applyFill="1" applyBorder="1" applyAlignment="1">
      <alignment horizontal="center" vertical="center" readingOrder="2"/>
    </xf>
    <xf numFmtId="0" fontId="5" fillId="2" borderId="6" xfId="1" applyFont="1" applyFill="1" applyBorder="1" applyAlignment="1">
      <alignment horizontal="center" vertical="center" readingOrder="2"/>
    </xf>
    <xf numFmtId="0" fontId="8" fillId="2" borderId="5" xfId="1" applyFont="1" applyFill="1" applyBorder="1" applyAlignment="1">
      <alignment horizontal="center" vertical="center" readingOrder="2"/>
    </xf>
    <xf numFmtId="0" fontId="5" fillId="2" borderId="18" xfId="1" applyFont="1" applyFill="1" applyBorder="1" applyAlignment="1">
      <alignment horizontal="center" vertical="center" wrapText="1" readingOrder="2"/>
    </xf>
    <xf numFmtId="0" fontId="5" fillId="2" borderId="8" xfId="1" applyFont="1" applyFill="1" applyBorder="1" applyAlignment="1">
      <alignment horizontal="center" vertical="center" wrapText="1" readingOrder="2"/>
    </xf>
    <xf numFmtId="0" fontId="5" fillId="2" borderId="9" xfId="1" applyFont="1" applyFill="1" applyBorder="1" applyAlignment="1">
      <alignment horizontal="center" vertical="center" wrapText="1" readingOrder="2"/>
    </xf>
    <xf numFmtId="0" fontId="5" fillId="2" borderId="22" xfId="1" applyFont="1" applyFill="1" applyBorder="1" applyAlignment="1">
      <alignment horizontal="center" vertical="center" wrapText="1" readingOrder="2"/>
    </xf>
    <xf numFmtId="0" fontId="5" fillId="2" borderId="21" xfId="1" applyFont="1" applyFill="1" applyBorder="1" applyAlignment="1">
      <alignment horizontal="center" vertical="center" wrapText="1" readingOrder="2"/>
    </xf>
    <xf numFmtId="0" fontId="5" fillId="2" borderId="27" xfId="1" applyFont="1" applyFill="1" applyBorder="1" applyAlignment="1">
      <alignment horizontal="center" vertical="center" wrapText="1" readingOrder="2"/>
    </xf>
    <xf numFmtId="0" fontId="5" fillId="2" borderId="25" xfId="1" applyFont="1" applyFill="1" applyBorder="1" applyAlignment="1">
      <alignment horizontal="center" vertical="center" wrapText="1" readingOrder="2"/>
    </xf>
    <xf numFmtId="0" fontId="5" fillId="2" borderId="26" xfId="1" applyFont="1" applyFill="1" applyBorder="1" applyAlignment="1">
      <alignment horizontal="center" vertical="center" wrapText="1" readingOrder="2"/>
    </xf>
    <xf numFmtId="0" fontId="5" fillId="2" borderId="19" xfId="1" applyFont="1" applyFill="1" applyBorder="1" applyAlignment="1">
      <alignment horizontal="center" vertical="center" wrapText="1" readingOrder="2"/>
    </xf>
    <xf numFmtId="0" fontId="5" fillId="2" borderId="23" xfId="1" applyFont="1" applyFill="1" applyBorder="1" applyAlignment="1">
      <alignment horizontal="center" vertical="center" wrapText="1" readingOrder="2"/>
    </xf>
    <xf numFmtId="0" fontId="5" fillId="2" borderId="29" xfId="1" applyFont="1" applyFill="1" applyBorder="1" applyAlignment="1">
      <alignment horizontal="center" vertical="center" wrapText="1" readingOrder="2"/>
    </xf>
    <xf numFmtId="0" fontId="8" fillId="2" borderId="28" xfId="1" applyFont="1" applyFill="1" applyBorder="1" applyAlignment="1">
      <alignment horizontal="center" vertical="center" readingOrder="2"/>
    </xf>
    <xf numFmtId="0" fontId="38" fillId="2" borderId="1" xfId="1" applyFont="1" applyFill="1" applyBorder="1" applyAlignment="1">
      <alignment horizontal="center" vertical="center" readingOrder="2"/>
    </xf>
    <xf numFmtId="0" fontId="38" fillId="2" borderId="2" xfId="1" applyFont="1" applyFill="1" applyBorder="1" applyAlignment="1">
      <alignment horizontal="center" vertical="center" readingOrder="2"/>
    </xf>
    <xf numFmtId="0" fontId="8" fillId="0" borderId="4" xfId="1" applyFont="1" applyBorder="1" applyAlignment="1">
      <alignment horizontal="center" readingOrder="2"/>
    </xf>
    <xf numFmtId="0" fontId="8" fillId="0" borderId="5" xfId="1" applyFont="1" applyBorder="1" applyAlignment="1">
      <alignment horizontal="center" readingOrder="2"/>
    </xf>
    <xf numFmtId="0" fontId="8" fillId="0" borderId="6" xfId="1" applyFont="1" applyBorder="1" applyAlignment="1">
      <alignment horizontal="center" readingOrder="2"/>
    </xf>
    <xf numFmtId="0" fontId="5" fillId="0" borderId="4" xfId="1" applyFont="1" applyBorder="1" applyAlignment="1">
      <alignment horizontal="right" vertical="center" wrapText="1" readingOrder="2"/>
    </xf>
    <xf numFmtId="0" fontId="5" fillId="0" borderId="5" xfId="1" applyFont="1" applyBorder="1" applyAlignment="1">
      <alignment horizontal="right" vertical="center" wrapText="1" readingOrder="2"/>
    </xf>
    <xf numFmtId="0" fontId="5" fillId="0" borderId="5" xfId="1" applyFont="1" applyBorder="1" applyAlignment="1">
      <alignment horizontal="right" vertical="center" readingOrder="2"/>
    </xf>
    <xf numFmtId="0" fontId="5" fillId="0" borderId="6" xfId="1" applyFont="1" applyBorder="1" applyAlignment="1">
      <alignment horizontal="right" vertical="top" readingOrder="2"/>
    </xf>
    <xf numFmtId="0" fontId="5" fillId="0" borderId="7" xfId="1" applyFont="1" applyBorder="1" applyAlignment="1">
      <alignment horizontal="right" vertical="center" wrapText="1" readingOrder="2"/>
    </xf>
    <xf numFmtId="0" fontId="5" fillId="0" borderId="8" xfId="1" applyFont="1" applyBorder="1" applyAlignment="1">
      <alignment horizontal="right" vertical="center" wrapText="1" readingOrder="2"/>
    </xf>
    <xf numFmtId="0" fontId="5" fillId="0" borderId="9" xfId="1" applyFont="1" applyBorder="1" applyAlignment="1">
      <alignment horizontal="right" vertical="center" wrapText="1" readingOrder="2"/>
    </xf>
    <xf numFmtId="0" fontId="5" fillId="0" borderId="10" xfId="1" applyFont="1" applyBorder="1" applyAlignment="1">
      <alignment horizontal="right" vertical="center" wrapText="1" readingOrder="2"/>
    </xf>
    <xf numFmtId="0" fontId="5" fillId="0" borderId="11" xfId="1" applyFont="1" applyBorder="1" applyAlignment="1">
      <alignment horizontal="right" vertical="center" wrapText="1" readingOrder="2"/>
    </xf>
    <xf numFmtId="0" fontId="5" fillId="0" borderId="12" xfId="1" applyFont="1" applyBorder="1" applyAlignment="1">
      <alignment horizontal="right" vertical="center" wrapText="1" readingOrder="2"/>
    </xf>
    <xf numFmtId="0" fontId="5" fillId="0" borderId="6" xfId="1" applyFont="1" applyBorder="1" applyAlignment="1">
      <alignment horizontal="right" vertical="center" wrapText="1" readingOrder="2"/>
    </xf>
    <xf numFmtId="0" fontId="5" fillId="2" borderId="4" xfId="1" applyFont="1" applyFill="1" applyBorder="1" applyAlignment="1">
      <alignment horizontal="center" vertical="center" textRotation="90" readingOrder="2"/>
    </xf>
    <xf numFmtId="0" fontId="16" fillId="3" borderId="5" xfId="0" applyFont="1" applyFill="1" applyBorder="1" applyAlignment="1">
      <alignment horizontal="right" vertical="center" wrapText="1" readingOrder="2"/>
    </xf>
    <xf numFmtId="0" fontId="12" fillId="2" borderId="5" xfId="1" applyFont="1" applyFill="1" applyBorder="1" applyAlignment="1">
      <alignment horizontal="center" vertical="center" wrapText="1" readingOrder="2"/>
    </xf>
    <xf numFmtId="0" fontId="12" fillId="2" borderId="28" xfId="1" applyFont="1" applyFill="1" applyBorder="1" applyAlignment="1">
      <alignment horizontal="center" vertical="center" wrapText="1" readingOrder="2"/>
    </xf>
    <xf numFmtId="0" fontId="7" fillId="2" borderId="14" xfId="1" applyFont="1" applyFill="1" applyBorder="1" applyAlignment="1">
      <alignment horizontal="center" vertical="center" wrapText="1" readingOrder="2"/>
    </xf>
    <xf numFmtId="0" fontId="7" fillId="2" borderId="7" xfId="1" applyFont="1" applyFill="1" applyBorder="1" applyAlignment="1">
      <alignment horizontal="center" vertical="center" wrapText="1" readingOrder="2"/>
    </xf>
    <xf numFmtId="0" fontId="7" fillId="2" borderId="20" xfId="1" applyFont="1" applyFill="1" applyBorder="1" applyAlignment="1">
      <alignment horizontal="center" vertical="center" wrapText="1" readingOrder="2"/>
    </xf>
    <xf numFmtId="0" fontId="7" fillId="2" borderId="24" xfId="1" applyFont="1" applyFill="1" applyBorder="1" applyAlignment="1">
      <alignment horizontal="center" vertical="center" wrapText="1" readingOrder="2"/>
    </xf>
    <xf numFmtId="0" fontId="12" fillId="2" borderId="18" xfId="1" applyFont="1" applyFill="1" applyBorder="1" applyAlignment="1">
      <alignment horizontal="center" vertical="center" wrapText="1" readingOrder="2"/>
    </xf>
    <xf numFmtId="0" fontId="12" fillId="2" borderId="8" xfId="1" applyFont="1" applyFill="1" applyBorder="1" applyAlignment="1">
      <alignment horizontal="center" vertical="center" wrapText="1" readingOrder="2"/>
    </xf>
    <xf numFmtId="0" fontId="12" fillId="2" borderId="9" xfId="1" applyFont="1" applyFill="1" applyBorder="1" applyAlignment="1">
      <alignment horizontal="center" vertical="center" wrapText="1" readingOrder="2"/>
    </xf>
    <xf numFmtId="0" fontId="12" fillId="2" borderId="22" xfId="1" applyFont="1" applyFill="1" applyBorder="1" applyAlignment="1">
      <alignment horizontal="center" vertical="center" wrapText="1" readingOrder="2"/>
    </xf>
    <xf numFmtId="0" fontId="12" fillId="2" borderId="0" xfId="1" applyFont="1" applyFill="1" applyAlignment="1">
      <alignment horizontal="center" vertical="center" wrapText="1" readingOrder="2"/>
    </xf>
    <xf numFmtId="0" fontId="12" fillId="2" borderId="21" xfId="1" applyFont="1" applyFill="1" applyBorder="1" applyAlignment="1">
      <alignment horizontal="center" vertical="center" wrapText="1" readingOrder="2"/>
    </xf>
    <xf numFmtId="0" fontId="12" fillId="2" borderId="27" xfId="1" applyFont="1" applyFill="1" applyBorder="1" applyAlignment="1">
      <alignment horizontal="center" vertical="center" wrapText="1" readingOrder="2"/>
    </xf>
    <xf numFmtId="0" fontId="12" fillId="2" borderId="25" xfId="1" applyFont="1" applyFill="1" applyBorder="1" applyAlignment="1">
      <alignment horizontal="center" vertical="center" wrapText="1" readingOrder="2"/>
    </xf>
    <xf numFmtId="0" fontId="12" fillId="2" borderId="26" xfId="1" applyFont="1" applyFill="1" applyBorder="1" applyAlignment="1">
      <alignment horizontal="center" vertical="center" wrapText="1" readingOrder="2"/>
    </xf>
    <xf numFmtId="0" fontId="7" fillId="2" borderId="4" xfId="1" applyFont="1" applyFill="1" applyBorder="1" applyAlignment="1">
      <alignment horizontal="center" vertical="center" textRotation="90" wrapText="1" readingOrder="2"/>
    </xf>
    <xf numFmtId="0" fontId="5" fillId="3" borderId="17" xfId="0" applyFont="1" applyFill="1" applyBorder="1" applyAlignment="1">
      <alignment horizontal="right" vertical="center" readingOrder="2"/>
    </xf>
    <xf numFmtId="0" fontId="5" fillId="3" borderId="15" xfId="0" applyFont="1" applyFill="1" applyBorder="1" applyAlignment="1">
      <alignment horizontal="right" vertical="center" readingOrder="2"/>
    </xf>
    <xf numFmtId="0" fontId="5" fillId="3" borderId="16" xfId="0" applyFont="1" applyFill="1" applyBorder="1" applyAlignment="1">
      <alignment horizontal="right" vertical="center" readingOrder="2"/>
    </xf>
    <xf numFmtId="0" fontId="34" fillId="0" borderId="5" xfId="1" applyFont="1" applyBorder="1" applyAlignment="1">
      <alignment horizontal="right" vertical="top" wrapText="1" readingOrder="2"/>
    </xf>
    <xf numFmtId="0" fontId="35" fillId="0" borderId="5" xfId="1" applyFont="1" applyBorder="1" applyAlignment="1">
      <alignment horizontal="right" vertical="top" readingOrder="2"/>
    </xf>
    <xf numFmtId="0" fontId="35" fillId="0" borderId="6" xfId="1" applyFont="1" applyBorder="1" applyAlignment="1">
      <alignment horizontal="right" vertical="top" readingOrder="2"/>
    </xf>
    <xf numFmtId="0" fontId="8" fillId="0" borderId="17" xfId="1" applyFont="1" applyBorder="1" applyAlignment="1">
      <alignment horizontal="right" vertical="center" readingOrder="2"/>
    </xf>
    <xf numFmtId="0" fontId="8" fillId="0" borderId="15" xfId="1" applyFont="1" applyBorder="1" applyAlignment="1">
      <alignment horizontal="right" vertical="center" readingOrder="2"/>
    </xf>
    <xf numFmtId="0" fontId="8" fillId="0" borderId="16" xfId="1" applyFont="1" applyBorder="1" applyAlignment="1">
      <alignment horizontal="right" vertical="center" readingOrder="2"/>
    </xf>
    <xf numFmtId="0" fontId="7" fillId="2" borderId="17" xfId="0" applyFont="1" applyFill="1" applyBorder="1" applyAlignment="1">
      <alignment horizontal="right" readingOrder="2"/>
    </xf>
    <xf numFmtId="0" fontId="5" fillId="2" borderId="15" xfId="0" applyFont="1" applyFill="1" applyBorder="1" applyAlignment="1">
      <alignment horizontal="right" readingOrder="2"/>
    </xf>
    <xf numFmtId="0" fontId="5" fillId="2" borderId="16" xfId="0" applyFont="1" applyFill="1" applyBorder="1" applyAlignment="1">
      <alignment horizontal="right" readingOrder="2"/>
    </xf>
    <xf numFmtId="0" fontId="8" fillId="3" borderId="17" xfId="0" applyFont="1" applyFill="1" applyBorder="1" applyAlignment="1">
      <alignment horizontal="right" readingOrder="2"/>
    </xf>
    <xf numFmtId="0" fontId="8" fillId="3" borderId="15" xfId="0" applyFont="1" applyFill="1" applyBorder="1" applyAlignment="1">
      <alignment horizontal="right" readingOrder="2"/>
    </xf>
    <xf numFmtId="0" fontId="5" fillId="2" borderId="5" xfId="0" applyFont="1" applyFill="1" applyBorder="1" applyAlignment="1">
      <alignment horizontal="right" vertical="center" readingOrder="2"/>
    </xf>
    <xf numFmtId="0" fontId="7" fillId="2" borderId="17" xfId="1" applyFont="1" applyFill="1" applyBorder="1" applyAlignment="1">
      <alignment horizontal="right" vertical="center" readingOrder="2"/>
    </xf>
    <xf numFmtId="0" fontId="7" fillId="2" borderId="15" xfId="1" applyFont="1" applyFill="1" applyBorder="1" applyAlignment="1">
      <alignment horizontal="right" vertical="center" readingOrder="2"/>
    </xf>
    <xf numFmtId="0" fontId="7" fillId="2" borderId="16" xfId="1" applyFont="1" applyFill="1" applyBorder="1" applyAlignment="1">
      <alignment horizontal="right" vertical="center" readingOrder="2"/>
    </xf>
    <xf numFmtId="0" fontId="8" fillId="3" borderId="16" xfId="0" applyFont="1" applyFill="1" applyBorder="1" applyAlignment="1">
      <alignment horizontal="right" readingOrder="2"/>
    </xf>
    <xf numFmtId="0" fontId="24" fillId="0" borderId="71" xfId="1" applyFont="1" applyBorder="1" applyAlignment="1">
      <alignment horizontal="center" vertical="center" readingOrder="2"/>
    </xf>
    <xf numFmtId="0" fontId="24" fillId="0" borderId="39" xfId="1" applyFont="1" applyBorder="1" applyAlignment="1">
      <alignment horizontal="center" vertical="center" readingOrder="2"/>
    </xf>
    <xf numFmtId="0" fontId="24" fillId="0" borderId="40" xfId="1" applyFont="1" applyBorder="1" applyAlignment="1">
      <alignment horizontal="center" vertical="center" readingOrder="2"/>
    </xf>
    <xf numFmtId="0" fontId="24" fillId="0" borderId="78" xfId="1" applyFont="1" applyBorder="1" applyAlignment="1">
      <alignment horizontal="center" vertical="center" readingOrder="2"/>
    </xf>
    <xf numFmtId="0" fontId="24" fillId="0" borderId="34" xfId="1" applyFont="1" applyBorder="1" applyAlignment="1">
      <alignment horizontal="center" vertical="center" readingOrder="2"/>
    </xf>
    <xf numFmtId="0" fontId="24" fillId="0" borderId="77" xfId="1" applyFont="1" applyBorder="1" applyAlignment="1">
      <alignment horizontal="center" vertical="center" readingOrder="2"/>
    </xf>
    <xf numFmtId="0" fontId="25" fillId="0" borderId="35" xfId="1" applyFont="1" applyBorder="1" applyAlignment="1">
      <alignment horizontal="right" vertical="center" wrapText="1" readingOrder="2"/>
    </xf>
    <xf numFmtId="0" fontId="25" fillId="0" borderId="36" xfId="1" applyFont="1" applyBorder="1" applyAlignment="1">
      <alignment horizontal="right" vertical="center" wrapText="1" readingOrder="2"/>
    </xf>
    <xf numFmtId="0" fontId="25" fillId="0" borderId="37" xfId="1" applyFont="1" applyBorder="1" applyAlignment="1">
      <alignment horizontal="right" vertical="center" wrapText="1" readingOrder="2"/>
    </xf>
    <xf numFmtId="0" fontId="25" fillId="0" borderId="38" xfId="1" applyFont="1" applyBorder="1" applyAlignment="1">
      <alignment horizontal="right" vertical="center" readingOrder="2"/>
    </xf>
    <xf numFmtId="0" fontId="25" fillId="0" borderId="39" xfId="1" applyFont="1" applyBorder="1" applyAlignment="1">
      <alignment horizontal="right" vertical="center" readingOrder="2"/>
    </xf>
    <xf numFmtId="0" fontId="25" fillId="0" borderId="38" xfId="1" applyFont="1" applyBorder="1" applyAlignment="1">
      <alignment horizontal="right" vertical="top" readingOrder="2"/>
    </xf>
    <xf numFmtId="0" fontId="25" fillId="0" borderId="39" xfId="1" applyFont="1" applyBorder="1" applyAlignment="1">
      <alignment horizontal="right" vertical="top" readingOrder="2"/>
    </xf>
    <xf numFmtId="0" fontId="25" fillId="0" borderId="40" xfId="1" applyFont="1" applyBorder="1" applyAlignment="1">
      <alignment horizontal="right" vertical="top" readingOrder="2"/>
    </xf>
    <xf numFmtId="0" fontId="25" fillId="0" borderId="45" xfId="1" applyFont="1" applyBorder="1" applyAlignment="1">
      <alignment horizontal="right" vertical="top" readingOrder="2"/>
    </xf>
    <xf numFmtId="0" fontId="25" fillId="0" borderId="46" xfId="1" applyFont="1" applyBorder="1" applyAlignment="1">
      <alignment horizontal="right" vertical="top" readingOrder="2"/>
    </xf>
    <xf numFmtId="0" fontId="25" fillId="0" borderId="47" xfId="1" applyFont="1" applyBorder="1" applyAlignment="1">
      <alignment horizontal="right" vertical="top" readingOrder="2"/>
    </xf>
    <xf numFmtId="0" fontId="25" fillId="0" borderId="41" xfId="1" applyFont="1" applyBorder="1" applyAlignment="1">
      <alignment horizontal="right" vertical="center" wrapText="1" readingOrder="2"/>
    </xf>
    <xf numFmtId="0" fontId="25" fillId="0" borderId="42" xfId="1" applyFont="1" applyBorder="1" applyAlignment="1">
      <alignment horizontal="right" vertical="center" wrapText="1" readingOrder="2"/>
    </xf>
    <xf numFmtId="0" fontId="25" fillId="0" borderId="43" xfId="1" applyFont="1" applyBorder="1" applyAlignment="1">
      <alignment horizontal="right" vertical="center" wrapText="1" readingOrder="2"/>
    </xf>
    <xf numFmtId="0" fontId="25" fillId="0" borderId="44" xfId="1" applyFont="1" applyBorder="1" applyAlignment="1">
      <alignment horizontal="right" vertical="center" readingOrder="2"/>
    </xf>
    <xf numFmtId="0" fontId="25" fillId="0" borderId="43" xfId="1" applyFont="1" applyBorder="1" applyAlignment="1">
      <alignment horizontal="right" vertical="center" readingOrder="2"/>
    </xf>
    <xf numFmtId="0" fontId="25" fillId="0" borderId="74" xfId="1" applyFont="1" applyBorder="1" applyAlignment="1">
      <alignment horizontal="right" vertical="center" wrapText="1" readingOrder="2"/>
    </xf>
    <xf numFmtId="0" fontId="25" fillId="0" borderId="0" xfId="1" applyFont="1" applyAlignment="1">
      <alignment horizontal="right" vertical="center" wrapText="1" readingOrder="2"/>
    </xf>
    <xf numFmtId="0" fontId="25" fillId="0" borderId="65" xfId="1" applyFont="1" applyBorder="1" applyAlignment="1">
      <alignment horizontal="right" vertical="center" wrapText="1" readingOrder="2"/>
    </xf>
    <xf numFmtId="0" fontId="25" fillId="0" borderId="67" xfId="1" applyFont="1" applyBorder="1" applyAlignment="1">
      <alignment horizontal="right" vertical="center" wrapText="1" readingOrder="2"/>
    </xf>
    <xf numFmtId="0" fontId="25" fillId="0" borderId="69" xfId="1" applyFont="1" applyBorder="1" applyAlignment="1">
      <alignment horizontal="right" vertical="center" wrapText="1" readingOrder="2"/>
    </xf>
    <xf numFmtId="0" fontId="25" fillId="0" borderId="70" xfId="1" applyFont="1" applyBorder="1" applyAlignment="1">
      <alignment horizontal="right" vertical="center" wrapText="1" readingOrder="2"/>
    </xf>
    <xf numFmtId="0" fontId="25" fillId="0" borderId="121" xfId="1" applyFont="1" applyBorder="1" applyAlignment="1">
      <alignment horizontal="right" vertical="center" wrapText="1" readingOrder="2"/>
    </xf>
    <xf numFmtId="0" fontId="25" fillId="0" borderId="54" xfId="1" applyFont="1" applyBorder="1" applyAlignment="1">
      <alignment horizontal="center" vertical="center" textRotation="90" readingOrder="2"/>
    </xf>
    <xf numFmtId="0" fontId="25" fillId="0" borderId="63" xfId="1" applyFont="1" applyBorder="1" applyAlignment="1">
      <alignment horizontal="center" vertical="center" textRotation="90" readingOrder="2"/>
    </xf>
    <xf numFmtId="0" fontId="25" fillId="0" borderId="55" xfId="1" applyFont="1" applyBorder="1" applyAlignment="1">
      <alignment horizontal="center" vertical="center" readingOrder="2"/>
    </xf>
    <xf numFmtId="0" fontId="25" fillId="0" borderId="56" xfId="1" applyFont="1" applyBorder="1" applyAlignment="1">
      <alignment horizontal="center" vertical="center" readingOrder="2"/>
    </xf>
    <xf numFmtId="0" fontId="25" fillId="0" borderId="57" xfId="1" applyFont="1" applyBorder="1" applyAlignment="1">
      <alignment horizontal="center" vertical="center" readingOrder="2"/>
    </xf>
    <xf numFmtId="0" fontId="25" fillId="0" borderId="64" xfId="1" applyFont="1" applyBorder="1" applyAlignment="1">
      <alignment horizontal="center" vertical="center" readingOrder="2"/>
    </xf>
    <xf numFmtId="0" fontId="25" fillId="0" borderId="0" xfId="1" applyFont="1" applyAlignment="1">
      <alignment horizontal="center" vertical="center" readingOrder="2"/>
    </xf>
    <xf numFmtId="0" fontId="25" fillId="0" borderId="65" xfId="1" applyFont="1" applyBorder="1" applyAlignment="1">
      <alignment horizontal="center" vertical="center" readingOrder="2"/>
    </xf>
    <xf numFmtId="0" fontId="25" fillId="0" borderId="58" xfId="1" applyFont="1" applyBorder="1" applyAlignment="1">
      <alignment horizontal="center" vertical="center" wrapText="1" readingOrder="2"/>
    </xf>
    <xf numFmtId="0" fontId="25" fillId="0" borderId="66" xfId="1" applyFont="1" applyBorder="1" applyAlignment="1">
      <alignment horizontal="center" vertical="center" readingOrder="2"/>
    </xf>
    <xf numFmtId="0" fontId="25" fillId="0" borderId="58" xfId="1" applyFont="1" applyBorder="1" applyAlignment="1">
      <alignment horizontal="center" vertical="center" readingOrder="2"/>
    </xf>
    <xf numFmtId="0" fontId="25" fillId="0" borderId="120" xfId="1" applyFont="1" applyBorder="1" applyAlignment="1">
      <alignment horizontal="center" vertical="center" readingOrder="2"/>
    </xf>
    <xf numFmtId="0" fontId="25" fillId="0" borderId="62" xfId="1" applyFont="1" applyBorder="1" applyAlignment="1">
      <alignment horizontal="center" vertical="center" readingOrder="2"/>
    </xf>
    <xf numFmtId="0" fontId="25" fillId="0" borderId="68" xfId="1" applyFont="1" applyBorder="1" applyAlignment="1">
      <alignment horizontal="center" vertical="center" readingOrder="2"/>
    </xf>
    <xf numFmtId="0" fontId="25" fillId="3" borderId="44" xfId="0" applyFont="1" applyFill="1" applyBorder="1" applyAlignment="1">
      <alignment horizontal="right" vertical="center" readingOrder="2"/>
    </xf>
    <xf numFmtId="0" fontId="25" fillId="3" borderId="42" xfId="0" applyFont="1" applyFill="1" applyBorder="1" applyAlignment="1">
      <alignment horizontal="right" vertical="center" readingOrder="2"/>
    </xf>
    <xf numFmtId="0" fontId="25" fillId="3" borderId="43" xfId="0" applyFont="1" applyFill="1" applyBorder="1" applyAlignment="1">
      <alignment horizontal="right" vertical="center" readingOrder="2"/>
    </xf>
    <xf numFmtId="0" fontId="25" fillId="3" borderId="44" xfId="1" applyFont="1" applyFill="1" applyBorder="1" applyAlignment="1">
      <alignment horizontal="center" vertical="center" wrapText="1" readingOrder="2"/>
    </xf>
    <xf numFmtId="0" fontId="25" fillId="3" borderId="42" xfId="1" applyFont="1" applyFill="1" applyBorder="1" applyAlignment="1">
      <alignment horizontal="center" vertical="center" wrapText="1" readingOrder="2"/>
    </xf>
    <xf numFmtId="0" fontId="25" fillId="3" borderId="123" xfId="1" applyFont="1" applyFill="1" applyBorder="1" applyAlignment="1">
      <alignment horizontal="center" vertical="center" wrapText="1" readingOrder="2"/>
    </xf>
    <xf numFmtId="0" fontId="27" fillId="0" borderId="75" xfId="1" applyFont="1" applyBorder="1" applyAlignment="1">
      <alignment horizontal="center" vertical="center" readingOrder="2"/>
    </xf>
    <xf numFmtId="0" fontId="27" fillId="0" borderId="76" xfId="1" applyFont="1" applyBorder="1" applyAlignment="1">
      <alignment horizontal="center" vertical="center" readingOrder="2"/>
    </xf>
    <xf numFmtId="0" fontId="27" fillId="0" borderId="71" xfId="1" applyFont="1" applyBorder="1" applyAlignment="1">
      <alignment horizontal="center" vertical="center" readingOrder="2"/>
    </xf>
    <xf numFmtId="0" fontId="27" fillId="0" borderId="39" xfId="1" applyFont="1" applyBorder="1" applyAlignment="1">
      <alignment horizontal="center" vertical="center" readingOrder="2"/>
    </xf>
    <xf numFmtId="0" fontId="27" fillId="0" borderId="40" xfId="1" applyFont="1" applyBorder="1" applyAlignment="1">
      <alignment horizontal="center" vertical="center" readingOrder="2"/>
    </xf>
    <xf numFmtId="0" fontId="27" fillId="0" borderId="78" xfId="1" applyFont="1" applyBorder="1" applyAlignment="1">
      <alignment horizontal="center" vertical="center" readingOrder="2"/>
    </xf>
    <xf numFmtId="0" fontId="27" fillId="0" borderId="34" xfId="1" applyFont="1" applyBorder="1" applyAlignment="1">
      <alignment horizontal="center" vertical="center" readingOrder="2"/>
    </xf>
    <xf numFmtId="0" fontId="27" fillId="0" borderId="77" xfId="1" applyFont="1" applyBorder="1" applyAlignment="1">
      <alignment horizontal="center" vertical="center" readingOrder="2"/>
    </xf>
    <xf numFmtId="0" fontId="27" fillId="0" borderId="122" xfId="1" applyFont="1" applyBorder="1" applyAlignment="1">
      <alignment horizontal="center" vertical="center" readingOrder="2"/>
    </xf>
    <xf numFmtId="0" fontId="27" fillId="0" borderId="13" xfId="1" applyFont="1" applyBorder="1" applyAlignment="1">
      <alignment horizontal="center" vertical="center" readingOrder="2"/>
    </xf>
    <xf numFmtId="0" fontId="27" fillId="0" borderId="124" xfId="1" applyFont="1" applyBorder="1" applyAlignment="1">
      <alignment horizontal="center" vertical="center" readingOrder="2"/>
    </xf>
    <xf numFmtId="0" fontId="25" fillId="0" borderId="74" xfId="1" applyFont="1" applyBorder="1" applyAlignment="1">
      <alignment horizontal="center" vertical="center" readingOrder="2"/>
    </xf>
    <xf numFmtId="0" fontId="25" fillId="0" borderId="78" xfId="1" applyFont="1" applyBorder="1" applyAlignment="1">
      <alignment horizontal="center" vertical="center" readingOrder="2"/>
    </xf>
    <xf numFmtId="0" fontId="25" fillId="0" borderId="34" xfId="1" applyFont="1" applyBorder="1" applyAlignment="1">
      <alignment horizontal="center" vertical="center" readingOrder="2"/>
    </xf>
    <xf numFmtId="0" fontId="25" fillId="0" borderId="77" xfId="1" applyFont="1" applyBorder="1" applyAlignment="1">
      <alignment horizontal="center" vertical="center" readingOrder="2"/>
    </xf>
    <xf numFmtId="0" fontId="25" fillId="0" borderId="78" xfId="1" applyFont="1" applyBorder="1" applyAlignment="1">
      <alignment horizontal="center" vertical="center" wrapText="1" readingOrder="2"/>
    </xf>
    <xf numFmtId="0" fontId="25" fillId="0" borderId="34" xfId="1" applyFont="1" applyBorder="1" applyAlignment="1">
      <alignment horizontal="center" vertical="center" wrapText="1" readingOrder="2"/>
    </xf>
    <xf numFmtId="0" fontId="25" fillId="0" borderId="77" xfId="1" applyFont="1" applyBorder="1" applyAlignment="1">
      <alignment horizontal="center" vertical="center" wrapText="1" readingOrder="2"/>
    </xf>
    <xf numFmtId="0" fontId="25" fillId="0" borderId="74" xfId="1" applyFont="1" applyBorder="1" applyAlignment="1">
      <alignment horizontal="center" vertical="center" wrapText="1" readingOrder="2"/>
    </xf>
    <xf numFmtId="0" fontId="25" fillId="0" borderId="0" xfId="1" applyFont="1" applyAlignment="1">
      <alignment horizontal="center" vertical="center" wrapText="1" readingOrder="2"/>
    </xf>
    <xf numFmtId="0" fontId="25" fillId="0" borderId="68" xfId="1" applyFont="1" applyBorder="1" applyAlignment="1">
      <alignment horizontal="center" vertical="center" wrapText="1" readingOrder="2"/>
    </xf>
    <xf numFmtId="0" fontId="27" fillId="0" borderId="74" xfId="1" applyFont="1" applyBorder="1" applyAlignment="1">
      <alignment horizontal="center" vertical="center" readingOrder="2"/>
    </xf>
    <xf numFmtId="0" fontId="27" fillId="0" borderId="68" xfId="1" applyFont="1" applyBorder="1" applyAlignment="1">
      <alignment horizontal="center" vertical="center" readingOrder="2"/>
    </xf>
    <xf numFmtId="0" fontId="27" fillId="0" borderId="0" xfId="1" applyFont="1" applyAlignment="1">
      <alignment horizontal="center" vertical="center" readingOrder="2"/>
    </xf>
    <xf numFmtId="3" fontId="27" fillId="0" borderId="71" xfId="1" applyNumberFormat="1" applyFont="1" applyBorder="1" applyAlignment="1">
      <alignment horizontal="center" vertical="center" readingOrder="2"/>
    </xf>
    <xf numFmtId="0" fontId="8" fillId="3" borderId="17" xfId="0" applyFont="1" applyFill="1" applyBorder="1" applyAlignment="1">
      <alignment horizontal="right" vertical="center" wrapText="1" readingOrder="2"/>
    </xf>
    <xf numFmtId="0" fontId="8" fillId="3" borderId="15" xfId="0" applyFont="1" applyFill="1" applyBorder="1" applyAlignment="1">
      <alignment horizontal="right" vertical="center" wrapText="1" readingOrder="2"/>
    </xf>
    <xf numFmtId="0" fontId="8" fillId="3" borderId="16" xfId="0" applyFont="1" applyFill="1" applyBorder="1" applyAlignment="1">
      <alignment horizontal="right" vertical="center" wrapText="1" readingOrder="2"/>
    </xf>
    <xf numFmtId="1" fontId="20" fillId="5" borderId="44" xfId="0" applyNumberFormat="1" applyFont="1" applyFill="1" applyBorder="1" applyAlignment="1">
      <alignment horizontal="center" vertical="center" wrapText="1" readingOrder="2"/>
    </xf>
    <xf numFmtId="1" fontId="20" fillId="5" borderId="42" xfId="0" applyNumberFormat="1" applyFont="1" applyFill="1" applyBorder="1" applyAlignment="1">
      <alignment horizontal="center" vertical="center" wrapText="1" readingOrder="2"/>
    </xf>
    <xf numFmtId="1" fontId="20" fillId="5" borderId="43" xfId="0" applyNumberFormat="1" applyFont="1" applyFill="1" applyBorder="1" applyAlignment="1">
      <alignment horizontal="center" vertical="center" wrapText="1" readingOrder="2"/>
    </xf>
    <xf numFmtId="0" fontId="20" fillId="5" borderId="44" xfId="0" applyFont="1" applyFill="1" applyBorder="1" applyAlignment="1">
      <alignment horizontal="center" vertical="center" readingOrder="2"/>
    </xf>
    <xf numFmtId="0" fontId="20" fillId="5" borderId="43" xfId="0" applyFont="1" applyFill="1" applyBorder="1" applyAlignment="1">
      <alignment horizontal="center" vertical="center" readingOrder="2"/>
    </xf>
    <xf numFmtId="0" fontId="7" fillId="0" borderId="54" xfId="1" applyFont="1" applyBorder="1" applyAlignment="1">
      <alignment horizontal="center" vertical="center" textRotation="90" readingOrder="2"/>
    </xf>
    <xf numFmtId="0" fontId="7" fillId="0" borderId="63" xfId="1" applyFont="1" applyBorder="1" applyAlignment="1">
      <alignment horizontal="center" vertical="center" textRotation="90" readingOrder="2"/>
    </xf>
    <xf numFmtId="0" fontId="7" fillId="0" borderId="55" xfId="1" applyFont="1" applyBorder="1" applyAlignment="1">
      <alignment horizontal="center" vertical="center" readingOrder="2"/>
    </xf>
    <xf numFmtId="0" fontId="7" fillId="0" borderId="56" xfId="1" applyFont="1" applyBorder="1" applyAlignment="1">
      <alignment horizontal="center" vertical="center" readingOrder="2"/>
    </xf>
    <xf numFmtId="0" fontId="7" fillId="0" borderId="57" xfId="1" applyFont="1" applyBorder="1" applyAlignment="1">
      <alignment horizontal="center" vertical="center" readingOrder="2"/>
    </xf>
    <xf numFmtId="0" fontId="7" fillId="0" borderId="64" xfId="1" applyFont="1" applyBorder="1" applyAlignment="1">
      <alignment horizontal="center" vertical="center" readingOrder="2"/>
    </xf>
    <xf numFmtId="0" fontId="7" fillId="0" borderId="0" xfId="1" applyFont="1" applyAlignment="1">
      <alignment horizontal="center" vertical="center" readingOrder="2"/>
    </xf>
    <xf numFmtId="0" fontId="7" fillId="0" borderId="65" xfId="1" applyFont="1" applyBorder="1" applyAlignment="1">
      <alignment horizontal="center" vertical="center" readingOrder="2"/>
    </xf>
    <xf numFmtId="0" fontId="7" fillId="0" borderId="58" xfId="1" applyFont="1" applyBorder="1" applyAlignment="1">
      <alignment horizontal="center" vertical="center" wrapText="1" readingOrder="2"/>
    </xf>
    <xf numFmtId="0" fontId="7" fillId="0" borderId="66" xfId="1" applyFont="1" applyBorder="1" applyAlignment="1">
      <alignment horizontal="center" vertical="center" wrapText="1" readingOrder="2"/>
    </xf>
    <xf numFmtId="0" fontId="7" fillId="0" borderId="66" xfId="1" applyFont="1" applyBorder="1" applyAlignment="1">
      <alignment horizontal="center" vertical="center" readingOrder="2"/>
    </xf>
    <xf numFmtId="0" fontId="7" fillId="0" borderId="58" xfId="1" applyFont="1" applyBorder="1" applyAlignment="1">
      <alignment horizontal="center" vertical="center" readingOrder="2"/>
    </xf>
    <xf numFmtId="0" fontId="7" fillId="0" borderId="120" xfId="1" applyFont="1" applyBorder="1" applyAlignment="1">
      <alignment horizontal="center" vertical="center" readingOrder="2"/>
    </xf>
    <xf numFmtId="0" fontId="7" fillId="0" borderId="62" xfId="1" applyFont="1" applyBorder="1" applyAlignment="1">
      <alignment horizontal="center" vertical="center" readingOrder="2"/>
    </xf>
    <xf numFmtId="0" fontId="7" fillId="0" borderId="68" xfId="1" applyFont="1" applyBorder="1" applyAlignment="1">
      <alignment horizontal="center" vertical="center" readingOrder="2"/>
    </xf>
    <xf numFmtId="0" fontId="7" fillId="0" borderId="44" xfId="1" applyFont="1" applyBorder="1" applyAlignment="1">
      <alignment horizontal="center" vertical="center" readingOrder="2"/>
    </xf>
    <xf numFmtId="0" fontId="7" fillId="0" borderId="42" xfId="1" applyFont="1" applyBorder="1" applyAlignment="1">
      <alignment horizontal="center" vertical="center" readingOrder="2"/>
    </xf>
    <xf numFmtId="0" fontId="7" fillId="0" borderId="43" xfId="1" applyFont="1" applyBorder="1" applyAlignment="1">
      <alignment horizontal="center" vertical="center" readingOrder="2"/>
    </xf>
    <xf numFmtId="0" fontId="7" fillId="0" borderId="44" xfId="1" applyFont="1" applyBorder="1" applyAlignment="1">
      <alignment horizontal="center" vertical="center" textRotation="90" readingOrder="2"/>
    </xf>
    <xf numFmtId="0" fontId="7" fillId="0" borderId="43" xfId="1" applyFont="1" applyBorder="1" applyAlignment="1">
      <alignment horizontal="center" vertical="center" textRotation="90" readingOrder="2"/>
    </xf>
    <xf numFmtId="0" fontId="20" fillId="0" borderId="44" xfId="0" applyFont="1" applyBorder="1" applyAlignment="1">
      <alignment horizontal="center" vertical="center" readingOrder="2"/>
    </xf>
    <xf numFmtId="0" fontId="20" fillId="0" borderId="43" xfId="0" applyFont="1" applyBorder="1" applyAlignment="1">
      <alignment horizontal="center" vertical="center" readingOrder="2"/>
    </xf>
    <xf numFmtId="0" fontId="20" fillId="3" borderId="44" xfId="1" applyFont="1" applyFill="1" applyBorder="1" applyAlignment="1">
      <alignment horizontal="center" vertical="center" wrapText="1" readingOrder="2"/>
    </xf>
    <xf numFmtId="0" fontId="20" fillId="3" borderId="42" xfId="1" applyFont="1" applyFill="1" applyBorder="1" applyAlignment="1">
      <alignment horizontal="center" vertical="center" wrapText="1" readingOrder="2"/>
    </xf>
    <xf numFmtId="0" fontId="20" fillId="3" borderId="43" xfId="1" applyFont="1" applyFill="1" applyBorder="1" applyAlignment="1">
      <alignment horizontal="center" vertical="center" wrapText="1" readingOrder="2"/>
    </xf>
    <xf numFmtId="0" fontId="20" fillId="5" borderId="44" xfId="0" applyFont="1" applyFill="1" applyBorder="1" applyAlignment="1">
      <alignment horizontal="center" vertical="center" wrapText="1" readingOrder="2"/>
    </xf>
    <xf numFmtId="0" fontId="20" fillId="5" borderId="42" xfId="0" applyFont="1" applyFill="1" applyBorder="1" applyAlignment="1">
      <alignment horizontal="center" vertical="center" wrapText="1" readingOrder="2"/>
    </xf>
    <xf numFmtId="0" fontId="20" fillId="5" borderId="43" xfId="0" applyFont="1" applyFill="1" applyBorder="1" applyAlignment="1">
      <alignment horizontal="center" vertical="center" wrapText="1" readingOrder="2"/>
    </xf>
    <xf numFmtId="0" fontId="20" fillId="3" borderId="13" xfId="1" applyFont="1" applyFill="1" applyBorder="1" applyAlignment="1">
      <alignment horizontal="center" vertical="center" wrapText="1" readingOrder="2"/>
    </xf>
    <xf numFmtId="0" fontId="22" fillId="0" borderId="71" xfId="1" applyFont="1" applyBorder="1" applyAlignment="1">
      <alignment horizontal="center" vertical="center" readingOrder="2"/>
    </xf>
    <xf numFmtId="0" fontId="22" fillId="0" borderId="0" xfId="1" applyFont="1" applyAlignment="1">
      <alignment horizontal="center" vertical="center" readingOrder="2"/>
    </xf>
    <xf numFmtId="0" fontId="22" fillId="0" borderId="34" xfId="1" applyFont="1" applyBorder="1" applyAlignment="1">
      <alignment horizontal="center" vertical="center" readingOrder="2"/>
    </xf>
    <xf numFmtId="0" fontId="22" fillId="0" borderId="39" xfId="1" applyFont="1" applyBorder="1" applyAlignment="1">
      <alignment horizontal="center" vertical="center" readingOrder="2"/>
    </xf>
    <xf numFmtId="0" fontId="22" fillId="0" borderId="33" xfId="1" applyFont="1" applyBorder="1" applyAlignment="1">
      <alignment horizontal="center" vertical="center" readingOrder="2"/>
    </xf>
    <xf numFmtId="0" fontId="22" fillId="0" borderId="77" xfId="1" applyFont="1" applyBorder="1" applyAlignment="1">
      <alignment horizontal="center" vertical="center" readingOrder="2"/>
    </xf>
    <xf numFmtId="0" fontId="7" fillId="0" borderId="71" xfId="1" applyFont="1" applyBorder="1" applyAlignment="1">
      <alignment horizontal="center" vertical="center" readingOrder="2"/>
    </xf>
    <xf numFmtId="0" fontId="7" fillId="0" borderId="39" xfId="1" applyFont="1" applyBorder="1" applyAlignment="1">
      <alignment horizontal="center" vertical="center" readingOrder="2"/>
    </xf>
    <xf numFmtId="0" fontId="7" fillId="0" borderId="40" xfId="1" applyFont="1" applyBorder="1" applyAlignment="1">
      <alignment horizontal="center" vertical="center" readingOrder="2"/>
    </xf>
    <xf numFmtId="0" fontId="7" fillId="0" borderId="74" xfId="1" applyFont="1" applyBorder="1" applyAlignment="1">
      <alignment horizontal="center" vertical="center" readingOrder="2"/>
    </xf>
    <xf numFmtId="0" fontId="7" fillId="0" borderId="78" xfId="1" applyFont="1" applyBorder="1" applyAlignment="1">
      <alignment horizontal="center" vertical="center" readingOrder="2"/>
    </xf>
    <xf numFmtId="0" fontId="7" fillId="0" borderId="34" xfId="1" applyFont="1" applyBorder="1" applyAlignment="1">
      <alignment horizontal="center" vertical="center" readingOrder="2"/>
    </xf>
    <xf numFmtId="0" fontId="7" fillId="0" borderId="77" xfId="1" applyFont="1" applyBorder="1" applyAlignment="1">
      <alignment horizontal="center" vertical="center" readingOrder="2"/>
    </xf>
    <xf numFmtId="0" fontId="7" fillId="0" borderId="72" xfId="1" applyFont="1" applyBorder="1" applyAlignment="1">
      <alignment horizontal="center" vertical="center" wrapText="1" readingOrder="2"/>
    </xf>
    <xf numFmtId="0" fontId="7" fillId="0" borderId="33" xfId="1" applyFont="1" applyBorder="1" applyAlignment="1">
      <alignment horizontal="center" vertical="center" wrapText="1" readingOrder="2"/>
    </xf>
    <xf numFmtId="0" fontId="7" fillId="0" borderId="73" xfId="1" applyFont="1" applyBorder="1" applyAlignment="1">
      <alignment horizontal="center" vertical="center" wrapText="1" readingOrder="2"/>
    </xf>
    <xf numFmtId="0" fontId="7" fillId="0" borderId="71" xfId="1" applyFont="1" applyBorder="1" applyAlignment="1">
      <alignment horizontal="center" vertical="center" wrapText="1" readingOrder="2"/>
    </xf>
    <xf numFmtId="0" fontId="7" fillId="0" borderId="39" xfId="1" applyFont="1" applyBorder="1" applyAlignment="1">
      <alignment horizontal="center" vertical="center" wrapText="1" readingOrder="2"/>
    </xf>
    <xf numFmtId="0" fontId="7" fillId="0" borderId="40" xfId="1" applyFont="1" applyBorder="1" applyAlignment="1">
      <alignment horizontal="center" vertical="center" wrapText="1" readingOrder="2"/>
    </xf>
    <xf numFmtId="0" fontId="7" fillId="0" borderId="74" xfId="1" applyFont="1" applyBorder="1" applyAlignment="1">
      <alignment horizontal="center" vertical="center" wrapText="1" readingOrder="2"/>
    </xf>
    <xf numFmtId="0" fontId="7" fillId="0" borderId="0" xfId="1" applyFont="1" applyAlignment="1">
      <alignment horizontal="center" vertical="center" wrapText="1" readingOrder="2"/>
    </xf>
    <xf numFmtId="0" fontId="7" fillId="0" borderId="68" xfId="1" applyFont="1" applyBorder="1" applyAlignment="1">
      <alignment horizontal="center" vertical="center" wrapText="1" readingOrder="2"/>
    </xf>
    <xf numFmtId="0" fontId="7" fillId="0" borderId="78" xfId="1" applyFont="1" applyBorder="1" applyAlignment="1">
      <alignment horizontal="center" vertical="center" wrapText="1" readingOrder="2"/>
    </xf>
    <xf numFmtId="0" fontId="7" fillId="0" borderId="34" xfId="1" applyFont="1" applyBorder="1" applyAlignment="1">
      <alignment horizontal="center" vertical="center" wrapText="1" readingOrder="2"/>
    </xf>
    <xf numFmtId="0" fontId="7" fillId="0" borderId="77" xfId="1" applyFont="1" applyBorder="1" applyAlignment="1">
      <alignment horizontal="center" vertical="center" wrapText="1" readingOrder="2"/>
    </xf>
    <xf numFmtId="0" fontId="12" fillId="0" borderId="71" xfId="1" applyFont="1" applyBorder="1" applyAlignment="1">
      <alignment horizontal="center" vertical="center" readingOrder="2"/>
    </xf>
    <xf numFmtId="0" fontId="12" fillId="0" borderId="40" xfId="1" applyFont="1" applyBorder="1" applyAlignment="1">
      <alignment horizontal="center" vertical="center" readingOrder="2"/>
    </xf>
    <xf numFmtId="0" fontId="12" fillId="0" borderId="74" xfId="1" applyFont="1" applyBorder="1" applyAlignment="1">
      <alignment horizontal="center" vertical="center" readingOrder="2"/>
    </xf>
    <xf numFmtId="0" fontId="12" fillId="0" borderId="68" xfId="1" applyFont="1" applyBorder="1" applyAlignment="1">
      <alignment horizontal="center" vertical="center" readingOrder="2"/>
    </xf>
    <xf numFmtId="0" fontId="12" fillId="0" borderId="78" xfId="1" applyFont="1" applyBorder="1" applyAlignment="1">
      <alignment horizontal="center" vertical="center" readingOrder="2"/>
    </xf>
    <xf numFmtId="0" fontId="12" fillId="0" borderId="77" xfId="1" applyFont="1" applyBorder="1" applyAlignment="1">
      <alignment horizontal="center" vertical="center" readingOrder="2"/>
    </xf>
    <xf numFmtId="0" fontId="12" fillId="0" borderId="39" xfId="1" applyFont="1" applyBorder="1" applyAlignment="1">
      <alignment horizontal="center" vertical="center" readingOrder="2"/>
    </xf>
    <xf numFmtId="0" fontId="12" fillId="0" borderId="0" xfId="1" applyFont="1" applyAlignment="1">
      <alignment horizontal="center" vertical="center" readingOrder="2"/>
    </xf>
    <xf numFmtId="0" fontId="12" fillId="0" borderId="34" xfId="1" applyFont="1" applyBorder="1" applyAlignment="1">
      <alignment horizontal="center" vertical="center" readingOrder="2"/>
    </xf>
    <xf numFmtId="0" fontId="12" fillId="0" borderId="75" xfId="1" applyFont="1" applyBorder="1" applyAlignment="1">
      <alignment horizontal="center" vertical="center" wrapText="1" readingOrder="2"/>
    </xf>
    <xf numFmtId="0" fontId="12" fillId="0" borderId="76" xfId="1" applyFont="1" applyBorder="1" applyAlignment="1">
      <alignment horizontal="center" vertical="center" wrapText="1" readingOrder="2"/>
    </xf>
    <xf numFmtId="3" fontId="12" fillId="0" borderId="71" xfId="1" applyNumberFormat="1" applyFont="1" applyBorder="1" applyAlignment="1">
      <alignment horizontal="center" vertical="center" readingOrder="2"/>
    </xf>
    <xf numFmtId="0" fontId="12" fillId="0" borderId="75" xfId="1" applyFont="1" applyBorder="1" applyAlignment="1">
      <alignment horizontal="center" vertical="center" readingOrder="2"/>
    </xf>
    <xf numFmtId="0" fontId="12" fillId="0" borderId="76" xfId="1" applyFont="1" applyBorder="1" applyAlignment="1">
      <alignment horizontal="center" vertical="center" readingOrder="2"/>
    </xf>
    <xf numFmtId="1" fontId="15" fillId="3" borderId="44" xfId="0" applyNumberFormat="1" applyFont="1" applyFill="1" applyBorder="1" applyAlignment="1">
      <alignment horizontal="center" vertical="center" wrapText="1" readingOrder="2"/>
    </xf>
    <xf numFmtId="1" fontId="15" fillId="3" borderId="42" xfId="0" applyNumberFormat="1" applyFont="1" applyFill="1" applyBorder="1" applyAlignment="1">
      <alignment horizontal="center" vertical="center" wrapText="1" readingOrder="2"/>
    </xf>
    <xf numFmtId="1" fontId="15" fillId="3" borderId="43" xfId="0" applyNumberFormat="1" applyFont="1" applyFill="1" applyBorder="1" applyAlignment="1">
      <alignment horizontal="center" vertical="center" wrapText="1" readingOrder="2"/>
    </xf>
    <xf numFmtId="0" fontId="15" fillId="3" borderId="44" xfId="0" applyFont="1" applyFill="1" applyBorder="1" applyAlignment="1">
      <alignment horizontal="center" vertical="center" wrapText="1" readingOrder="2"/>
    </xf>
    <xf numFmtId="0" fontId="15" fillId="3" borderId="42" xfId="0" applyFont="1" applyFill="1" applyBorder="1" applyAlignment="1">
      <alignment horizontal="center" vertical="center" wrapText="1" readingOrder="2"/>
    </xf>
    <xf numFmtId="0" fontId="15" fillId="3" borderId="43" xfId="0" applyFont="1" applyFill="1" applyBorder="1" applyAlignment="1">
      <alignment horizontal="center" vertical="center" wrapText="1" readingOrder="2"/>
    </xf>
    <xf numFmtId="0" fontId="15" fillId="0" borderId="13" xfId="0" applyFont="1" applyBorder="1" applyAlignment="1">
      <alignment horizontal="right" vertical="center" readingOrder="2"/>
    </xf>
    <xf numFmtId="0" fontId="20" fillId="3" borderId="13" xfId="1" applyFont="1" applyFill="1" applyBorder="1" applyAlignment="1">
      <alignment horizontal="center" vertical="center" readingOrder="2"/>
    </xf>
    <xf numFmtId="0" fontId="15" fillId="3" borderId="44" xfId="0" applyFont="1" applyFill="1" applyBorder="1" applyAlignment="1">
      <alignment horizontal="right" vertical="center" wrapText="1" readingOrder="2"/>
    </xf>
    <xf numFmtId="0" fontId="15" fillId="3" borderId="42" xfId="0" applyFont="1" applyFill="1" applyBorder="1" applyAlignment="1">
      <alignment horizontal="right" vertical="center" wrapText="1" readingOrder="2"/>
    </xf>
    <xf numFmtId="0" fontId="15" fillId="3" borderId="43" xfId="0" applyFont="1" applyFill="1" applyBorder="1" applyAlignment="1">
      <alignment horizontal="right" vertical="center" wrapText="1" readingOrder="2"/>
    </xf>
    <xf numFmtId="1" fontId="15" fillId="3" borderId="44" xfId="0" applyNumberFormat="1" applyFont="1" applyFill="1" applyBorder="1" applyAlignment="1">
      <alignment horizontal="right" vertical="center" wrapText="1" readingOrder="2"/>
    </xf>
    <xf numFmtId="1" fontId="15" fillId="3" borderId="42" xfId="0" applyNumberFormat="1" applyFont="1" applyFill="1" applyBorder="1" applyAlignment="1">
      <alignment horizontal="right" vertical="center" wrapText="1" readingOrder="2"/>
    </xf>
    <xf numFmtId="1" fontId="15" fillId="3" borderId="43" xfId="0" applyNumberFormat="1" applyFont="1" applyFill="1" applyBorder="1" applyAlignment="1">
      <alignment horizontal="right" vertical="center" wrapText="1" readingOrder="2"/>
    </xf>
    <xf numFmtId="0" fontId="15" fillId="3" borderId="13" xfId="0" applyFont="1" applyFill="1" applyBorder="1" applyAlignment="1">
      <alignment horizontal="right" vertical="center" wrapText="1" readingOrder="2"/>
    </xf>
    <xf numFmtId="0" fontId="13" fillId="0" borderId="35" xfId="1" applyFont="1" applyBorder="1" applyAlignment="1">
      <alignment horizontal="right" vertical="center" wrapText="1" readingOrder="2"/>
    </xf>
    <xf numFmtId="0" fontId="13" fillId="0" borderId="36" xfId="1" applyFont="1" applyBorder="1" applyAlignment="1">
      <alignment horizontal="right" vertical="center" wrapText="1" readingOrder="2"/>
    </xf>
    <xf numFmtId="0" fontId="13" fillId="0" borderId="37" xfId="1" applyFont="1" applyBorder="1" applyAlignment="1">
      <alignment horizontal="right" vertical="center" wrapText="1" readingOrder="2"/>
    </xf>
    <xf numFmtId="0" fontId="15" fillId="3" borderId="13" xfId="0" applyFont="1" applyFill="1" applyBorder="1" applyAlignment="1">
      <alignment horizontal="center" vertical="center" wrapText="1" readingOrder="2"/>
    </xf>
    <xf numFmtId="0" fontId="20" fillId="10" borderId="44" xfId="0" applyFont="1" applyFill="1" applyBorder="1" applyAlignment="1">
      <alignment horizontal="center" vertical="center" readingOrder="2"/>
    </xf>
    <xf numFmtId="0" fontId="20" fillId="10" borderId="43" xfId="0" applyFont="1" applyFill="1" applyBorder="1" applyAlignment="1">
      <alignment horizontal="center" vertical="center" readingOrder="2"/>
    </xf>
    <xf numFmtId="0" fontId="20" fillId="5" borderId="42" xfId="0" applyFont="1" applyFill="1" applyBorder="1" applyAlignment="1">
      <alignment horizontal="center" vertical="center" readingOrder="2"/>
    </xf>
    <xf numFmtId="1" fontId="20" fillId="5" borderId="44" xfId="0" applyNumberFormat="1" applyFont="1" applyFill="1" applyBorder="1" applyAlignment="1">
      <alignment horizontal="right" vertical="center" wrapText="1" readingOrder="2"/>
    </xf>
    <xf numFmtId="1" fontId="20" fillId="5" borderId="42" xfId="0" applyNumberFormat="1" applyFont="1" applyFill="1" applyBorder="1" applyAlignment="1">
      <alignment horizontal="right" vertical="center" wrapText="1" readingOrder="2"/>
    </xf>
    <xf numFmtId="1" fontId="20" fillId="5" borderId="43" xfId="0" applyNumberFormat="1" applyFont="1" applyFill="1" applyBorder="1" applyAlignment="1">
      <alignment horizontal="right" vertical="center" wrapText="1" readingOrder="2"/>
    </xf>
    <xf numFmtId="0" fontId="20" fillId="11" borderId="44" xfId="0" applyFont="1" applyFill="1" applyBorder="1" applyAlignment="1">
      <alignment horizontal="center" vertical="center" readingOrder="2"/>
    </xf>
    <xf numFmtId="0" fontId="20" fillId="11" borderId="43" xfId="0" applyFont="1" applyFill="1" applyBorder="1" applyAlignment="1">
      <alignment horizontal="center" vertical="center" readingOrder="2"/>
    </xf>
    <xf numFmtId="0" fontId="20" fillId="5" borderId="44" xfId="0" applyFont="1" applyFill="1" applyBorder="1" applyAlignment="1">
      <alignment horizontal="right" vertical="center" wrapText="1" readingOrder="2"/>
    </xf>
    <xf numFmtId="0" fontId="20" fillId="5" borderId="42" xfId="0" applyFont="1" applyFill="1" applyBorder="1" applyAlignment="1">
      <alignment horizontal="right" vertical="center" wrapText="1" readingOrder="2"/>
    </xf>
    <xf numFmtId="0" fontId="20" fillId="5" borderId="43" xfId="0" applyFont="1" applyFill="1" applyBorder="1" applyAlignment="1">
      <alignment horizontal="right" vertical="center" wrapText="1" readingOrder="2"/>
    </xf>
    <xf numFmtId="0" fontId="20" fillId="5" borderId="44" xfId="0" applyFont="1" applyFill="1" applyBorder="1" applyAlignment="1">
      <alignment horizontal="right" vertical="center" readingOrder="2"/>
    </xf>
    <xf numFmtId="0" fontId="20" fillId="5" borderId="42" xfId="0" applyFont="1" applyFill="1" applyBorder="1" applyAlignment="1">
      <alignment horizontal="right" vertical="center" readingOrder="2"/>
    </xf>
    <xf numFmtId="0" fontId="20" fillId="5" borderId="43" xfId="0" applyFont="1" applyFill="1" applyBorder="1" applyAlignment="1">
      <alignment horizontal="right" vertical="center" readingOrder="2"/>
    </xf>
    <xf numFmtId="0" fontId="7" fillId="2" borderId="116" xfId="1" applyFont="1" applyFill="1" applyBorder="1" applyAlignment="1">
      <alignment horizontal="center" vertical="center" readingOrder="2"/>
    </xf>
    <xf numFmtId="0" fontId="7" fillId="2" borderId="17" xfId="1" applyFont="1" applyFill="1" applyBorder="1" applyAlignment="1">
      <alignment horizontal="center" vertical="center" readingOrder="2"/>
    </xf>
    <xf numFmtId="0" fontId="5" fillId="0" borderId="17" xfId="1" applyFont="1" applyBorder="1" applyAlignment="1">
      <alignment horizontal="center" vertical="center" readingOrder="2"/>
    </xf>
    <xf numFmtId="0" fontId="5" fillId="0" borderId="15" xfId="1" applyFont="1" applyBorder="1" applyAlignment="1">
      <alignment horizontal="center" vertical="center" readingOrder="2"/>
    </xf>
    <xf numFmtId="0" fontId="7" fillId="0" borderId="8" xfId="1" applyFont="1" applyBorder="1" applyAlignment="1">
      <alignment horizontal="center" vertical="center" readingOrder="2"/>
    </xf>
    <xf numFmtId="0" fontId="7" fillId="0" borderId="19" xfId="1" applyFont="1" applyBorder="1" applyAlignment="1">
      <alignment horizontal="center" vertical="center" readingOrder="2"/>
    </xf>
    <xf numFmtId="0" fontId="7" fillId="0" borderId="23" xfId="1" applyFont="1" applyBorder="1" applyAlignment="1">
      <alignment horizontal="center" vertical="center" readingOrder="2"/>
    </xf>
    <xf numFmtId="0" fontId="7" fillId="0" borderId="11" xfId="1" applyFont="1" applyBorder="1" applyAlignment="1">
      <alignment horizontal="center" vertical="center" readingOrder="2"/>
    </xf>
    <xf numFmtId="0" fontId="7" fillId="0" borderId="117" xfId="1" applyFont="1" applyBorder="1" applyAlignment="1">
      <alignment horizontal="center" vertical="center" readingOrder="2"/>
    </xf>
    <xf numFmtId="0" fontId="16" fillId="0" borderId="17" xfId="1" applyFont="1" applyBorder="1" applyAlignment="1">
      <alignment horizontal="right" vertical="center" readingOrder="2"/>
    </xf>
    <xf numFmtId="0" fontId="16" fillId="0" borderId="15" xfId="1" applyFont="1" applyBorder="1" applyAlignment="1">
      <alignment horizontal="right" vertical="center" readingOrder="2"/>
    </xf>
    <xf numFmtId="0" fontId="15" fillId="3" borderId="5" xfId="0" applyFont="1" applyFill="1" applyBorder="1" applyAlignment="1">
      <alignment horizontal="center" vertical="center" readingOrder="2"/>
    </xf>
    <xf numFmtId="0" fontId="15" fillId="3" borderId="17" xfId="0" applyFont="1" applyFill="1" applyBorder="1" applyAlignment="1">
      <alignment horizontal="center" vertical="center" readingOrder="2"/>
    </xf>
    <xf numFmtId="0" fontId="8" fillId="3" borderId="16" xfId="1" applyFont="1" applyFill="1" applyBorder="1" applyAlignment="1">
      <alignment horizontal="center" vertical="center" wrapText="1" readingOrder="2"/>
    </xf>
    <xf numFmtId="0" fontId="11" fillId="3" borderId="17" xfId="0" applyFont="1" applyFill="1" applyBorder="1" applyAlignment="1">
      <alignment horizontal="right" vertical="center" readingOrder="2"/>
    </xf>
    <xf numFmtId="0" fontId="8" fillId="3" borderId="16" xfId="1" applyFont="1" applyFill="1" applyBorder="1" applyAlignment="1">
      <alignment horizontal="center" vertical="center" readingOrder="2"/>
    </xf>
    <xf numFmtId="0" fontId="7" fillId="2" borderId="118" xfId="1" applyFont="1" applyFill="1" applyBorder="1" applyAlignment="1">
      <alignment horizontal="center" vertical="center" wrapText="1" readingOrder="2"/>
    </xf>
    <xf numFmtId="0" fontId="7" fillId="2" borderId="119" xfId="1" applyFont="1" applyFill="1" applyBorder="1" applyAlignment="1">
      <alignment horizontal="center" vertical="center" wrapText="1" readingOrder="2"/>
    </xf>
    <xf numFmtId="0" fontId="7" fillId="2" borderId="11" xfId="1" applyFont="1" applyFill="1" applyBorder="1" applyAlignment="1">
      <alignment horizontal="center" vertical="center" wrapText="1" readingOrder="2"/>
    </xf>
    <xf numFmtId="0" fontId="7" fillId="2" borderId="12" xfId="1" applyFont="1" applyFill="1" applyBorder="1" applyAlignment="1">
      <alignment horizontal="center" vertical="center" wrapText="1" readingOrder="2"/>
    </xf>
    <xf numFmtId="0" fontId="2" fillId="2" borderId="71" xfId="1" applyFont="1" applyFill="1" applyBorder="1" applyAlignment="1">
      <alignment horizontal="center" vertical="center" readingOrder="2"/>
    </xf>
    <xf numFmtId="0" fontId="2" fillId="2" borderId="39" xfId="1" applyFont="1" applyFill="1" applyBorder="1" applyAlignment="1">
      <alignment horizontal="center" vertical="center" readingOrder="2"/>
    </xf>
    <xf numFmtId="0" fontId="6" fillId="0" borderId="79" xfId="1" applyFont="1" applyBorder="1" applyAlignment="1">
      <alignment horizontal="center" readingOrder="2"/>
    </xf>
    <xf numFmtId="0" fontId="7" fillId="0" borderId="80" xfId="1" applyFont="1" applyBorder="1" applyAlignment="1">
      <alignment horizontal="right" vertical="center" wrapText="1" readingOrder="2"/>
    </xf>
    <xf numFmtId="0" fontId="7" fillId="0" borderId="81" xfId="1" applyFont="1" applyBorder="1" applyAlignment="1">
      <alignment horizontal="right" vertical="center" wrapText="1" readingOrder="2"/>
    </xf>
    <xf numFmtId="0" fontId="7" fillId="0" borderId="82" xfId="1" applyFont="1" applyBorder="1" applyAlignment="1">
      <alignment horizontal="right" vertical="center" readingOrder="2"/>
    </xf>
    <xf numFmtId="0" fontId="7" fillId="0" borderId="81" xfId="1" applyFont="1" applyBorder="1" applyAlignment="1">
      <alignment horizontal="right" vertical="center" readingOrder="2"/>
    </xf>
    <xf numFmtId="0" fontId="7" fillId="0" borderId="83" xfId="1" applyFont="1" applyBorder="1" applyAlignment="1">
      <alignment horizontal="right" vertical="center" readingOrder="2"/>
    </xf>
    <xf numFmtId="0" fontId="7" fillId="0" borderId="82" xfId="1" applyFont="1" applyBorder="1" applyAlignment="1">
      <alignment horizontal="right" vertical="top" readingOrder="2"/>
    </xf>
    <xf numFmtId="0" fontId="7" fillId="0" borderId="81" xfId="1" applyFont="1" applyBorder="1" applyAlignment="1">
      <alignment horizontal="right" vertical="top" readingOrder="2"/>
    </xf>
    <xf numFmtId="0" fontId="7" fillId="0" borderId="83" xfId="1" applyFont="1" applyBorder="1" applyAlignment="1">
      <alignment horizontal="right" vertical="top" readingOrder="2"/>
    </xf>
    <xf numFmtId="0" fontId="7" fillId="0" borderId="86" xfId="1" applyFont="1" applyBorder="1" applyAlignment="1">
      <alignment horizontal="right" vertical="top" readingOrder="2"/>
    </xf>
    <xf numFmtId="0" fontId="7" fillId="0" borderId="87" xfId="1" applyFont="1" applyBorder="1" applyAlignment="1">
      <alignment horizontal="right" vertical="top" readingOrder="2"/>
    </xf>
    <xf numFmtId="0" fontId="7" fillId="0" borderId="88" xfId="1" applyFont="1" applyBorder="1" applyAlignment="1">
      <alignment horizontal="right" vertical="top" readingOrder="2"/>
    </xf>
    <xf numFmtId="0" fontId="7" fillId="0" borderId="82" xfId="1" applyFont="1" applyBorder="1" applyAlignment="1">
      <alignment horizontal="right" vertical="center" wrapText="1" readingOrder="2"/>
    </xf>
    <xf numFmtId="0" fontId="7" fillId="0" borderId="86" xfId="1" applyFont="1" applyBorder="1" applyAlignment="1">
      <alignment horizontal="right" vertical="center" wrapText="1" readingOrder="2"/>
    </xf>
    <xf numFmtId="0" fontId="7" fillId="0" borderId="87" xfId="1" applyFont="1" applyBorder="1" applyAlignment="1">
      <alignment horizontal="right" vertical="center" wrapText="1" readingOrder="2"/>
    </xf>
    <xf numFmtId="0" fontId="7" fillId="0" borderId="84" xfId="1" applyFont="1" applyBorder="1" applyAlignment="1">
      <alignment horizontal="right" vertical="center" readingOrder="2"/>
    </xf>
    <xf numFmtId="0" fontId="7" fillId="0" borderId="79" xfId="1" applyFont="1" applyBorder="1" applyAlignment="1">
      <alignment horizontal="right" vertical="center" readingOrder="2"/>
    </xf>
    <xf numFmtId="0" fontId="7" fillId="0" borderId="85" xfId="1" applyFont="1" applyBorder="1" applyAlignment="1">
      <alignment horizontal="right" vertical="center" readingOrder="2"/>
    </xf>
    <xf numFmtId="0" fontId="7" fillId="0" borderId="89" xfId="1" applyFont="1" applyBorder="1" applyAlignment="1">
      <alignment horizontal="right" vertical="center" wrapText="1" readingOrder="2"/>
    </xf>
    <xf numFmtId="0" fontId="7" fillId="0" borderId="90" xfId="1" applyFont="1" applyBorder="1" applyAlignment="1">
      <alignment horizontal="right" vertical="center" wrapText="1" readingOrder="2"/>
    </xf>
    <xf numFmtId="0" fontId="7" fillId="0" borderId="91" xfId="1" applyFont="1" applyBorder="1" applyAlignment="1">
      <alignment horizontal="right" vertical="center" wrapText="1" readingOrder="2"/>
    </xf>
    <xf numFmtId="0" fontId="7" fillId="0" borderId="88" xfId="1" applyFont="1" applyBorder="1" applyAlignment="1">
      <alignment horizontal="right" vertical="center" wrapText="1" readingOrder="2"/>
    </xf>
    <xf numFmtId="0" fontId="7" fillId="2" borderId="92" xfId="1" applyFont="1" applyFill="1" applyBorder="1" applyAlignment="1">
      <alignment horizontal="center" vertical="center" textRotation="90" readingOrder="2"/>
    </xf>
    <xf numFmtId="0" fontId="7" fillId="2" borderId="96" xfId="1" applyFont="1" applyFill="1" applyBorder="1" applyAlignment="1">
      <alignment horizontal="center" vertical="center" textRotation="90" readingOrder="2"/>
    </xf>
    <xf numFmtId="0" fontId="7" fillId="2" borderId="81" xfId="1" applyFont="1" applyFill="1" applyBorder="1" applyAlignment="1">
      <alignment horizontal="center" vertical="center" readingOrder="2"/>
    </xf>
    <xf numFmtId="0" fontId="7" fillId="2" borderId="93" xfId="1" applyFont="1" applyFill="1" applyBorder="1" applyAlignment="1">
      <alignment horizontal="center" vertical="center" readingOrder="2"/>
    </xf>
    <xf numFmtId="0" fontId="7" fillId="2" borderId="87" xfId="1" applyFont="1" applyFill="1" applyBorder="1" applyAlignment="1">
      <alignment horizontal="center" vertical="center" readingOrder="2"/>
    </xf>
    <xf numFmtId="0" fontId="7" fillId="2" borderId="97" xfId="1" applyFont="1" applyFill="1" applyBorder="1" applyAlignment="1">
      <alignment horizontal="center" vertical="center" readingOrder="2"/>
    </xf>
    <xf numFmtId="0" fontId="7" fillId="2" borderId="94" xfId="1" applyFont="1" applyFill="1" applyBorder="1" applyAlignment="1">
      <alignment horizontal="center" vertical="center" wrapText="1" readingOrder="2"/>
    </xf>
    <xf numFmtId="0" fontId="7" fillId="2" borderId="98" xfId="1" applyFont="1" applyFill="1" applyBorder="1" applyAlignment="1">
      <alignment horizontal="center" vertical="center" readingOrder="2"/>
    </xf>
    <xf numFmtId="0" fontId="7" fillId="2" borderId="92" xfId="1" applyFont="1" applyFill="1" applyBorder="1" applyAlignment="1">
      <alignment horizontal="center" vertical="center" readingOrder="2"/>
    </xf>
    <xf numFmtId="0" fontId="7" fillId="2" borderId="96" xfId="1" applyFont="1" applyFill="1" applyBorder="1" applyAlignment="1">
      <alignment horizontal="center" vertical="center" readingOrder="2"/>
    </xf>
    <xf numFmtId="0" fontId="7" fillId="2" borderId="95" xfId="1" applyFont="1" applyFill="1" applyBorder="1" applyAlignment="1">
      <alignment horizontal="center" vertical="center" wrapText="1" readingOrder="2"/>
    </xf>
    <xf numFmtId="0" fontId="7" fillId="2" borderId="99" xfId="1" applyFont="1" applyFill="1" applyBorder="1" applyAlignment="1">
      <alignment horizontal="center" vertical="center" readingOrder="2"/>
    </xf>
    <xf numFmtId="0" fontId="7" fillId="2" borderId="82" xfId="1" applyFont="1" applyFill="1" applyBorder="1" applyAlignment="1">
      <alignment horizontal="center" vertical="center" readingOrder="2"/>
    </xf>
    <xf numFmtId="0" fontId="7" fillId="2" borderId="83" xfId="1" applyFont="1" applyFill="1" applyBorder="1" applyAlignment="1">
      <alignment horizontal="center" vertical="center" readingOrder="2"/>
    </xf>
    <xf numFmtId="0" fontId="7" fillId="2" borderId="86" xfId="1" applyFont="1" applyFill="1" applyBorder="1" applyAlignment="1">
      <alignment horizontal="center" vertical="center" readingOrder="2"/>
    </xf>
    <xf numFmtId="0" fontId="7" fillId="2" borderId="88" xfId="1" applyFont="1" applyFill="1" applyBorder="1" applyAlignment="1">
      <alignment horizontal="center" vertical="center" readingOrder="2"/>
    </xf>
    <xf numFmtId="0" fontId="8" fillId="3" borderId="82" xfId="1" applyFont="1" applyFill="1" applyBorder="1" applyAlignment="1">
      <alignment horizontal="center" vertical="center" wrapText="1" readingOrder="2"/>
    </xf>
    <xf numFmtId="0" fontId="8" fillId="3" borderId="81" xfId="1" applyFont="1" applyFill="1" applyBorder="1" applyAlignment="1">
      <alignment horizontal="center" vertical="center" wrapText="1" readingOrder="2"/>
    </xf>
    <xf numFmtId="0" fontId="8" fillId="3" borderId="109" xfId="1" applyFont="1" applyFill="1" applyBorder="1" applyAlignment="1">
      <alignment horizontal="center" vertical="center" wrapText="1" readingOrder="2"/>
    </xf>
    <xf numFmtId="0" fontId="8" fillId="3" borderId="0" xfId="1" applyFont="1" applyFill="1" applyAlignment="1">
      <alignment horizontal="center" vertical="center" wrapText="1" readingOrder="2"/>
    </xf>
    <xf numFmtId="0" fontId="8" fillId="3" borderId="86" xfId="1" applyFont="1" applyFill="1" applyBorder="1" applyAlignment="1">
      <alignment horizontal="center" vertical="center" wrapText="1" readingOrder="2"/>
    </xf>
    <xf numFmtId="0" fontId="8" fillId="3" borderId="87" xfId="1" applyFont="1" applyFill="1" applyBorder="1" applyAlignment="1">
      <alignment horizontal="center" vertical="center" wrapText="1" readingOrder="2"/>
    </xf>
    <xf numFmtId="0" fontId="8" fillId="3" borderId="107" xfId="0" applyFont="1" applyFill="1" applyBorder="1" applyAlignment="1">
      <alignment horizontal="right" vertical="center" readingOrder="2"/>
    </xf>
    <xf numFmtId="0" fontId="8" fillId="3" borderId="102" xfId="0" applyFont="1" applyFill="1" applyBorder="1" applyAlignment="1">
      <alignment horizontal="right" vertical="center" readingOrder="2"/>
    </xf>
    <xf numFmtId="0" fontId="8" fillId="3" borderId="100" xfId="0" applyFont="1" applyFill="1" applyBorder="1" applyAlignment="1">
      <alignment horizontal="right" vertical="center" readingOrder="2"/>
    </xf>
    <xf numFmtId="0" fontId="18" fillId="3" borderId="107" xfId="0" applyFont="1" applyFill="1" applyBorder="1" applyAlignment="1">
      <alignment horizontal="center" vertical="center" readingOrder="2"/>
    </xf>
    <xf numFmtId="0" fontId="18" fillId="3" borderId="102" xfId="0" applyFont="1" applyFill="1" applyBorder="1" applyAlignment="1">
      <alignment horizontal="center" vertical="center" readingOrder="2"/>
    </xf>
    <xf numFmtId="0" fontId="18" fillId="3" borderId="100" xfId="0" applyFont="1" applyFill="1" applyBorder="1" applyAlignment="1">
      <alignment horizontal="center" vertical="center" readingOrder="2"/>
    </xf>
    <xf numFmtId="0" fontId="8" fillId="3" borderId="84" xfId="0" applyFont="1" applyFill="1" applyBorder="1" applyAlignment="1">
      <alignment horizontal="right" vertical="center" readingOrder="2"/>
    </xf>
    <xf numFmtId="0" fontId="8" fillId="3" borderId="79" xfId="0" applyFont="1" applyFill="1" applyBorder="1" applyAlignment="1">
      <alignment horizontal="right" vertical="center" readingOrder="2"/>
    </xf>
    <xf numFmtId="0" fontId="8" fillId="3" borderId="85" xfId="0" applyFont="1" applyFill="1" applyBorder="1" applyAlignment="1">
      <alignment horizontal="right" vertical="center" readingOrder="2"/>
    </xf>
    <xf numFmtId="0" fontId="8" fillId="3" borderId="86" xfId="0" applyFont="1" applyFill="1" applyBorder="1" applyAlignment="1">
      <alignment horizontal="right" vertical="center" readingOrder="2"/>
    </xf>
    <xf numFmtId="0" fontId="8" fillId="3" borderId="87" xfId="0" applyFont="1" applyFill="1" applyBorder="1" applyAlignment="1">
      <alignment horizontal="right" vertical="center" readingOrder="2"/>
    </xf>
    <xf numFmtId="0" fontId="8" fillId="3" borderId="88" xfId="0" applyFont="1" applyFill="1" applyBorder="1" applyAlignment="1">
      <alignment horizontal="right" vertical="center" readingOrder="2"/>
    </xf>
    <xf numFmtId="0" fontId="8" fillId="3" borderId="109" xfId="0" applyFont="1" applyFill="1" applyBorder="1" applyAlignment="1">
      <alignment horizontal="right" vertical="center" readingOrder="2"/>
    </xf>
    <xf numFmtId="0" fontId="8" fillId="3" borderId="0" xfId="0" applyFont="1" applyFill="1" applyAlignment="1">
      <alignment horizontal="right" vertical="center" readingOrder="2"/>
    </xf>
    <xf numFmtId="0" fontId="8" fillId="3" borderId="105" xfId="0" applyFont="1" applyFill="1" applyBorder="1" applyAlignment="1">
      <alignment horizontal="right" vertical="center" readingOrder="2"/>
    </xf>
    <xf numFmtId="0" fontId="7" fillId="2" borderId="84" xfId="1" applyFont="1" applyFill="1" applyBorder="1" applyAlignment="1">
      <alignment horizontal="center" vertical="center" readingOrder="2"/>
    </xf>
    <xf numFmtId="0" fontId="7" fillId="2" borderId="79" xfId="1" applyFont="1" applyFill="1" applyBorder="1" applyAlignment="1">
      <alignment horizontal="center" vertical="center" readingOrder="2"/>
    </xf>
    <xf numFmtId="0" fontId="7" fillId="2" borderId="85" xfId="1" applyFont="1" applyFill="1" applyBorder="1" applyAlignment="1">
      <alignment horizontal="center" vertical="center" readingOrder="2"/>
    </xf>
    <xf numFmtId="0" fontId="18" fillId="3" borderId="89" xfId="0" applyFont="1" applyFill="1" applyBorder="1" applyAlignment="1">
      <alignment horizontal="center" vertical="center" readingOrder="2"/>
    </xf>
    <xf numFmtId="0" fontId="18" fillId="3" borderId="90" xfId="0" applyFont="1" applyFill="1" applyBorder="1" applyAlignment="1">
      <alignment horizontal="center" vertical="center" readingOrder="2"/>
    </xf>
    <xf numFmtId="0" fontId="18" fillId="3" borderId="91" xfId="0" applyFont="1" applyFill="1" applyBorder="1" applyAlignment="1">
      <alignment horizontal="center" vertical="center" readingOrder="2"/>
    </xf>
    <xf numFmtId="0" fontId="18" fillId="3" borderId="79" xfId="0" applyFont="1" applyFill="1" applyBorder="1" applyAlignment="1">
      <alignment horizontal="center" vertical="center" readingOrder="2"/>
    </xf>
    <xf numFmtId="0" fontId="18" fillId="3" borderId="85" xfId="0" applyFont="1" applyFill="1" applyBorder="1" applyAlignment="1">
      <alignment horizontal="center" vertical="center" readingOrder="2"/>
    </xf>
    <xf numFmtId="0" fontId="7" fillId="2" borderId="84" xfId="1" applyFont="1" applyFill="1" applyBorder="1" applyAlignment="1">
      <alignment horizontal="center" vertical="center" wrapText="1" readingOrder="2"/>
    </xf>
    <xf numFmtId="0" fontId="7" fillId="2" borderId="79" xfId="1" applyFont="1" applyFill="1" applyBorder="1" applyAlignment="1">
      <alignment horizontal="center" vertical="center" wrapText="1" readingOrder="2"/>
    </xf>
    <xf numFmtId="0" fontId="7" fillId="2" borderId="85" xfId="1" applyFont="1" applyFill="1" applyBorder="1" applyAlignment="1">
      <alignment horizontal="center" vertical="center" wrapText="1" readingOrder="2"/>
    </xf>
    <xf numFmtId="0" fontId="7" fillId="2" borderId="86" xfId="1" applyFont="1" applyFill="1" applyBorder="1" applyAlignment="1">
      <alignment horizontal="center" vertical="center" wrapText="1" readingOrder="2"/>
    </xf>
    <xf numFmtId="0" fontId="7" fillId="2" borderId="87" xfId="1" applyFont="1" applyFill="1" applyBorder="1" applyAlignment="1">
      <alignment horizontal="center" vertical="center" wrapText="1" readingOrder="2"/>
    </xf>
    <xf numFmtId="0" fontId="7" fillId="2" borderId="88" xfId="1" applyFont="1" applyFill="1" applyBorder="1" applyAlignment="1">
      <alignment horizontal="center" vertical="center" wrapText="1" readingOrder="2"/>
    </xf>
    <xf numFmtId="0" fontId="12" fillId="2" borderId="82" xfId="1" applyFont="1" applyFill="1" applyBorder="1" applyAlignment="1">
      <alignment horizontal="center" vertical="center" readingOrder="2"/>
    </xf>
    <xf numFmtId="0" fontId="12" fillId="2" borderId="83" xfId="1" applyFont="1" applyFill="1" applyBorder="1" applyAlignment="1">
      <alignment horizontal="center" vertical="center" readingOrder="2"/>
    </xf>
    <xf numFmtId="0" fontId="12" fillId="2" borderId="109" xfId="1" applyFont="1" applyFill="1" applyBorder="1" applyAlignment="1">
      <alignment horizontal="center" vertical="center" readingOrder="2"/>
    </xf>
    <xf numFmtId="0" fontId="12" fillId="2" borderId="105" xfId="1" applyFont="1" applyFill="1" applyBorder="1" applyAlignment="1">
      <alignment horizontal="center" vertical="center" readingOrder="2"/>
    </xf>
    <xf numFmtId="0" fontId="12" fillId="2" borderId="86" xfId="1" applyFont="1" applyFill="1" applyBorder="1" applyAlignment="1">
      <alignment horizontal="center" vertical="center" readingOrder="2"/>
    </xf>
    <xf numFmtId="0" fontId="12" fillId="2" borderId="88" xfId="1" applyFont="1" applyFill="1" applyBorder="1" applyAlignment="1">
      <alignment horizontal="center" vertical="center" readingOrder="2"/>
    </xf>
    <xf numFmtId="0" fontId="12" fillId="2" borderId="87" xfId="1" applyFont="1" applyFill="1" applyBorder="1" applyAlignment="1">
      <alignment horizontal="center" vertical="center" readingOrder="2"/>
    </xf>
    <xf numFmtId="0" fontId="12" fillId="2" borderId="92" xfId="1" applyFont="1" applyFill="1" applyBorder="1" applyAlignment="1">
      <alignment horizontal="center" vertical="center" readingOrder="2"/>
    </xf>
    <xf numFmtId="0" fontId="12" fillId="2" borderId="96" xfId="1" applyFont="1" applyFill="1" applyBorder="1" applyAlignment="1">
      <alignment horizontal="center" vertical="center" readingOrder="2"/>
    </xf>
    <xf numFmtId="0" fontId="12" fillId="2" borderId="81" xfId="1" applyFont="1" applyFill="1" applyBorder="1" applyAlignment="1">
      <alignment horizontal="center" vertical="center" readingOrder="2"/>
    </xf>
    <xf numFmtId="0" fontId="12" fillId="2" borderId="114" xfId="1" applyFont="1" applyFill="1" applyBorder="1" applyAlignment="1">
      <alignment horizontal="center" vertical="center" readingOrder="2"/>
    </xf>
    <xf numFmtId="0" fontId="12" fillId="2" borderId="115" xfId="1" applyFont="1" applyFill="1" applyBorder="1" applyAlignment="1">
      <alignment horizontal="center" vertical="center" readingOrder="2"/>
    </xf>
    <xf numFmtId="0" fontId="16" fillId="3" borderId="5" xfId="0" applyFont="1" applyFill="1" applyBorder="1" applyAlignment="1">
      <alignment horizontal="right" vertical="center" readingOrder="2"/>
    </xf>
    <xf numFmtId="0" fontId="15" fillId="3" borderId="7" xfId="1" applyFont="1" applyFill="1" applyBorder="1" applyAlignment="1">
      <alignment horizontal="center" vertical="center" wrapText="1" readingOrder="2"/>
    </xf>
    <xf numFmtId="0" fontId="15" fillId="3" borderId="8" xfId="1" applyFont="1" applyFill="1" applyBorder="1" applyAlignment="1">
      <alignment horizontal="center" vertical="center" wrapText="1" readingOrder="2"/>
    </xf>
    <xf numFmtId="0" fontId="15" fillId="3" borderId="9" xfId="1" applyFont="1" applyFill="1" applyBorder="1" applyAlignment="1">
      <alignment horizontal="center" vertical="center" wrapText="1" readingOrder="2"/>
    </xf>
    <xf numFmtId="0" fontId="17" fillId="0" borderId="20" xfId="0" applyFont="1" applyBorder="1" applyAlignment="1">
      <alignment horizontal="center" vertical="center" readingOrder="2"/>
    </xf>
    <xf numFmtId="0" fontId="17" fillId="0" borderId="0" xfId="0" applyFont="1" applyAlignment="1">
      <alignment horizontal="center" vertical="center" readingOrder="2"/>
    </xf>
    <xf numFmtId="0" fontId="17" fillId="0" borderId="21" xfId="0" applyFont="1" applyBorder="1" applyAlignment="1">
      <alignment horizontal="center" vertical="center" readingOrder="2"/>
    </xf>
    <xf numFmtId="0" fontId="17" fillId="0" borderId="10" xfId="0" applyFont="1" applyBorder="1" applyAlignment="1">
      <alignment horizontal="center" vertical="center" readingOrder="2"/>
    </xf>
    <xf numFmtId="0" fontId="17" fillId="0" borderId="11" xfId="0" applyFont="1" applyBorder="1" applyAlignment="1">
      <alignment horizontal="center" vertical="center" readingOrder="2"/>
    </xf>
    <xf numFmtId="0" fontId="17" fillId="0" borderId="12" xfId="0" applyFont="1" applyBorder="1" applyAlignment="1">
      <alignment horizontal="center" vertical="center" readingOrder="2"/>
    </xf>
    <xf numFmtId="0" fontId="0" fillId="0" borderId="42" xfId="0" applyBorder="1" applyAlignment="1">
      <alignment vertical="center" readingOrder="2"/>
    </xf>
    <xf numFmtId="0" fontId="0" fillId="0" borderId="43" xfId="0" applyBorder="1" applyAlignment="1">
      <alignment vertical="center" readingOrder="2"/>
    </xf>
    <xf numFmtId="0" fontId="8" fillId="3" borderId="69" xfId="1" applyFont="1" applyFill="1" applyBorder="1" applyAlignment="1">
      <alignment horizontal="center" vertical="center" readingOrder="2"/>
    </xf>
    <xf numFmtId="0" fontId="8" fillId="3" borderId="70" xfId="1" applyFont="1" applyFill="1" applyBorder="1" applyAlignment="1">
      <alignment horizontal="center" vertical="center" readingOrder="2"/>
    </xf>
    <xf numFmtId="0" fontId="2" fillId="2" borderId="30" xfId="1" applyFont="1" applyFill="1" applyBorder="1" applyAlignment="1">
      <alignment horizontal="center" vertical="center" readingOrder="2"/>
    </xf>
    <xf numFmtId="0" fontId="0" fillId="0" borderId="30" xfId="0" applyBorder="1" applyAlignment="1">
      <alignment horizontal="center" vertical="center" readingOrder="2"/>
    </xf>
    <xf numFmtId="0" fontId="0" fillId="0" borderId="31" xfId="0" applyBorder="1" applyAlignment="1">
      <alignment horizontal="center" vertical="center" readingOrder="2"/>
    </xf>
    <xf numFmtId="0" fontId="13" fillId="2" borderId="32" xfId="1" applyFont="1" applyFill="1" applyBorder="1" applyAlignment="1">
      <alignment vertical="center" readingOrder="2"/>
    </xf>
    <xf numFmtId="0" fontId="14" fillId="0" borderId="30" xfId="0" applyFont="1" applyBorder="1" applyAlignment="1">
      <alignment vertical="center" readingOrder="2"/>
    </xf>
    <xf numFmtId="0" fontId="14" fillId="0" borderId="31" xfId="0" applyFont="1" applyBorder="1" applyAlignment="1">
      <alignment vertical="center" readingOrder="2"/>
    </xf>
    <xf numFmtId="0" fontId="59" fillId="23" borderId="67" xfId="0" applyFont="1" applyFill="1" applyBorder="1" applyAlignment="1">
      <alignment horizontal="center" vertical="center" wrapText="1"/>
    </xf>
    <xf numFmtId="0" fontId="59" fillId="23" borderId="66" xfId="0" applyFont="1" applyFill="1" applyBorder="1" applyAlignment="1">
      <alignment horizontal="center" vertical="center" wrapText="1"/>
    </xf>
    <xf numFmtId="0" fontId="59" fillId="23" borderId="145" xfId="0" applyFont="1" applyFill="1" applyBorder="1" applyAlignment="1">
      <alignment horizontal="center" vertical="center" wrapText="1"/>
    </xf>
    <xf numFmtId="0" fontId="59" fillId="22" borderId="0" xfId="0" applyFont="1" applyFill="1" applyAlignment="1">
      <alignment horizontal="center" vertical="center" wrapText="1"/>
    </xf>
    <xf numFmtId="0" fontId="59" fillId="22" borderId="46" xfId="0" applyFont="1" applyFill="1" applyBorder="1" applyAlignment="1">
      <alignment horizontal="center" vertical="center" wrapText="1"/>
    </xf>
    <xf numFmtId="0" fontId="59" fillId="22" borderId="151" xfId="3" applyFont="1" applyFill="1" applyBorder="1" applyAlignment="1">
      <alignment horizontal="center" vertical="center" wrapText="1"/>
    </xf>
    <xf numFmtId="0" fontId="59" fillId="22" borderId="156" xfId="3" applyFont="1" applyFill="1" applyBorder="1" applyAlignment="1">
      <alignment horizontal="center" vertical="center" wrapText="1"/>
    </xf>
    <xf numFmtId="0" fontId="59" fillId="22" borderId="157" xfId="3" applyFont="1" applyFill="1" applyBorder="1" applyAlignment="1">
      <alignment horizontal="center" vertical="center" wrapText="1"/>
    </xf>
    <xf numFmtId="0" fontId="59" fillId="22" borderId="159" xfId="3" applyFont="1" applyFill="1" applyBorder="1" applyAlignment="1">
      <alignment horizontal="center" vertical="center" wrapText="1"/>
    </xf>
    <xf numFmtId="0" fontId="59" fillId="22" borderId="149" xfId="3" applyFont="1" applyFill="1" applyBorder="1" applyAlignment="1">
      <alignment horizontal="center" vertical="center" wrapText="1"/>
    </xf>
    <xf numFmtId="0" fontId="59" fillId="22" borderId="154" xfId="3" applyFont="1" applyFill="1" applyBorder="1" applyAlignment="1">
      <alignment horizontal="center" vertical="center" wrapText="1"/>
    </xf>
    <xf numFmtId="0" fontId="59" fillId="22" borderId="67" xfId="0" applyFont="1" applyFill="1" applyBorder="1" applyAlignment="1">
      <alignment horizontal="center" vertical="center" wrapText="1"/>
    </xf>
    <xf numFmtId="0" fontId="59" fillId="22" borderId="66" xfId="0" applyFont="1" applyFill="1" applyBorder="1" applyAlignment="1">
      <alignment horizontal="center" vertical="center" wrapText="1"/>
    </xf>
    <xf numFmtId="0" fontId="59" fillId="22" borderId="145" xfId="0" applyFont="1" applyFill="1" applyBorder="1" applyAlignment="1">
      <alignment horizontal="center" vertical="center" wrapText="1"/>
    </xf>
    <xf numFmtId="0" fontId="63" fillId="22" borderId="156" xfId="3" applyFont="1" applyFill="1" applyBorder="1" applyAlignment="1">
      <alignment horizontal="center" vertical="center" wrapText="1"/>
    </xf>
    <xf numFmtId="0" fontId="63" fillId="22" borderId="157" xfId="3" applyFont="1" applyFill="1" applyBorder="1" applyAlignment="1">
      <alignment horizontal="center" vertical="center" wrapText="1"/>
    </xf>
    <xf numFmtId="0" fontId="63" fillId="22" borderId="159" xfId="3" applyFont="1" applyFill="1" applyBorder="1" applyAlignment="1">
      <alignment horizontal="center" vertical="center" wrapText="1"/>
    </xf>
    <xf numFmtId="0" fontId="0" fillId="0" borderId="0" xfId="0" applyAlignment="1">
      <alignment horizontal="center" vertical="center"/>
    </xf>
    <xf numFmtId="0" fontId="23" fillId="0" borderId="0" xfId="0" applyFont="1" applyAlignment="1">
      <alignment horizontal="center" vertical="center" wrapText="1"/>
    </xf>
    <xf numFmtId="0" fontId="64" fillId="0" borderId="0" xfId="0" applyFont="1" applyAlignment="1">
      <alignment horizontal="center" vertical="center" wrapText="1"/>
    </xf>
  </cellXfs>
  <cellStyles count="4">
    <cellStyle name="Normal" xfId="0" builtinId="0"/>
    <cellStyle name="Normal 2" xfId="1" xr:uid="{4DDD64FE-346B-4B12-9CA7-A7F14D6F0A0C}"/>
    <cellStyle name="Normal 2 2" xfId="3" xr:uid="{1E0668C0-F222-45CE-B0C5-8B0EE5D8E15A}"/>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s>
</file>

<file path=xl/drawings/drawing1.xml><?xml version="1.0" encoding="utf-8"?>
<xdr:wsDr xmlns:xdr="http://schemas.openxmlformats.org/drawingml/2006/spreadsheetDrawing" xmlns:a="http://schemas.openxmlformats.org/drawingml/2006/main">
  <xdr:twoCellAnchor>
    <xdr:from>
      <xdr:col>10</xdr:col>
      <xdr:colOff>1880876</xdr:colOff>
      <xdr:row>7</xdr:row>
      <xdr:rowOff>390542</xdr:rowOff>
    </xdr:from>
    <xdr:to>
      <xdr:col>13</xdr:col>
      <xdr:colOff>390436</xdr:colOff>
      <xdr:row>7</xdr:row>
      <xdr:rowOff>390542</xdr:rowOff>
    </xdr:to>
    <xdr:cxnSp macro="">
      <xdr:nvCxnSpPr>
        <xdr:cNvPr id="2" name="Straight Connector 1">
          <a:extLst>
            <a:ext uri="{FF2B5EF4-FFF2-40B4-BE49-F238E27FC236}">
              <a16:creationId xmlns:a16="http://schemas.microsoft.com/office/drawing/2014/main" id="{DB157000-33C1-463C-B092-7CCA1EA991CB}"/>
            </a:ext>
          </a:extLst>
        </xdr:cNvPr>
        <xdr:cNvCxnSpPr/>
      </xdr:nvCxnSpPr>
      <xdr:spPr>
        <a:xfrm flipH="1">
          <a:off x="10467761457" y="3719756"/>
          <a:ext cx="1158417"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404258</xdr:colOff>
      <xdr:row>8</xdr:row>
      <xdr:rowOff>297016</xdr:rowOff>
    </xdr:from>
    <xdr:to>
      <xdr:col>15</xdr:col>
      <xdr:colOff>304578</xdr:colOff>
      <xdr:row>8</xdr:row>
      <xdr:rowOff>297016</xdr:rowOff>
    </xdr:to>
    <xdr:cxnSp macro="">
      <xdr:nvCxnSpPr>
        <xdr:cNvPr id="3" name="Straight Connector 2">
          <a:extLst>
            <a:ext uri="{FF2B5EF4-FFF2-40B4-BE49-F238E27FC236}">
              <a16:creationId xmlns:a16="http://schemas.microsoft.com/office/drawing/2014/main" id="{A489448E-8F3E-46DA-9A9F-26CB4F7B4886}"/>
            </a:ext>
          </a:extLst>
        </xdr:cNvPr>
        <xdr:cNvCxnSpPr/>
      </xdr:nvCxnSpPr>
      <xdr:spPr>
        <a:xfrm flipH="1">
          <a:off x="9977123397" y="4468966"/>
          <a:ext cx="624220"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304578</xdr:colOff>
      <xdr:row>9</xdr:row>
      <xdr:rowOff>293503</xdr:rowOff>
    </xdr:from>
    <xdr:to>
      <xdr:col>19</xdr:col>
      <xdr:colOff>0</xdr:colOff>
      <xdr:row>9</xdr:row>
      <xdr:rowOff>293503</xdr:rowOff>
    </xdr:to>
    <xdr:cxnSp macro="">
      <xdr:nvCxnSpPr>
        <xdr:cNvPr id="4" name="Straight Connector 3">
          <a:extLst>
            <a:ext uri="{FF2B5EF4-FFF2-40B4-BE49-F238E27FC236}">
              <a16:creationId xmlns:a16="http://schemas.microsoft.com/office/drawing/2014/main" id="{E425A085-582A-4C08-9F82-7E1D623A989D}"/>
            </a:ext>
          </a:extLst>
        </xdr:cNvPr>
        <xdr:cNvCxnSpPr/>
      </xdr:nvCxnSpPr>
      <xdr:spPr>
        <a:xfrm flipH="1">
          <a:off x="9976170675" y="5036953"/>
          <a:ext cx="952722"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304578</xdr:colOff>
      <xdr:row>10</xdr:row>
      <xdr:rowOff>282428</xdr:rowOff>
    </xdr:from>
    <xdr:to>
      <xdr:col>21</xdr:col>
      <xdr:colOff>0</xdr:colOff>
      <xdr:row>10</xdr:row>
      <xdr:rowOff>282428</xdr:rowOff>
    </xdr:to>
    <xdr:cxnSp macro="">
      <xdr:nvCxnSpPr>
        <xdr:cNvPr id="5" name="Straight Connector 4">
          <a:extLst>
            <a:ext uri="{FF2B5EF4-FFF2-40B4-BE49-F238E27FC236}">
              <a16:creationId xmlns:a16="http://schemas.microsoft.com/office/drawing/2014/main" id="{41A94BEA-D17A-496C-82C7-B918F5DF11EE}"/>
            </a:ext>
          </a:extLst>
        </xdr:cNvPr>
        <xdr:cNvCxnSpPr/>
      </xdr:nvCxnSpPr>
      <xdr:spPr>
        <a:xfrm flipH="1">
          <a:off x="9975542025" y="5597378"/>
          <a:ext cx="952722"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394976</xdr:colOff>
      <xdr:row>7</xdr:row>
      <xdr:rowOff>370585</xdr:rowOff>
    </xdr:from>
    <xdr:to>
      <xdr:col>17</xdr:col>
      <xdr:colOff>0</xdr:colOff>
      <xdr:row>7</xdr:row>
      <xdr:rowOff>381000</xdr:rowOff>
    </xdr:to>
    <xdr:cxnSp macro="">
      <xdr:nvCxnSpPr>
        <xdr:cNvPr id="2" name="Straight Connector 1">
          <a:extLst>
            <a:ext uri="{FF2B5EF4-FFF2-40B4-BE49-F238E27FC236}">
              <a16:creationId xmlns:a16="http://schemas.microsoft.com/office/drawing/2014/main" id="{DED9A35E-8A69-4E32-A5BE-E11D4707CAD5}"/>
            </a:ext>
          </a:extLst>
        </xdr:cNvPr>
        <xdr:cNvCxnSpPr/>
      </xdr:nvCxnSpPr>
      <xdr:spPr>
        <a:xfrm flipH="1">
          <a:off x="9976799325" y="3685285"/>
          <a:ext cx="957574" cy="10415"/>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xdr:colOff>
      <xdr:row>8</xdr:row>
      <xdr:rowOff>401791</xdr:rowOff>
    </xdr:from>
    <xdr:to>
      <xdr:col>22</xdr:col>
      <xdr:colOff>304800</xdr:colOff>
      <xdr:row>8</xdr:row>
      <xdr:rowOff>401791</xdr:rowOff>
    </xdr:to>
    <xdr:cxnSp macro="">
      <xdr:nvCxnSpPr>
        <xdr:cNvPr id="3" name="Straight Connector 2">
          <a:extLst>
            <a:ext uri="{FF2B5EF4-FFF2-40B4-BE49-F238E27FC236}">
              <a16:creationId xmlns:a16="http://schemas.microsoft.com/office/drawing/2014/main" id="{85810CB4-140E-4C67-9881-E338A26E74CD}"/>
            </a:ext>
          </a:extLst>
        </xdr:cNvPr>
        <xdr:cNvCxnSpPr/>
      </xdr:nvCxnSpPr>
      <xdr:spPr>
        <a:xfrm flipH="1">
          <a:off x="9974922900" y="4573741"/>
          <a:ext cx="1866900"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310365</xdr:colOff>
      <xdr:row>7</xdr:row>
      <xdr:rowOff>268378</xdr:rowOff>
    </xdr:from>
    <xdr:to>
      <xdr:col>13</xdr:col>
      <xdr:colOff>373776</xdr:colOff>
      <xdr:row>7</xdr:row>
      <xdr:rowOff>268378</xdr:rowOff>
    </xdr:to>
    <xdr:cxnSp macro="">
      <xdr:nvCxnSpPr>
        <xdr:cNvPr id="2" name="Straight Connector 1">
          <a:extLst>
            <a:ext uri="{FF2B5EF4-FFF2-40B4-BE49-F238E27FC236}">
              <a16:creationId xmlns:a16="http://schemas.microsoft.com/office/drawing/2014/main" id="{82AB14DB-D18B-4D80-849B-78A9269EC099}"/>
            </a:ext>
          </a:extLst>
        </xdr:cNvPr>
        <xdr:cNvCxnSpPr/>
      </xdr:nvCxnSpPr>
      <xdr:spPr>
        <a:xfrm flipH="1">
          <a:off x="9977778099" y="3583078"/>
          <a:ext cx="377736"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10702</xdr:colOff>
      <xdr:row>8</xdr:row>
      <xdr:rowOff>274016</xdr:rowOff>
    </xdr:from>
    <xdr:to>
      <xdr:col>19</xdr:col>
      <xdr:colOff>299662</xdr:colOff>
      <xdr:row>8</xdr:row>
      <xdr:rowOff>274016</xdr:rowOff>
    </xdr:to>
    <xdr:cxnSp macro="">
      <xdr:nvCxnSpPr>
        <xdr:cNvPr id="3" name="Straight Connector 2">
          <a:extLst>
            <a:ext uri="{FF2B5EF4-FFF2-40B4-BE49-F238E27FC236}">
              <a16:creationId xmlns:a16="http://schemas.microsoft.com/office/drawing/2014/main" id="{F2F7EE9A-63F8-4981-9241-80F2D04FEEA0}"/>
            </a:ext>
          </a:extLst>
        </xdr:cNvPr>
        <xdr:cNvCxnSpPr/>
      </xdr:nvCxnSpPr>
      <xdr:spPr>
        <a:xfrm flipH="1">
          <a:off x="9975871013" y="4160216"/>
          <a:ext cx="1860585"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1268</xdr:colOff>
      <xdr:row>9</xdr:row>
      <xdr:rowOff>413482</xdr:rowOff>
    </xdr:from>
    <xdr:to>
      <xdr:col>20</xdr:col>
      <xdr:colOff>0</xdr:colOff>
      <xdr:row>9</xdr:row>
      <xdr:rowOff>413482</xdr:rowOff>
    </xdr:to>
    <xdr:cxnSp macro="">
      <xdr:nvCxnSpPr>
        <xdr:cNvPr id="4" name="Straight Connector 3">
          <a:extLst>
            <a:ext uri="{FF2B5EF4-FFF2-40B4-BE49-F238E27FC236}">
              <a16:creationId xmlns:a16="http://schemas.microsoft.com/office/drawing/2014/main" id="{3564509C-0FBF-4128-BF0A-AF8FD3473845}"/>
            </a:ext>
          </a:extLst>
        </xdr:cNvPr>
        <xdr:cNvCxnSpPr/>
      </xdr:nvCxnSpPr>
      <xdr:spPr>
        <a:xfrm flipH="1">
          <a:off x="9975856350" y="4842607"/>
          <a:ext cx="1884682"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10</xdr:row>
      <xdr:rowOff>230140</xdr:rowOff>
    </xdr:from>
    <xdr:to>
      <xdr:col>21</xdr:col>
      <xdr:colOff>309563</xdr:colOff>
      <xdr:row>10</xdr:row>
      <xdr:rowOff>230140</xdr:rowOff>
    </xdr:to>
    <xdr:cxnSp macro="">
      <xdr:nvCxnSpPr>
        <xdr:cNvPr id="5" name="Straight Connector 4">
          <a:extLst>
            <a:ext uri="{FF2B5EF4-FFF2-40B4-BE49-F238E27FC236}">
              <a16:creationId xmlns:a16="http://schemas.microsoft.com/office/drawing/2014/main" id="{B695B1DD-3473-42F8-B1E8-0E17E7A420A4}"/>
            </a:ext>
          </a:extLst>
        </xdr:cNvPr>
        <xdr:cNvCxnSpPr/>
      </xdr:nvCxnSpPr>
      <xdr:spPr>
        <a:xfrm flipH="1">
          <a:off x="9975232462" y="5545090"/>
          <a:ext cx="2509838"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385280</xdr:colOff>
      <xdr:row>11</xdr:row>
      <xdr:rowOff>228809</xdr:rowOff>
    </xdr:from>
    <xdr:to>
      <xdr:col>23</xdr:col>
      <xdr:colOff>1</xdr:colOff>
      <xdr:row>11</xdr:row>
      <xdr:rowOff>228809</xdr:rowOff>
    </xdr:to>
    <xdr:cxnSp macro="">
      <xdr:nvCxnSpPr>
        <xdr:cNvPr id="6" name="Straight Connector 5">
          <a:extLst>
            <a:ext uri="{FF2B5EF4-FFF2-40B4-BE49-F238E27FC236}">
              <a16:creationId xmlns:a16="http://schemas.microsoft.com/office/drawing/2014/main" id="{ADE51D4B-5DE1-4DB6-B2C0-9ACD96981A68}"/>
            </a:ext>
          </a:extLst>
        </xdr:cNvPr>
        <xdr:cNvCxnSpPr/>
      </xdr:nvCxnSpPr>
      <xdr:spPr>
        <a:xfrm flipH="1">
          <a:off x="9974913374" y="6077159"/>
          <a:ext cx="2853221"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1880876</xdr:colOff>
      <xdr:row>7</xdr:row>
      <xdr:rowOff>418210</xdr:rowOff>
    </xdr:from>
    <xdr:to>
      <xdr:col>11</xdr:col>
      <xdr:colOff>309563</xdr:colOff>
      <xdr:row>7</xdr:row>
      <xdr:rowOff>418210</xdr:rowOff>
    </xdr:to>
    <xdr:cxnSp macro="">
      <xdr:nvCxnSpPr>
        <xdr:cNvPr id="2" name="Straight Connector 1">
          <a:extLst>
            <a:ext uri="{FF2B5EF4-FFF2-40B4-BE49-F238E27FC236}">
              <a16:creationId xmlns:a16="http://schemas.microsoft.com/office/drawing/2014/main" id="{5D4A6052-904B-40E3-BA8A-7166B0260613}"/>
            </a:ext>
          </a:extLst>
        </xdr:cNvPr>
        <xdr:cNvCxnSpPr/>
      </xdr:nvCxnSpPr>
      <xdr:spPr>
        <a:xfrm flipH="1">
          <a:off x="9978470962" y="3732910"/>
          <a:ext cx="324162"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300374</xdr:colOff>
      <xdr:row>8</xdr:row>
      <xdr:rowOff>274016</xdr:rowOff>
    </xdr:from>
    <xdr:to>
      <xdr:col>20</xdr:col>
      <xdr:colOff>304995</xdr:colOff>
      <xdr:row>8</xdr:row>
      <xdr:rowOff>274016</xdr:rowOff>
    </xdr:to>
    <xdr:cxnSp macro="">
      <xdr:nvCxnSpPr>
        <xdr:cNvPr id="3" name="Straight Connector 2">
          <a:extLst>
            <a:ext uri="{FF2B5EF4-FFF2-40B4-BE49-F238E27FC236}">
              <a16:creationId xmlns:a16="http://schemas.microsoft.com/office/drawing/2014/main" id="{AD6FFA31-DE22-4A82-8B0C-7FAE28DF1235}"/>
            </a:ext>
          </a:extLst>
        </xdr:cNvPr>
        <xdr:cNvCxnSpPr/>
      </xdr:nvCxnSpPr>
      <xdr:spPr>
        <a:xfrm flipH="1">
          <a:off x="9975551355" y="4160216"/>
          <a:ext cx="2928796"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300932</xdr:colOff>
      <xdr:row>9</xdr:row>
      <xdr:rowOff>402780</xdr:rowOff>
    </xdr:from>
    <xdr:to>
      <xdr:col>13</xdr:col>
      <xdr:colOff>399812</xdr:colOff>
      <xdr:row>9</xdr:row>
      <xdr:rowOff>402780</xdr:rowOff>
    </xdr:to>
    <xdr:cxnSp macro="">
      <xdr:nvCxnSpPr>
        <xdr:cNvPr id="4" name="Straight Connector 3">
          <a:extLst>
            <a:ext uri="{FF2B5EF4-FFF2-40B4-BE49-F238E27FC236}">
              <a16:creationId xmlns:a16="http://schemas.microsoft.com/office/drawing/2014/main" id="{1810363C-4674-4B37-A6F2-E77067FE9F68}"/>
            </a:ext>
          </a:extLst>
        </xdr:cNvPr>
        <xdr:cNvCxnSpPr/>
      </xdr:nvCxnSpPr>
      <xdr:spPr>
        <a:xfrm flipH="1">
          <a:off x="9977752063" y="4831905"/>
          <a:ext cx="727530"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10</xdr:row>
      <xdr:rowOff>230140</xdr:rowOff>
    </xdr:from>
    <xdr:to>
      <xdr:col>21</xdr:col>
      <xdr:colOff>309563</xdr:colOff>
      <xdr:row>10</xdr:row>
      <xdr:rowOff>230140</xdr:rowOff>
    </xdr:to>
    <xdr:cxnSp macro="">
      <xdr:nvCxnSpPr>
        <xdr:cNvPr id="5" name="Straight Connector 4">
          <a:extLst>
            <a:ext uri="{FF2B5EF4-FFF2-40B4-BE49-F238E27FC236}">
              <a16:creationId xmlns:a16="http://schemas.microsoft.com/office/drawing/2014/main" id="{C041E944-ABFF-4EF1-8EA1-BF722747642C}"/>
            </a:ext>
          </a:extLst>
        </xdr:cNvPr>
        <xdr:cNvCxnSpPr/>
      </xdr:nvCxnSpPr>
      <xdr:spPr>
        <a:xfrm flipH="1">
          <a:off x="9975232462" y="5545090"/>
          <a:ext cx="3233738"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11</xdr:row>
      <xdr:rowOff>228809</xdr:rowOff>
    </xdr:from>
    <xdr:to>
      <xdr:col>23</xdr:col>
      <xdr:colOff>1</xdr:colOff>
      <xdr:row>11</xdr:row>
      <xdr:rowOff>228809</xdr:rowOff>
    </xdr:to>
    <xdr:cxnSp macro="">
      <xdr:nvCxnSpPr>
        <xdr:cNvPr id="6" name="Straight Connector 5">
          <a:extLst>
            <a:ext uri="{FF2B5EF4-FFF2-40B4-BE49-F238E27FC236}">
              <a16:creationId xmlns:a16="http://schemas.microsoft.com/office/drawing/2014/main" id="{795359C0-AD1A-4E10-9E51-C478DB8243CB}"/>
            </a:ext>
          </a:extLst>
        </xdr:cNvPr>
        <xdr:cNvCxnSpPr/>
      </xdr:nvCxnSpPr>
      <xdr:spPr>
        <a:xfrm flipH="1">
          <a:off x="9974913374" y="6077159"/>
          <a:ext cx="3552826" cy="0"/>
        </a:xfrm>
        <a:prstGeom prst="line">
          <a:avLst/>
        </a:prstGeom>
        <a:ln w="1016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FB8B-D45F-4FDE-B012-E450AC9742C4}">
  <dimension ref="A1:Z17"/>
  <sheetViews>
    <sheetView rightToLeft="1" view="pageBreakPreview" zoomScale="80" zoomScaleNormal="90" zoomScaleSheetLayoutView="80" workbookViewId="0">
      <selection activeCell="J10" sqref="J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50.7109375" style="21" customWidth="1"/>
    <col min="8" max="8" width="9.42578125" style="21" customWidth="1"/>
    <col min="9" max="9" width="32.28515625" style="21" customWidth="1"/>
    <col min="10" max="10" width="26.5703125" style="21" customWidth="1"/>
    <col min="11" max="22" width="4.140625" style="21" customWidth="1"/>
    <col min="23" max="23" width="4.42578125" style="21" bestFit="1" customWidth="1"/>
    <col min="24" max="24" width="7.140625" style="21" customWidth="1"/>
    <col min="25" max="25" width="11.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4.75" thickTop="1">
      <c r="A3" s="557" t="s">
        <v>1669</v>
      </c>
      <c r="B3" s="558"/>
      <c r="C3" s="558"/>
      <c r="D3" s="558"/>
      <c r="E3" s="559"/>
      <c r="F3" s="560" t="s">
        <v>1668</v>
      </c>
      <c r="G3" s="561"/>
      <c r="H3" s="562" t="s">
        <v>1667</v>
      </c>
      <c r="I3" s="563"/>
      <c r="J3" s="563"/>
      <c r="K3" s="563"/>
      <c r="L3" s="563"/>
      <c r="M3" s="563"/>
      <c r="N3" s="563"/>
      <c r="O3" s="563"/>
      <c r="P3" s="563"/>
      <c r="Q3" s="563"/>
      <c r="R3" s="563"/>
      <c r="S3" s="563"/>
      <c r="T3" s="563"/>
      <c r="U3" s="563"/>
      <c r="V3" s="563"/>
      <c r="W3" s="563"/>
      <c r="X3" s="563"/>
      <c r="Y3" s="564"/>
      <c r="Z3" s="451"/>
    </row>
    <row r="4" spans="1:26" s="3" customFormat="1" ht="24">
      <c r="A4" s="568" t="s">
        <v>1666</v>
      </c>
      <c r="B4" s="569"/>
      <c r="C4" s="569"/>
      <c r="D4" s="569"/>
      <c r="E4" s="570"/>
      <c r="F4" s="571" t="s">
        <v>281</v>
      </c>
      <c r="G4" s="572"/>
      <c r="H4" s="565"/>
      <c r="I4" s="566"/>
      <c r="J4" s="566"/>
      <c r="K4" s="566"/>
      <c r="L4" s="566"/>
      <c r="M4" s="566"/>
      <c r="N4" s="566"/>
      <c r="O4" s="566"/>
      <c r="P4" s="566"/>
      <c r="Q4" s="566"/>
      <c r="R4" s="566"/>
      <c r="S4" s="566"/>
      <c r="T4" s="566"/>
      <c r="U4" s="566"/>
      <c r="V4" s="566"/>
      <c r="W4" s="566"/>
      <c r="X4" s="566"/>
      <c r="Y4" s="567"/>
      <c r="Z4" s="451"/>
    </row>
    <row r="5" spans="1:26" s="3" customFormat="1" ht="24.75" thickBot="1">
      <c r="A5" s="573" t="s">
        <v>1665</v>
      </c>
      <c r="B5" s="574"/>
      <c r="C5" s="574"/>
      <c r="D5" s="574"/>
      <c r="E5" s="575"/>
      <c r="F5" s="576" t="s">
        <v>1664</v>
      </c>
      <c r="G5" s="576"/>
      <c r="H5" s="577" t="s">
        <v>1663</v>
      </c>
      <c r="I5" s="578"/>
      <c r="J5" s="578"/>
      <c r="K5" s="578"/>
      <c r="L5" s="578"/>
      <c r="M5" s="578"/>
      <c r="N5" s="578"/>
      <c r="O5" s="578"/>
      <c r="P5" s="578"/>
      <c r="Q5" s="578"/>
      <c r="R5" s="578"/>
      <c r="S5" s="578"/>
      <c r="T5" s="578"/>
      <c r="U5" s="578"/>
      <c r="V5" s="578"/>
      <c r="W5" s="578"/>
      <c r="X5" s="578"/>
      <c r="Y5" s="579"/>
      <c r="Z5" s="451"/>
    </row>
    <row r="6" spans="1:26" ht="28.5">
      <c r="A6" s="580" t="s">
        <v>9</v>
      </c>
      <c r="B6" s="582" t="s">
        <v>58</v>
      </c>
      <c r="C6" s="583"/>
      <c r="D6" s="583"/>
      <c r="E6" s="583"/>
      <c r="F6" s="583"/>
      <c r="G6" s="584"/>
      <c r="H6" s="587" t="s">
        <v>59</v>
      </c>
      <c r="I6" s="589" t="s">
        <v>60</v>
      </c>
      <c r="J6" s="587" t="s">
        <v>61</v>
      </c>
      <c r="K6" s="591" t="s">
        <v>971</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1662</v>
      </c>
      <c r="C8" s="551"/>
      <c r="D8" s="551"/>
      <c r="E8" s="551"/>
      <c r="F8" s="551"/>
      <c r="G8" s="551"/>
      <c r="H8" s="15">
        <v>30</v>
      </c>
      <c r="I8" s="9" t="s">
        <v>1661</v>
      </c>
      <c r="J8" s="9"/>
      <c r="K8" s="16"/>
      <c r="L8" s="294"/>
      <c r="M8" s="16"/>
      <c r="N8" s="16"/>
      <c r="O8" s="16"/>
      <c r="P8" s="16"/>
      <c r="Q8" s="16"/>
      <c r="R8" s="16"/>
      <c r="S8" s="16"/>
      <c r="T8" s="16"/>
      <c r="U8" s="19"/>
      <c r="V8" s="19"/>
      <c r="W8" s="518"/>
      <c r="X8" s="518"/>
      <c r="Y8" s="518"/>
      <c r="Z8" s="451"/>
    </row>
    <row r="9" spans="1:26" s="14" customFormat="1" ht="58.5" customHeight="1">
      <c r="A9" s="23" t="s">
        <v>66</v>
      </c>
      <c r="B9" s="515" t="s">
        <v>1660</v>
      </c>
      <c r="C9" s="516"/>
      <c r="D9" s="516"/>
      <c r="E9" s="516"/>
      <c r="F9" s="516"/>
      <c r="G9" s="517"/>
      <c r="H9" s="15">
        <v>30</v>
      </c>
      <c r="I9" s="9" t="s">
        <v>1659</v>
      </c>
      <c r="J9" s="9"/>
      <c r="K9" s="16"/>
      <c r="L9" s="16"/>
      <c r="M9" s="294"/>
      <c r="N9" s="294"/>
      <c r="O9" s="294"/>
      <c r="P9" s="294"/>
      <c r="Q9" s="294"/>
      <c r="R9" s="294"/>
      <c r="S9" s="294"/>
      <c r="T9" s="294"/>
      <c r="U9" s="294"/>
      <c r="V9" s="294"/>
      <c r="W9" s="518"/>
      <c r="X9" s="518"/>
      <c r="Y9" s="518"/>
      <c r="Z9" s="451"/>
    </row>
    <row r="10" spans="1:26" s="14" customFormat="1" ht="58.5" customHeight="1">
      <c r="A10" s="23" t="s">
        <v>68</v>
      </c>
      <c r="B10" s="515" t="s">
        <v>1658</v>
      </c>
      <c r="C10" s="516"/>
      <c r="D10" s="516"/>
      <c r="E10" s="516"/>
      <c r="F10" s="516"/>
      <c r="G10" s="517"/>
      <c r="H10" s="15">
        <v>20</v>
      </c>
      <c r="I10" s="9" t="s">
        <v>1601</v>
      </c>
      <c r="J10" s="9"/>
      <c r="K10" s="16"/>
      <c r="L10" s="16"/>
      <c r="M10" s="16"/>
      <c r="N10" s="294"/>
      <c r="O10" s="294"/>
      <c r="P10" s="294"/>
      <c r="Q10" s="294"/>
      <c r="R10" s="294"/>
      <c r="S10" s="294"/>
      <c r="T10" s="294"/>
      <c r="U10" s="294"/>
      <c r="V10" s="294"/>
      <c r="W10" s="518"/>
      <c r="X10" s="518"/>
      <c r="Y10" s="518"/>
      <c r="Z10" s="451"/>
    </row>
    <row r="11" spans="1:26" s="14" customFormat="1" ht="27" customHeight="1" thickBot="1">
      <c r="A11" s="23" t="s">
        <v>70</v>
      </c>
      <c r="B11" s="530" t="s">
        <v>1657</v>
      </c>
      <c r="C11" s="531"/>
      <c r="D11" s="531"/>
      <c r="E11" s="531"/>
      <c r="F11" s="531"/>
      <c r="G11" s="532"/>
      <c r="H11" s="15">
        <v>20</v>
      </c>
      <c r="I11" s="9" t="s">
        <v>1656</v>
      </c>
      <c r="J11" s="9"/>
      <c r="K11" s="16"/>
      <c r="L11" s="16"/>
      <c r="M11" s="16"/>
      <c r="N11" s="294"/>
      <c r="O11" s="294"/>
      <c r="P11" s="294"/>
      <c r="Q11" s="294"/>
      <c r="R11" s="294"/>
      <c r="S11" s="294"/>
      <c r="T11" s="294"/>
      <c r="U11" s="294"/>
      <c r="V11" s="294"/>
      <c r="W11" s="518"/>
      <c r="X11" s="518"/>
      <c r="Y11" s="518"/>
      <c r="Z11" s="451"/>
    </row>
    <row r="12" spans="1:26" ht="30" thickTop="1" thickBot="1">
      <c r="A12" s="519" t="s">
        <v>1655</v>
      </c>
      <c r="B12" s="520"/>
      <c r="C12" s="520"/>
      <c r="D12" s="521"/>
      <c r="E12" s="527" t="s">
        <v>73</v>
      </c>
      <c r="F12" s="528"/>
      <c r="G12" s="528"/>
      <c r="H12" s="528"/>
      <c r="I12" s="528"/>
      <c r="J12" s="527" t="s">
        <v>74</v>
      </c>
      <c r="K12" s="528"/>
      <c r="L12" s="528"/>
      <c r="M12" s="529"/>
      <c r="N12" s="543" t="s">
        <v>75</v>
      </c>
      <c r="O12" s="544"/>
      <c r="P12" s="544"/>
      <c r="Q12" s="544"/>
      <c r="R12" s="544"/>
      <c r="S12" s="544"/>
      <c r="T12" s="544"/>
      <c r="U12" s="544"/>
      <c r="V12" s="545"/>
      <c r="W12" s="543" t="s">
        <v>76</v>
      </c>
      <c r="X12" s="544"/>
      <c r="Y12" s="545"/>
      <c r="Z12" s="451"/>
    </row>
    <row r="13" spans="1:26" s="20" customFormat="1" ht="29.25" thickTop="1">
      <c r="A13" s="522"/>
      <c r="B13" s="498"/>
      <c r="C13" s="498"/>
      <c r="D13" s="523"/>
      <c r="E13" s="533"/>
      <c r="F13" s="534"/>
      <c r="G13" s="533"/>
      <c r="H13" s="539"/>
      <c r="I13" s="534"/>
      <c r="J13" s="541" t="s">
        <v>47</v>
      </c>
      <c r="K13" s="539"/>
      <c r="L13" s="539"/>
      <c r="M13" s="534"/>
      <c r="N13" s="546"/>
      <c r="O13" s="481"/>
      <c r="P13" s="481"/>
      <c r="Q13" s="481"/>
      <c r="R13" s="481"/>
      <c r="S13" s="481"/>
      <c r="T13" s="481"/>
      <c r="U13" s="481"/>
      <c r="V13" s="547"/>
      <c r="W13" s="546"/>
      <c r="X13" s="481"/>
      <c r="Y13" s="547"/>
    </row>
    <row r="14" spans="1:26" s="20" customFormat="1" ht="29.25" thickBot="1">
      <c r="A14" s="522"/>
      <c r="B14" s="498"/>
      <c r="C14" s="498"/>
      <c r="D14" s="523"/>
      <c r="E14" s="535"/>
      <c r="F14" s="536"/>
      <c r="G14" s="535"/>
      <c r="H14" s="507"/>
      <c r="I14" s="536"/>
      <c r="J14" s="542"/>
      <c r="K14" s="540"/>
      <c r="L14" s="540"/>
      <c r="M14" s="538"/>
      <c r="N14" s="546"/>
      <c r="O14" s="481"/>
      <c r="P14" s="481"/>
      <c r="Q14" s="481"/>
      <c r="R14" s="481"/>
      <c r="S14" s="481"/>
      <c r="T14" s="481"/>
      <c r="U14" s="481"/>
      <c r="V14" s="547"/>
      <c r="W14" s="546"/>
      <c r="X14" s="481"/>
      <c r="Y14" s="547"/>
    </row>
    <row r="15" spans="1:26" s="20" customFormat="1" ht="29.25" thickTop="1">
      <c r="A15" s="522"/>
      <c r="B15" s="498"/>
      <c r="C15" s="498"/>
      <c r="D15" s="523"/>
      <c r="E15" s="535"/>
      <c r="F15" s="536"/>
      <c r="G15" s="535"/>
      <c r="H15" s="507"/>
      <c r="I15" s="536"/>
      <c r="J15" s="541" t="s">
        <v>48</v>
      </c>
      <c r="K15" s="539"/>
      <c r="L15" s="539"/>
      <c r="M15" s="534"/>
      <c r="N15" s="546"/>
      <c r="O15" s="481"/>
      <c r="P15" s="481"/>
      <c r="Q15" s="481"/>
      <c r="R15" s="481"/>
      <c r="S15" s="481"/>
      <c r="T15" s="481"/>
      <c r="U15" s="481"/>
      <c r="V15" s="547"/>
      <c r="W15" s="546"/>
      <c r="X15" s="481"/>
      <c r="Y15" s="547"/>
    </row>
    <row r="16" spans="1:26" s="20" customFormat="1" ht="29.25" thickBot="1">
      <c r="A16" s="524"/>
      <c r="B16" s="525"/>
      <c r="C16" s="525"/>
      <c r="D16" s="526"/>
      <c r="E16" s="537"/>
      <c r="F16" s="538"/>
      <c r="G16" s="537"/>
      <c r="H16" s="540"/>
      <c r="I16" s="538"/>
      <c r="J16" s="542"/>
      <c r="K16" s="540"/>
      <c r="L16" s="540"/>
      <c r="M16" s="538"/>
      <c r="N16" s="548"/>
      <c r="O16" s="549"/>
      <c r="P16" s="549"/>
      <c r="Q16" s="549"/>
      <c r="R16" s="549"/>
      <c r="S16" s="549"/>
      <c r="T16" s="549"/>
      <c r="U16" s="549"/>
      <c r="V16" s="550"/>
      <c r="W16" s="548"/>
      <c r="X16" s="549"/>
      <c r="Y16" s="550"/>
    </row>
    <row r="17" ht="18.75" thickTop="1"/>
  </sheetData>
  <mergeCells count="37">
    <mergeCell ref="H6:H7"/>
    <mergeCell ref="I6:I7"/>
    <mergeCell ref="J6:J7"/>
    <mergeCell ref="W6:Y7"/>
    <mergeCell ref="K6:V6"/>
    <mergeCell ref="J15:J16"/>
    <mergeCell ref="K15:M16"/>
    <mergeCell ref="B8:G8"/>
    <mergeCell ref="N12:V16"/>
    <mergeCell ref="A1:Y1"/>
    <mergeCell ref="A2:Y2"/>
    <mergeCell ref="A3:E3"/>
    <mergeCell ref="F3:G3"/>
    <mergeCell ref="H3:Y4"/>
    <mergeCell ref="A4:E4"/>
    <mergeCell ref="F4:G4"/>
    <mergeCell ref="A5:E5"/>
    <mergeCell ref="F5:G5"/>
    <mergeCell ref="H5:Y5"/>
    <mergeCell ref="A6:A7"/>
    <mergeCell ref="B6:G7"/>
    <mergeCell ref="Z1:Z12"/>
    <mergeCell ref="B9:G9"/>
    <mergeCell ref="W9:Y9"/>
    <mergeCell ref="A12:D16"/>
    <mergeCell ref="E12:I12"/>
    <mergeCell ref="J12:M12"/>
    <mergeCell ref="B11:G11"/>
    <mergeCell ref="E13:F16"/>
    <mergeCell ref="G13:I16"/>
    <mergeCell ref="J13:J14"/>
    <mergeCell ref="W12:Y16"/>
    <mergeCell ref="W11:Y11"/>
    <mergeCell ref="W8:Y8"/>
    <mergeCell ref="B10:G10"/>
    <mergeCell ref="W10:Y10"/>
    <mergeCell ref="K13:M14"/>
  </mergeCells>
  <printOptions horizontalCentered="1" verticalCentered="1"/>
  <pageMargins left="0" right="0" top="0" bottom="0" header="0" footer="0"/>
  <pageSetup scale="4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9"/>
  <sheetViews>
    <sheetView rightToLeft="1" view="pageBreakPreview" zoomScale="90" zoomScaleNormal="100" zoomScaleSheetLayoutView="90" workbookViewId="0">
      <selection activeCell="B12" sqref="B12:G12"/>
    </sheetView>
  </sheetViews>
  <sheetFormatPr defaultRowHeight="15"/>
  <cols>
    <col min="1" max="1" width="6.7109375" bestFit="1" customWidth="1"/>
    <col min="6" max="6" width="17.140625" customWidth="1"/>
    <col min="7" max="7" width="27" customWidth="1"/>
    <col min="8" max="8" width="20.28515625" bestFit="1" customWidth="1"/>
    <col min="9" max="10" width="22.28515625" bestFit="1" customWidth="1"/>
    <col min="11" max="22" width="6.7109375" bestFit="1" customWidth="1"/>
  </cols>
  <sheetData>
    <row r="1" spans="1:25"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row>
    <row r="2" spans="1:25"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row>
    <row r="3" spans="1:25" ht="24.75" thickTop="1">
      <c r="A3" s="557" t="s">
        <v>2600</v>
      </c>
      <c r="B3" s="558"/>
      <c r="C3" s="558"/>
      <c r="D3" s="558"/>
      <c r="E3" s="559"/>
      <c r="F3" s="560" t="s">
        <v>2601</v>
      </c>
      <c r="G3" s="561"/>
      <c r="H3" s="562" t="s">
        <v>2612</v>
      </c>
      <c r="I3" s="563"/>
      <c r="J3" s="563"/>
      <c r="K3" s="563"/>
      <c r="L3" s="563"/>
      <c r="M3" s="563"/>
      <c r="N3" s="563"/>
      <c r="O3" s="563"/>
      <c r="P3" s="563"/>
      <c r="Q3" s="563"/>
      <c r="R3" s="563"/>
      <c r="S3" s="563"/>
      <c r="T3" s="563"/>
      <c r="U3" s="563"/>
      <c r="V3" s="563"/>
      <c r="W3" s="563"/>
      <c r="X3" s="563"/>
      <c r="Y3" s="564"/>
    </row>
    <row r="4" spans="1:25" ht="24">
      <c r="A4" s="568" t="s">
        <v>2602</v>
      </c>
      <c r="B4" s="569"/>
      <c r="C4" s="569"/>
      <c r="D4" s="569"/>
      <c r="E4" s="570"/>
      <c r="F4" s="571" t="s">
        <v>1596</v>
      </c>
      <c r="G4" s="572"/>
      <c r="H4" s="565"/>
      <c r="I4" s="566"/>
      <c r="J4" s="566"/>
      <c r="K4" s="566"/>
      <c r="L4" s="566"/>
      <c r="M4" s="566"/>
      <c r="N4" s="566"/>
      <c r="O4" s="566"/>
      <c r="P4" s="566"/>
      <c r="Q4" s="566"/>
      <c r="R4" s="566"/>
      <c r="S4" s="566"/>
      <c r="T4" s="566"/>
      <c r="U4" s="566"/>
      <c r="V4" s="566"/>
      <c r="W4" s="566"/>
      <c r="X4" s="566"/>
      <c r="Y4" s="567"/>
    </row>
    <row r="5" spans="1:25" ht="24.75" thickBot="1">
      <c r="A5" s="573" t="s">
        <v>2603</v>
      </c>
      <c r="B5" s="574"/>
      <c r="C5" s="574"/>
      <c r="D5" s="574"/>
      <c r="E5" s="575"/>
      <c r="F5" s="576" t="s">
        <v>283</v>
      </c>
      <c r="G5" s="576"/>
      <c r="H5" s="577" t="s">
        <v>284</v>
      </c>
      <c r="I5" s="578"/>
      <c r="J5" s="578"/>
      <c r="K5" s="578"/>
      <c r="L5" s="578"/>
      <c r="M5" s="578"/>
      <c r="N5" s="578"/>
      <c r="O5" s="578"/>
      <c r="P5" s="578"/>
      <c r="Q5" s="578"/>
      <c r="R5" s="578"/>
      <c r="S5" s="578"/>
      <c r="T5" s="578"/>
      <c r="U5" s="578"/>
      <c r="V5" s="578"/>
      <c r="W5" s="578"/>
      <c r="X5" s="578"/>
      <c r="Y5" s="579"/>
    </row>
    <row r="6" spans="1:25"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row>
    <row r="7" spans="1:25"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row>
    <row r="8" spans="1:25" ht="24">
      <c r="A8" s="23" t="s">
        <v>28</v>
      </c>
      <c r="B8" s="530" t="s">
        <v>2604</v>
      </c>
      <c r="C8" s="531"/>
      <c r="D8" s="531"/>
      <c r="E8" s="531"/>
      <c r="F8" s="531"/>
      <c r="G8" s="532"/>
      <c r="H8" s="15">
        <v>20</v>
      </c>
      <c r="I8" s="443" t="s">
        <v>1601</v>
      </c>
      <c r="J8" s="158"/>
      <c r="K8" s="287"/>
      <c r="L8" s="444"/>
      <c r="M8" s="444"/>
      <c r="N8" s="160"/>
      <c r="O8" s="160"/>
      <c r="P8" s="160"/>
      <c r="Q8" s="160"/>
      <c r="R8" s="160"/>
      <c r="S8" s="160"/>
      <c r="T8" s="160"/>
      <c r="U8" s="160"/>
      <c r="V8" s="160"/>
      <c r="W8" s="594"/>
      <c r="X8" s="595"/>
      <c r="Y8" s="596"/>
    </row>
    <row r="9" spans="1:25" ht="24">
      <c r="A9" s="23" t="s">
        <v>66</v>
      </c>
      <c r="B9" s="530" t="s">
        <v>2605</v>
      </c>
      <c r="C9" s="531"/>
      <c r="D9" s="531"/>
      <c r="E9" s="531"/>
      <c r="F9" s="531"/>
      <c r="G9" s="532"/>
      <c r="H9" s="15">
        <v>10</v>
      </c>
      <c r="I9" s="443" t="s">
        <v>2606</v>
      </c>
      <c r="J9" s="158"/>
      <c r="K9" s="160"/>
      <c r="L9" s="287"/>
      <c r="M9" s="444"/>
      <c r="N9" s="160"/>
      <c r="O9" s="160"/>
      <c r="P9" s="160"/>
      <c r="Q9" s="160"/>
      <c r="R9" s="160"/>
      <c r="S9" s="160"/>
      <c r="T9" s="160"/>
      <c r="U9" s="160"/>
      <c r="V9" s="160"/>
      <c r="W9" s="597"/>
      <c r="X9" s="597"/>
      <c r="Y9" s="597"/>
    </row>
    <row r="10" spans="1:25" ht="24">
      <c r="A10" s="23" t="s">
        <v>68</v>
      </c>
      <c r="B10" s="530" t="s">
        <v>2607</v>
      </c>
      <c r="C10" s="531"/>
      <c r="D10" s="531"/>
      <c r="E10" s="531"/>
      <c r="F10" s="531"/>
      <c r="G10" s="532"/>
      <c r="H10" s="15">
        <v>20</v>
      </c>
      <c r="I10" s="443" t="s">
        <v>2608</v>
      </c>
      <c r="J10" s="158"/>
      <c r="K10" s="160"/>
      <c r="L10" s="287"/>
      <c r="M10" s="287"/>
      <c r="N10" s="444"/>
      <c r="O10" s="160"/>
      <c r="P10" s="160"/>
      <c r="Q10" s="160"/>
      <c r="R10" s="160"/>
      <c r="S10" s="160"/>
      <c r="T10" s="160"/>
      <c r="U10" s="160"/>
      <c r="V10" s="160"/>
      <c r="W10" s="518"/>
      <c r="X10" s="518"/>
      <c r="Y10" s="518"/>
    </row>
    <row r="11" spans="1:25" ht="24">
      <c r="A11" s="23" t="s">
        <v>70</v>
      </c>
      <c r="B11" s="530" t="s">
        <v>2609</v>
      </c>
      <c r="C11" s="531"/>
      <c r="D11" s="531"/>
      <c r="E11" s="531"/>
      <c r="F11" s="531"/>
      <c r="G11" s="532"/>
      <c r="H11" s="15">
        <v>30</v>
      </c>
      <c r="I11" s="443" t="s">
        <v>1609</v>
      </c>
      <c r="J11" s="158"/>
      <c r="K11" s="160"/>
      <c r="L11" s="287"/>
      <c r="M11" s="287"/>
      <c r="N11" s="444"/>
      <c r="O11" s="160"/>
      <c r="P11" s="160"/>
      <c r="Q11" s="160"/>
      <c r="R11" s="160"/>
      <c r="S11" s="160"/>
      <c r="T11" s="160"/>
      <c r="U11" s="160"/>
      <c r="V11" s="160"/>
      <c r="W11" s="518"/>
      <c r="X11" s="518"/>
      <c r="Y11" s="518"/>
    </row>
    <row r="12" spans="1:25" ht="24">
      <c r="A12" s="23" t="s">
        <v>153</v>
      </c>
      <c r="B12" s="530" t="s">
        <v>2593</v>
      </c>
      <c r="C12" s="531"/>
      <c r="D12" s="531"/>
      <c r="E12" s="531"/>
      <c r="F12" s="531"/>
      <c r="G12" s="532"/>
      <c r="H12" s="15">
        <v>10</v>
      </c>
      <c r="I12" s="443" t="s">
        <v>2610</v>
      </c>
      <c r="J12" s="158"/>
      <c r="K12" s="160"/>
      <c r="L12" s="160"/>
      <c r="M12" s="160"/>
      <c r="N12" s="287"/>
      <c r="O12" s="287"/>
      <c r="P12" s="160"/>
      <c r="Q12" s="160"/>
      <c r="R12" s="160"/>
      <c r="S12" s="160"/>
      <c r="T12" s="160"/>
      <c r="U12" s="160"/>
      <c r="V12" s="160"/>
      <c r="W12" s="518"/>
      <c r="X12" s="518"/>
      <c r="Y12" s="518"/>
    </row>
    <row r="13" spans="1:25" ht="24.75" thickBot="1">
      <c r="A13" s="23" t="s">
        <v>155</v>
      </c>
      <c r="B13" s="551" t="s">
        <v>2611</v>
      </c>
      <c r="C13" s="551"/>
      <c r="D13" s="551"/>
      <c r="E13" s="551"/>
      <c r="F13" s="551"/>
      <c r="G13" s="551"/>
      <c r="H13" s="15">
        <v>10</v>
      </c>
      <c r="I13" s="443" t="s">
        <v>2610</v>
      </c>
      <c r="J13" s="158"/>
      <c r="K13" s="160"/>
      <c r="L13" s="160"/>
      <c r="M13" s="160"/>
      <c r="N13" s="444"/>
      <c r="O13" s="160"/>
      <c r="P13" s="287"/>
      <c r="Q13" s="287"/>
      <c r="R13" s="287"/>
      <c r="S13" s="287"/>
      <c r="T13" s="287"/>
      <c r="U13" s="287"/>
      <c r="V13" s="287"/>
      <c r="W13" s="597"/>
      <c r="X13" s="597"/>
      <c r="Y13" s="597"/>
    </row>
    <row r="14" spans="1:25" ht="25.5" thickTop="1" thickBot="1">
      <c r="A14" s="598" t="s">
        <v>72</v>
      </c>
      <c r="B14" s="599"/>
      <c r="C14" s="599"/>
      <c r="D14" s="600"/>
      <c r="E14" s="607" t="s">
        <v>73</v>
      </c>
      <c r="F14" s="608"/>
      <c r="G14" s="608"/>
      <c r="H14" s="608"/>
      <c r="I14" s="608"/>
      <c r="J14" s="607" t="s">
        <v>74</v>
      </c>
      <c r="K14" s="608"/>
      <c r="L14" s="608"/>
      <c r="M14" s="609"/>
      <c r="N14" s="610" t="s">
        <v>75</v>
      </c>
      <c r="O14" s="611"/>
      <c r="P14" s="611"/>
      <c r="Q14" s="611"/>
      <c r="R14" s="611"/>
      <c r="S14" s="611"/>
      <c r="T14" s="611"/>
      <c r="U14" s="611"/>
      <c r="V14" s="612"/>
      <c r="W14" s="610" t="s">
        <v>76</v>
      </c>
      <c r="X14" s="611"/>
      <c r="Y14" s="612"/>
    </row>
    <row r="15" spans="1:25" ht="23.25" thickTop="1">
      <c r="A15" s="601"/>
      <c r="B15" s="602"/>
      <c r="C15" s="602"/>
      <c r="D15" s="603"/>
      <c r="E15" s="445"/>
      <c r="F15" s="445"/>
      <c r="G15" s="445"/>
      <c r="H15" s="445"/>
      <c r="I15" s="445"/>
      <c r="J15" s="619" t="s">
        <v>47</v>
      </c>
      <c r="K15" s="621"/>
      <c r="L15" s="621"/>
      <c r="M15" s="622"/>
      <c r="N15" s="613"/>
      <c r="O15" s="614"/>
      <c r="P15" s="614"/>
      <c r="Q15" s="614"/>
      <c r="R15" s="614"/>
      <c r="S15" s="614"/>
      <c r="T15" s="614"/>
      <c r="U15" s="614"/>
      <c r="V15" s="615"/>
      <c r="W15" s="613"/>
      <c r="X15" s="614"/>
      <c r="Y15" s="615"/>
    </row>
    <row r="16" spans="1:25" ht="23.25" thickBot="1">
      <c r="A16" s="601"/>
      <c r="B16" s="602"/>
      <c r="C16" s="602"/>
      <c r="D16" s="603"/>
      <c r="E16" s="292"/>
      <c r="F16" s="292"/>
      <c r="G16" s="292"/>
      <c r="H16" s="292"/>
      <c r="I16" s="292"/>
      <c r="J16" s="620"/>
      <c r="K16" s="623"/>
      <c r="L16" s="623"/>
      <c r="M16" s="624"/>
      <c r="N16" s="613"/>
      <c r="O16" s="614"/>
      <c r="P16" s="614"/>
      <c r="Q16" s="614"/>
      <c r="R16" s="614"/>
      <c r="S16" s="614"/>
      <c r="T16" s="614"/>
      <c r="U16" s="614"/>
      <c r="V16" s="615"/>
      <c r="W16" s="613"/>
      <c r="X16" s="614"/>
      <c r="Y16" s="615"/>
    </row>
    <row r="17" spans="1:25" ht="23.25" thickTop="1">
      <c r="A17" s="601"/>
      <c r="B17" s="602"/>
      <c r="C17" s="602"/>
      <c r="D17" s="603"/>
      <c r="E17" s="292"/>
      <c r="F17" s="292"/>
      <c r="G17" s="292"/>
      <c r="H17" s="292"/>
      <c r="I17" s="292"/>
      <c r="J17" s="619" t="s">
        <v>48</v>
      </c>
      <c r="K17" s="621"/>
      <c r="L17" s="621"/>
      <c r="M17" s="622"/>
      <c r="N17" s="613"/>
      <c r="O17" s="614"/>
      <c r="P17" s="614"/>
      <c r="Q17" s="614"/>
      <c r="R17" s="614"/>
      <c r="S17" s="614"/>
      <c r="T17" s="614"/>
      <c r="U17" s="614"/>
      <c r="V17" s="615"/>
      <c r="W17" s="613"/>
      <c r="X17" s="614"/>
      <c r="Y17" s="615"/>
    </row>
    <row r="18" spans="1:25" ht="23.25" thickBot="1">
      <c r="A18" s="604"/>
      <c r="B18" s="605"/>
      <c r="C18" s="605"/>
      <c r="D18" s="606"/>
      <c r="E18" s="446"/>
      <c r="F18" s="446"/>
      <c r="G18" s="446"/>
      <c r="H18" s="446"/>
      <c r="I18" s="446"/>
      <c r="J18" s="620"/>
      <c r="K18" s="623"/>
      <c r="L18" s="623"/>
      <c r="M18" s="624"/>
      <c r="N18" s="616"/>
      <c r="O18" s="617"/>
      <c r="P18" s="617"/>
      <c r="Q18" s="617"/>
      <c r="R18" s="617"/>
      <c r="S18" s="617"/>
      <c r="T18" s="617"/>
      <c r="U18" s="617"/>
      <c r="V18" s="618"/>
      <c r="W18" s="616"/>
      <c r="X18" s="617"/>
      <c r="Y18" s="618"/>
    </row>
    <row r="19" spans="1:25" ht="15.75" thickTop="1"/>
  </sheetData>
  <mergeCells count="38">
    <mergeCell ref="A14:D18"/>
    <mergeCell ref="E14:I14"/>
    <mergeCell ref="J14:M14"/>
    <mergeCell ref="N14:V18"/>
    <mergeCell ref="W14:Y18"/>
    <mergeCell ref="J15:J16"/>
    <mergeCell ref="K15:M16"/>
    <mergeCell ref="J17:J18"/>
    <mergeCell ref="K17:M18"/>
    <mergeCell ref="B11:G11"/>
    <mergeCell ref="W11:Y11"/>
    <mergeCell ref="B12:G12"/>
    <mergeCell ref="W12:Y12"/>
    <mergeCell ref="B13:G13"/>
    <mergeCell ref="W13:Y13"/>
    <mergeCell ref="B8:G8"/>
    <mergeCell ref="W8:Y8"/>
    <mergeCell ref="B9:G9"/>
    <mergeCell ref="W9:Y9"/>
    <mergeCell ref="B10:G10"/>
    <mergeCell ref="W10:Y10"/>
    <mergeCell ref="A5:E5"/>
    <mergeCell ref="F5:G5"/>
    <mergeCell ref="H5:Y5"/>
    <mergeCell ref="A6:A7"/>
    <mergeCell ref="B6:G7"/>
    <mergeCell ref="H6:H7"/>
    <mergeCell ref="I6:I7"/>
    <mergeCell ref="J6:J7"/>
    <mergeCell ref="K6:V6"/>
    <mergeCell ref="W6:Y7"/>
    <mergeCell ref="A1:Y1"/>
    <mergeCell ref="A2:Y2"/>
    <mergeCell ref="A3:E3"/>
    <mergeCell ref="F3:G3"/>
    <mergeCell ref="H3:Y4"/>
    <mergeCell ref="A4:E4"/>
    <mergeCell ref="F4:G4"/>
  </mergeCells>
  <pageMargins left="0.7" right="0.7" top="0.75" bottom="0.75" header="0.3" footer="0.3"/>
  <pageSetup scale="3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
  <sheetViews>
    <sheetView rightToLeft="1" view="pageBreakPreview" zoomScale="80" zoomScaleNormal="100" zoomScaleSheetLayoutView="80" workbookViewId="0">
      <selection activeCell="H23" sqref="H23"/>
    </sheetView>
  </sheetViews>
  <sheetFormatPr defaultRowHeight="15"/>
  <cols>
    <col min="1" max="1" width="6.85546875" bestFit="1" customWidth="1"/>
    <col min="7" max="7" width="15.7109375" customWidth="1"/>
    <col min="8" max="8" width="20.28515625" bestFit="1" customWidth="1"/>
    <col min="9" max="9" width="31.5703125" bestFit="1" customWidth="1"/>
    <col min="10" max="10" width="20" bestFit="1" customWidth="1"/>
    <col min="11" max="22" width="6.85546875" bestFit="1" customWidth="1"/>
    <col min="25" max="25" width="9.140625" customWidth="1"/>
  </cols>
  <sheetData>
    <row r="1" spans="1:25"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row>
    <row r="2" spans="1:25"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row>
    <row r="3" spans="1:25" ht="24.75" thickTop="1">
      <c r="A3" s="557" t="s">
        <v>2585</v>
      </c>
      <c r="B3" s="558"/>
      <c r="C3" s="558"/>
      <c r="D3" s="558"/>
      <c r="E3" s="559"/>
      <c r="F3" s="560" t="s">
        <v>2586</v>
      </c>
      <c r="G3" s="561"/>
      <c r="H3" s="562" t="s">
        <v>2599</v>
      </c>
      <c r="I3" s="563"/>
      <c r="J3" s="563"/>
      <c r="K3" s="563"/>
      <c r="L3" s="563"/>
      <c r="M3" s="563"/>
      <c r="N3" s="563"/>
      <c r="O3" s="563"/>
      <c r="P3" s="563"/>
      <c r="Q3" s="563"/>
      <c r="R3" s="563"/>
      <c r="S3" s="563"/>
      <c r="T3" s="563"/>
      <c r="U3" s="563"/>
      <c r="V3" s="563"/>
      <c r="W3" s="563"/>
      <c r="X3" s="563"/>
      <c r="Y3" s="564"/>
    </row>
    <row r="4" spans="1:25" ht="24">
      <c r="A4" s="568" t="s">
        <v>2587</v>
      </c>
      <c r="B4" s="569"/>
      <c r="C4" s="569"/>
      <c r="D4" s="569"/>
      <c r="E4" s="570"/>
      <c r="F4" s="571" t="s">
        <v>1596</v>
      </c>
      <c r="G4" s="572"/>
      <c r="H4" s="565"/>
      <c r="I4" s="566"/>
      <c r="J4" s="566"/>
      <c r="K4" s="566"/>
      <c r="L4" s="566"/>
      <c r="M4" s="566"/>
      <c r="N4" s="566"/>
      <c r="O4" s="566"/>
      <c r="P4" s="566"/>
      <c r="Q4" s="566"/>
      <c r="R4" s="566"/>
      <c r="S4" s="566"/>
      <c r="T4" s="566"/>
      <c r="U4" s="566"/>
      <c r="V4" s="566"/>
      <c r="W4" s="566"/>
      <c r="X4" s="566"/>
      <c r="Y4" s="567"/>
    </row>
    <row r="5" spans="1:25" ht="24.75" thickBot="1">
      <c r="A5" s="573" t="s">
        <v>2588</v>
      </c>
      <c r="B5" s="574"/>
      <c r="C5" s="574"/>
      <c r="D5" s="574"/>
      <c r="E5" s="575"/>
      <c r="F5" s="576" t="s">
        <v>1598</v>
      </c>
      <c r="G5" s="576"/>
      <c r="H5" s="577" t="s">
        <v>1599</v>
      </c>
      <c r="I5" s="578"/>
      <c r="J5" s="578"/>
      <c r="K5" s="578"/>
      <c r="L5" s="578"/>
      <c r="M5" s="578"/>
      <c r="N5" s="578"/>
      <c r="O5" s="578"/>
      <c r="P5" s="578"/>
      <c r="Q5" s="578"/>
      <c r="R5" s="578"/>
      <c r="S5" s="578"/>
      <c r="T5" s="578"/>
      <c r="U5" s="578"/>
      <c r="V5" s="578"/>
      <c r="W5" s="578"/>
      <c r="X5" s="578"/>
      <c r="Y5" s="579"/>
    </row>
    <row r="6" spans="1:25"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row>
    <row r="7" spans="1:25" ht="55.5">
      <c r="A7" s="625"/>
      <c r="B7" s="626"/>
      <c r="C7" s="627"/>
      <c r="D7" s="627"/>
      <c r="E7" s="627"/>
      <c r="F7" s="627"/>
      <c r="G7" s="628"/>
      <c r="H7" s="629"/>
      <c r="I7" s="630"/>
      <c r="J7" s="629"/>
      <c r="K7" s="22" t="s">
        <v>16</v>
      </c>
      <c r="L7" s="22" t="s">
        <v>17</v>
      </c>
      <c r="M7" s="22" t="s">
        <v>18</v>
      </c>
      <c r="N7" s="22" t="s">
        <v>19</v>
      </c>
      <c r="O7" s="22" t="s">
        <v>20</v>
      </c>
      <c r="P7" s="22" t="s">
        <v>21</v>
      </c>
      <c r="Q7" s="22" t="s">
        <v>22</v>
      </c>
      <c r="R7" s="22" t="s">
        <v>23</v>
      </c>
      <c r="S7" s="22" t="s">
        <v>24</v>
      </c>
      <c r="T7" s="22" t="s">
        <v>25</v>
      </c>
      <c r="U7" s="22" t="s">
        <v>26</v>
      </c>
      <c r="V7" s="22" t="s">
        <v>27</v>
      </c>
      <c r="W7" s="626"/>
      <c r="X7" s="627"/>
      <c r="Y7" s="631"/>
    </row>
    <row r="8" spans="1:25" ht="43.5" customHeight="1">
      <c r="A8" s="23" t="s">
        <v>28</v>
      </c>
      <c r="B8" s="515" t="s">
        <v>2589</v>
      </c>
      <c r="C8" s="516"/>
      <c r="D8" s="516"/>
      <c r="E8" s="516"/>
      <c r="F8" s="516"/>
      <c r="G8" s="517"/>
      <c r="H8" s="15">
        <v>20</v>
      </c>
      <c r="I8" s="15" t="s">
        <v>2590</v>
      </c>
      <c r="J8" s="158"/>
      <c r="K8" s="160"/>
      <c r="L8" s="287"/>
      <c r="M8" s="160"/>
      <c r="N8" s="160"/>
      <c r="O8" s="160"/>
      <c r="P8" s="160"/>
      <c r="Q8" s="160"/>
      <c r="R8" s="160"/>
      <c r="S8" s="160"/>
      <c r="T8" s="160"/>
      <c r="U8" s="160"/>
      <c r="V8" s="160"/>
      <c r="W8" s="594"/>
      <c r="X8" s="595"/>
      <c r="Y8" s="596"/>
    </row>
    <row r="9" spans="1:25" ht="24">
      <c r="A9" s="23" t="s">
        <v>66</v>
      </c>
      <c r="B9" s="530" t="s">
        <v>2591</v>
      </c>
      <c r="C9" s="531"/>
      <c r="D9" s="531"/>
      <c r="E9" s="531"/>
      <c r="F9" s="531"/>
      <c r="G9" s="532"/>
      <c r="H9" s="15">
        <v>15</v>
      </c>
      <c r="I9" s="15" t="s">
        <v>2592</v>
      </c>
      <c r="J9" s="158"/>
      <c r="K9" s="160"/>
      <c r="L9" s="160"/>
      <c r="M9" s="287"/>
      <c r="N9" s="160"/>
      <c r="O9" s="160"/>
      <c r="P9" s="160"/>
      <c r="Q9" s="160"/>
      <c r="R9" s="160"/>
      <c r="S9" s="160"/>
      <c r="T9" s="160"/>
      <c r="U9" s="160"/>
      <c r="V9" s="160"/>
      <c r="W9" s="594"/>
      <c r="X9" s="595"/>
      <c r="Y9" s="596"/>
    </row>
    <row r="10" spans="1:25" ht="24">
      <c r="A10" s="23" t="s">
        <v>68</v>
      </c>
      <c r="B10" s="530" t="s">
        <v>2593</v>
      </c>
      <c r="C10" s="531"/>
      <c r="D10" s="531"/>
      <c r="E10" s="531"/>
      <c r="F10" s="531"/>
      <c r="G10" s="532"/>
      <c r="H10" s="15">
        <v>20</v>
      </c>
      <c r="I10" s="15" t="s">
        <v>2594</v>
      </c>
      <c r="J10" s="158"/>
      <c r="K10" s="160"/>
      <c r="L10" s="160"/>
      <c r="M10" s="160"/>
      <c r="N10" s="287"/>
      <c r="O10" s="287"/>
      <c r="P10" s="160"/>
      <c r="Q10" s="160"/>
      <c r="R10" s="160"/>
      <c r="S10" s="160"/>
      <c r="T10" s="160"/>
      <c r="U10" s="160"/>
      <c r="V10" s="160"/>
      <c r="W10" s="632"/>
      <c r="X10" s="633"/>
      <c r="Y10" s="634"/>
    </row>
    <row r="11" spans="1:25" ht="24">
      <c r="A11" s="23" t="s">
        <v>70</v>
      </c>
      <c r="B11" s="551" t="s">
        <v>2595</v>
      </c>
      <c r="C11" s="551"/>
      <c r="D11" s="551"/>
      <c r="E11" s="551"/>
      <c r="F11" s="551"/>
      <c r="G11" s="551"/>
      <c r="H11" s="15">
        <v>15</v>
      </c>
      <c r="I11" s="15" t="s">
        <v>2596</v>
      </c>
      <c r="J11" s="158"/>
      <c r="K11" s="160"/>
      <c r="L11" s="160"/>
      <c r="M11" s="160"/>
      <c r="N11" s="160"/>
      <c r="O11" s="160"/>
      <c r="P11" s="287"/>
      <c r="Q11" s="287"/>
      <c r="R11" s="160"/>
      <c r="S11" s="160"/>
      <c r="T11" s="160"/>
      <c r="U11" s="160"/>
      <c r="V11" s="160"/>
      <c r="W11" s="25"/>
      <c r="X11" s="26"/>
      <c r="Y11" s="288"/>
    </row>
    <row r="12" spans="1:25" ht="24">
      <c r="A12" s="23" t="s">
        <v>153</v>
      </c>
      <c r="B12" s="551" t="s">
        <v>2597</v>
      </c>
      <c r="C12" s="551"/>
      <c r="D12" s="551"/>
      <c r="E12" s="551"/>
      <c r="F12" s="551"/>
      <c r="G12" s="551"/>
      <c r="H12" s="289">
        <v>15</v>
      </c>
      <c r="I12" s="15" t="s">
        <v>2596</v>
      </c>
      <c r="J12" s="158"/>
      <c r="K12" s="160"/>
      <c r="L12" s="160"/>
      <c r="M12" s="160"/>
      <c r="N12" s="160"/>
      <c r="O12" s="160"/>
      <c r="P12" s="160"/>
      <c r="Q12" s="160"/>
      <c r="R12" s="287"/>
      <c r="S12" s="287"/>
      <c r="T12" s="160"/>
      <c r="U12" s="160"/>
      <c r="V12" s="160"/>
      <c r="W12" s="25"/>
      <c r="X12" s="26"/>
      <c r="Y12" s="288"/>
    </row>
    <row r="13" spans="1:25" ht="24.75" thickBot="1">
      <c r="A13" s="23" t="s">
        <v>155</v>
      </c>
      <c r="B13" s="551" t="s">
        <v>2598</v>
      </c>
      <c r="C13" s="551"/>
      <c r="D13" s="551"/>
      <c r="E13" s="551"/>
      <c r="F13" s="551"/>
      <c r="G13" s="551"/>
      <c r="H13" s="15">
        <v>15</v>
      </c>
      <c r="I13" s="15" t="s">
        <v>2596</v>
      </c>
      <c r="J13" s="158"/>
      <c r="K13" s="160"/>
      <c r="L13" s="160"/>
      <c r="M13" s="160"/>
      <c r="N13" s="160"/>
      <c r="O13" s="160"/>
      <c r="P13" s="160"/>
      <c r="Q13" s="160"/>
      <c r="R13" s="160"/>
      <c r="S13" s="160"/>
      <c r="T13" s="287"/>
      <c r="U13" s="287"/>
      <c r="V13" s="160"/>
      <c r="W13" s="25"/>
      <c r="X13" s="26"/>
      <c r="Y13" s="288"/>
    </row>
    <row r="14" spans="1:25" ht="25.5" thickTop="1" thickBot="1">
      <c r="A14" s="598" t="s">
        <v>293</v>
      </c>
      <c r="B14" s="599"/>
      <c r="C14" s="599"/>
      <c r="D14" s="600"/>
      <c r="E14" s="607" t="s">
        <v>294</v>
      </c>
      <c r="F14" s="608"/>
      <c r="G14" s="608"/>
      <c r="H14" s="608"/>
      <c r="I14" s="608"/>
      <c r="J14" s="607" t="s">
        <v>74</v>
      </c>
      <c r="K14" s="608"/>
      <c r="L14" s="608"/>
      <c r="M14" s="609"/>
      <c r="N14" s="610" t="s">
        <v>1612</v>
      </c>
      <c r="O14" s="611"/>
      <c r="P14" s="611"/>
      <c r="Q14" s="611"/>
      <c r="R14" s="611"/>
      <c r="S14" s="611"/>
      <c r="T14" s="611"/>
      <c r="U14" s="611"/>
      <c r="V14" s="612"/>
      <c r="W14" s="610" t="s">
        <v>295</v>
      </c>
      <c r="X14" s="611"/>
      <c r="Y14" s="612"/>
    </row>
    <row r="15" spans="1:25" ht="15.75" thickTop="1">
      <c r="A15" s="601"/>
      <c r="B15" s="602"/>
      <c r="C15" s="602"/>
      <c r="D15" s="603"/>
      <c r="E15" s="635"/>
      <c r="F15" s="622"/>
      <c r="G15" s="635"/>
      <c r="H15" s="621"/>
      <c r="I15" s="622"/>
      <c r="J15" s="619" t="s">
        <v>621</v>
      </c>
      <c r="K15" s="621"/>
      <c r="L15" s="621"/>
      <c r="M15" s="622"/>
      <c r="N15" s="613"/>
      <c r="O15" s="614"/>
      <c r="P15" s="614"/>
      <c r="Q15" s="614"/>
      <c r="R15" s="614"/>
      <c r="S15" s="614"/>
      <c r="T15" s="614"/>
      <c r="U15" s="614"/>
      <c r="V15" s="615"/>
      <c r="W15" s="613"/>
      <c r="X15" s="614"/>
      <c r="Y15" s="615"/>
    </row>
    <row r="16" spans="1:25" ht="15.75" thickBot="1">
      <c r="A16" s="601"/>
      <c r="B16" s="602"/>
      <c r="C16" s="602"/>
      <c r="D16" s="603"/>
      <c r="E16" s="636"/>
      <c r="F16" s="637"/>
      <c r="G16" s="636"/>
      <c r="H16" s="639"/>
      <c r="I16" s="637"/>
      <c r="J16" s="620"/>
      <c r="K16" s="623"/>
      <c r="L16" s="623"/>
      <c r="M16" s="624"/>
      <c r="N16" s="613"/>
      <c r="O16" s="614"/>
      <c r="P16" s="614"/>
      <c r="Q16" s="614"/>
      <c r="R16" s="614"/>
      <c r="S16" s="614"/>
      <c r="T16" s="614"/>
      <c r="U16" s="614"/>
      <c r="V16" s="615"/>
      <c r="W16" s="613"/>
      <c r="X16" s="614"/>
      <c r="Y16" s="615"/>
    </row>
    <row r="17" spans="1:25" ht="15.75" thickTop="1">
      <c r="A17" s="601"/>
      <c r="B17" s="602"/>
      <c r="C17" s="602"/>
      <c r="D17" s="603"/>
      <c r="E17" s="636"/>
      <c r="F17" s="637"/>
      <c r="G17" s="636"/>
      <c r="H17" s="639"/>
      <c r="I17" s="637"/>
      <c r="J17" s="619" t="s">
        <v>622</v>
      </c>
      <c r="K17" s="621"/>
      <c r="L17" s="621"/>
      <c r="M17" s="622"/>
      <c r="N17" s="613"/>
      <c r="O17" s="614"/>
      <c r="P17" s="614"/>
      <c r="Q17" s="614"/>
      <c r="R17" s="614"/>
      <c r="S17" s="614"/>
      <c r="T17" s="614"/>
      <c r="U17" s="614"/>
      <c r="V17" s="615"/>
      <c r="W17" s="613"/>
      <c r="X17" s="614"/>
      <c r="Y17" s="615"/>
    </row>
    <row r="18" spans="1:25" ht="15.75" thickBot="1">
      <c r="A18" s="604"/>
      <c r="B18" s="605"/>
      <c r="C18" s="605"/>
      <c r="D18" s="606"/>
      <c r="E18" s="638"/>
      <c r="F18" s="624"/>
      <c r="G18" s="638"/>
      <c r="H18" s="623"/>
      <c r="I18" s="624"/>
      <c r="J18" s="620"/>
      <c r="K18" s="623"/>
      <c r="L18" s="623"/>
      <c r="M18" s="624"/>
      <c r="N18" s="616"/>
      <c r="O18" s="617"/>
      <c r="P18" s="617"/>
      <c r="Q18" s="617"/>
      <c r="R18" s="617"/>
      <c r="S18" s="617"/>
      <c r="T18" s="617"/>
      <c r="U18" s="617"/>
      <c r="V18" s="618"/>
      <c r="W18" s="616"/>
      <c r="X18" s="617"/>
      <c r="Y18" s="618"/>
    </row>
    <row r="19" spans="1:25" ht="15.75" thickTop="1"/>
  </sheetData>
  <mergeCells count="37">
    <mergeCell ref="N14:V18"/>
    <mergeCell ref="W14:Y18"/>
    <mergeCell ref="E15:F18"/>
    <mergeCell ref="G15:I18"/>
    <mergeCell ref="J15:J16"/>
    <mergeCell ref="K15:M16"/>
    <mergeCell ref="J17:J18"/>
    <mergeCell ref="K17:M18"/>
    <mergeCell ref="J14:M14"/>
    <mergeCell ref="B11:G11"/>
    <mergeCell ref="B12:G12"/>
    <mergeCell ref="B13:G13"/>
    <mergeCell ref="A14:D18"/>
    <mergeCell ref="E14:I14"/>
    <mergeCell ref="B8:G8"/>
    <mergeCell ref="W8:Y8"/>
    <mergeCell ref="B9:G9"/>
    <mergeCell ref="W9:Y9"/>
    <mergeCell ref="B10:G10"/>
    <mergeCell ref="W10:Y10"/>
    <mergeCell ref="A5:E5"/>
    <mergeCell ref="F5:G5"/>
    <mergeCell ref="H5:Y5"/>
    <mergeCell ref="A6:A7"/>
    <mergeCell ref="B6:G7"/>
    <mergeCell ref="H6:H7"/>
    <mergeCell ref="I6:I7"/>
    <mergeCell ref="J6:J7"/>
    <mergeCell ref="K6:V6"/>
    <mergeCell ref="W6:Y7"/>
    <mergeCell ref="A1:Y1"/>
    <mergeCell ref="A2:Y2"/>
    <mergeCell ref="A3:E3"/>
    <mergeCell ref="F3:G3"/>
    <mergeCell ref="H3:Y4"/>
    <mergeCell ref="A4:E4"/>
    <mergeCell ref="F4:G4"/>
  </mergeCells>
  <pageMargins left="0.7" right="0.7" top="0.75" bottom="0.75" header="0.3" footer="0.3"/>
  <pageSetup scale="3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2CED8-53C5-4B44-BAB8-958E95DB0F8A}">
  <dimension ref="A1:Z17"/>
  <sheetViews>
    <sheetView rightToLeft="1" view="pageBreakPreview" zoomScale="80" zoomScaleNormal="90" zoomScaleSheetLayoutView="80" workbookViewId="0">
      <selection activeCell="H8" sqref="H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33.4257812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451"/>
    </row>
    <row r="3" spans="1:26" s="3" customFormat="1" ht="29.25" customHeight="1" thickTop="1">
      <c r="A3" s="557" t="s">
        <v>1654</v>
      </c>
      <c r="B3" s="558"/>
      <c r="C3" s="558"/>
      <c r="D3" s="558"/>
      <c r="E3" s="559"/>
      <c r="F3" s="560" t="s">
        <v>1653</v>
      </c>
      <c r="G3" s="561"/>
      <c r="H3" s="562" t="s">
        <v>1652</v>
      </c>
      <c r="I3" s="563"/>
      <c r="J3" s="563"/>
      <c r="K3" s="563"/>
      <c r="L3" s="563"/>
      <c r="M3" s="563"/>
      <c r="N3" s="563"/>
      <c r="O3" s="563"/>
      <c r="P3" s="563"/>
      <c r="Q3" s="563"/>
      <c r="R3" s="563"/>
      <c r="S3" s="563"/>
      <c r="T3" s="563"/>
      <c r="U3" s="563"/>
      <c r="V3" s="563"/>
      <c r="W3" s="563"/>
      <c r="X3" s="563"/>
      <c r="Y3" s="564"/>
      <c r="Z3" s="451"/>
    </row>
    <row r="4" spans="1:26" s="3" customFormat="1" ht="28.5" customHeight="1">
      <c r="A4" s="568" t="s">
        <v>1595</v>
      </c>
      <c r="B4" s="569"/>
      <c r="C4" s="569"/>
      <c r="D4" s="569"/>
      <c r="E4" s="570"/>
      <c r="F4" s="571" t="s">
        <v>1596</v>
      </c>
      <c r="G4" s="572"/>
      <c r="H4" s="565"/>
      <c r="I4" s="566"/>
      <c r="J4" s="566"/>
      <c r="K4" s="566"/>
      <c r="L4" s="566"/>
      <c r="M4" s="566"/>
      <c r="N4" s="566"/>
      <c r="O4" s="566"/>
      <c r="P4" s="566"/>
      <c r="Q4" s="566"/>
      <c r="R4" s="566"/>
      <c r="S4" s="566"/>
      <c r="T4" s="566"/>
      <c r="U4" s="566"/>
      <c r="V4" s="566"/>
      <c r="W4" s="566"/>
      <c r="X4" s="566"/>
      <c r="Y4" s="567"/>
      <c r="Z4" s="451"/>
    </row>
    <row r="5" spans="1:26" s="3" customFormat="1" ht="29.25" customHeight="1" thickBot="1">
      <c r="A5" s="573" t="s">
        <v>1651</v>
      </c>
      <c r="B5" s="574"/>
      <c r="C5" s="574"/>
      <c r="D5" s="574"/>
      <c r="E5" s="575"/>
      <c r="F5" s="576" t="s">
        <v>1650</v>
      </c>
      <c r="G5" s="576"/>
      <c r="H5" s="577" t="s">
        <v>1599</v>
      </c>
      <c r="I5" s="578"/>
      <c r="J5" s="578"/>
      <c r="K5" s="578"/>
      <c r="L5" s="578"/>
      <c r="M5" s="578"/>
      <c r="N5" s="578"/>
      <c r="O5" s="578"/>
      <c r="P5" s="578"/>
      <c r="Q5" s="578"/>
      <c r="R5" s="578"/>
      <c r="S5" s="578"/>
      <c r="T5" s="578"/>
      <c r="U5" s="578"/>
      <c r="V5" s="578"/>
      <c r="W5" s="578"/>
      <c r="X5" s="578"/>
      <c r="Y5" s="579"/>
      <c r="Z5" s="451"/>
    </row>
    <row r="6" spans="1:26" ht="28.5" customHeight="1">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625"/>
      <c r="B7" s="626"/>
      <c r="C7" s="627"/>
      <c r="D7" s="627"/>
      <c r="E7" s="627"/>
      <c r="F7" s="627"/>
      <c r="G7" s="628"/>
      <c r="H7" s="629"/>
      <c r="I7" s="630"/>
      <c r="J7" s="629"/>
      <c r="K7" s="22" t="s">
        <v>16</v>
      </c>
      <c r="L7" s="22" t="s">
        <v>17</v>
      </c>
      <c r="M7" s="22" t="s">
        <v>18</v>
      </c>
      <c r="N7" s="22" t="s">
        <v>19</v>
      </c>
      <c r="O7" s="22" t="s">
        <v>20</v>
      </c>
      <c r="P7" s="22" t="s">
        <v>21</v>
      </c>
      <c r="Q7" s="22" t="s">
        <v>22</v>
      </c>
      <c r="R7" s="22" t="s">
        <v>23</v>
      </c>
      <c r="S7" s="22" t="s">
        <v>24</v>
      </c>
      <c r="T7" s="22" t="s">
        <v>25</v>
      </c>
      <c r="U7" s="22" t="s">
        <v>26</v>
      </c>
      <c r="V7" s="22" t="s">
        <v>27</v>
      </c>
      <c r="W7" s="626"/>
      <c r="X7" s="627"/>
      <c r="Y7" s="631"/>
      <c r="Z7" s="451"/>
    </row>
    <row r="8" spans="1:26" s="14" customFormat="1" ht="28.5" customHeight="1">
      <c r="A8" s="23" t="s">
        <v>28</v>
      </c>
      <c r="B8" s="551" t="s">
        <v>1649</v>
      </c>
      <c r="C8" s="551"/>
      <c r="D8" s="551"/>
      <c r="E8" s="551"/>
      <c r="F8" s="551"/>
      <c r="G8" s="551"/>
      <c r="H8" s="15">
        <v>30</v>
      </c>
      <c r="I8" s="9" t="s">
        <v>1644</v>
      </c>
      <c r="J8" s="158"/>
      <c r="K8" s="287"/>
      <c r="L8" s="287"/>
      <c r="M8" s="160"/>
      <c r="N8" s="160"/>
      <c r="O8" s="160"/>
      <c r="P8" s="160"/>
      <c r="Q8" s="160"/>
      <c r="R8" s="160"/>
      <c r="S8" s="160"/>
      <c r="T8" s="160"/>
      <c r="U8" s="160"/>
      <c r="V8" s="160"/>
      <c r="W8" s="594"/>
      <c r="X8" s="595"/>
      <c r="Y8" s="596"/>
      <c r="Z8" s="451"/>
    </row>
    <row r="9" spans="1:26" s="14" customFormat="1" ht="28.5" customHeight="1">
      <c r="A9" s="23" t="s">
        <v>66</v>
      </c>
      <c r="B9" s="551" t="s">
        <v>1648</v>
      </c>
      <c r="C9" s="551"/>
      <c r="D9" s="551"/>
      <c r="E9" s="551"/>
      <c r="F9" s="551"/>
      <c r="G9" s="551"/>
      <c r="H9" s="15">
        <v>10</v>
      </c>
      <c r="I9" s="9" t="s">
        <v>1647</v>
      </c>
      <c r="J9" s="158"/>
      <c r="K9" s="160"/>
      <c r="L9" s="287"/>
      <c r="M9" s="287"/>
      <c r="N9" s="287"/>
      <c r="O9" s="287"/>
      <c r="P9" s="287"/>
      <c r="Q9" s="287"/>
      <c r="R9" s="287"/>
      <c r="S9" s="287"/>
      <c r="T9" s="287"/>
      <c r="U9" s="287"/>
      <c r="V9" s="287"/>
      <c r="W9" s="594"/>
      <c r="X9" s="595"/>
      <c r="Y9" s="596"/>
      <c r="Z9" s="451"/>
    </row>
    <row r="10" spans="1:26" s="14" customFormat="1" ht="28.5" customHeight="1">
      <c r="A10" s="23" t="s">
        <v>68</v>
      </c>
      <c r="B10" s="551" t="s">
        <v>1646</v>
      </c>
      <c r="C10" s="551"/>
      <c r="D10" s="551"/>
      <c r="E10" s="551"/>
      <c r="F10" s="551"/>
      <c r="G10" s="551"/>
      <c r="H10" s="15">
        <v>30</v>
      </c>
      <c r="I10" s="9" t="s">
        <v>1644</v>
      </c>
      <c r="J10" s="158"/>
      <c r="K10" s="160"/>
      <c r="L10" s="160"/>
      <c r="M10" s="287"/>
      <c r="N10" s="287"/>
      <c r="O10" s="287"/>
      <c r="P10" s="287"/>
      <c r="Q10" s="287"/>
      <c r="R10" s="287"/>
      <c r="S10" s="287"/>
      <c r="T10" s="287"/>
      <c r="U10" s="287"/>
      <c r="V10" s="287"/>
      <c r="W10" s="632"/>
      <c r="X10" s="633"/>
      <c r="Y10" s="634"/>
      <c r="Z10" s="451"/>
    </row>
    <row r="11" spans="1:26" s="14" customFormat="1" ht="28.5" customHeight="1" thickBot="1">
      <c r="A11" s="23" t="s">
        <v>70</v>
      </c>
      <c r="B11" s="551" t="s">
        <v>1645</v>
      </c>
      <c r="C11" s="551"/>
      <c r="D11" s="551"/>
      <c r="E11" s="551"/>
      <c r="F11" s="551"/>
      <c r="G11" s="551"/>
      <c r="H11" s="15">
        <v>30</v>
      </c>
      <c r="I11" s="9" t="s">
        <v>1644</v>
      </c>
      <c r="J11" s="158"/>
      <c r="K11" s="160"/>
      <c r="L11" s="160"/>
      <c r="M11" s="160"/>
      <c r="N11" s="160"/>
      <c r="O11" s="160"/>
      <c r="P11" s="160"/>
      <c r="Q11" s="287"/>
      <c r="R11" s="287"/>
      <c r="S11" s="287"/>
      <c r="T11" s="287"/>
      <c r="U11" s="287"/>
      <c r="V11" s="287"/>
      <c r="W11" s="640"/>
      <c r="X11" s="641"/>
      <c r="Y11" s="642"/>
      <c r="Z11" s="451"/>
    </row>
    <row r="12" spans="1:26" ht="30" customHeight="1" thickTop="1" thickBot="1">
      <c r="A12" s="598" t="s">
        <v>293</v>
      </c>
      <c r="B12" s="599"/>
      <c r="C12" s="599"/>
      <c r="D12" s="600"/>
      <c r="E12" s="607" t="s">
        <v>294</v>
      </c>
      <c r="F12" s="608"/>
      <c r="G12" s="608"/>
      <c r="H12" s="608"/>
      <c r="I12" s="608"/>
      <c r="J12" s="607" t="s">
        <v>74</v>
      </c>
      <c r="K12" s="608"/>
      <c r="L12" s="608"/>
      <c r="M12" s="609"/>
      <c r="N12" s="610" t="s">
        <v>1612</v>
      </c>
      <c r="O12" s="611"/>
      <c r="P12" s="611"/>
      <c r="Q12" s="611"/>
      <c r="R12" s="611"/>
      <c r="S12" s="611"/>
      <c r="T12" s="611"/>
      <c r="U12" s="611"/>
      <c r="V12" s="612"/>
      <c r="W12" s="610" t="s">
        <v>295</v>
      </c>
      <c r="X12" s="611"/>
      <c r="Y12" s="612"/>
      <c r="Z12" s="451"/>
    </row>
    <row r="13" spans="1:26" s="20" customFormat="1" ht="29.25" thickTop="1">
      <c r="A13" s="601"/>
      <c r="B13" s="602"/>
      <c r="C13" s="602"/>
      <c r="D13" s="603"/>
      <c r="E13" s="635" t="s">
        <v>1643</v>
      </c>
      <c r="F13" s="622"/>
      <c r="G13" s="635"/>
      <c r="H13" s="621"/>
      <c r="I13" s="622"/>
      <c r="J13" s="619" t="s">
        <v>621</v>
      </c>
      <c r="K13" s="621"/>
      <c r="L13" s="621"/>
      <c r="M13" s="622"/>
      <c r="N13" s="613"/>
      <c r="O13" s="614"/>
      <c r="P13" s="614"/>
      <c r="Q13" s="614"/>
      <c r="R13" s="614"/>
      <c r="S13" s="614"/>
      <c r="T13" s="614"/>
      <c r="U13" s="614"/>
      <c r="V13" s="615"/>
      <c r="W13" s="613"/>
      <c r="X13" s="614"/>
      <c r="Y13" s="615"/>
    </row>
    <row r="14" spans="1:26" s="20" customFormat="1" ht="29.25" thickBot="1">
      <c r="A14" s="601"/>
      <c r="B14" s="602"/>
      <c r="C14" s="602"/>
      <c r="D14" s="603"/>
      <c r="E14" s="636"/>
      <c r="F14" s="637"/>
      <c r="G14" s="636"/>
      <c r="H14" s="639"/>
      <c r="I14" s="637"/>
      <c r="J14" s="620"/>
      <c r="K14" s="623"/>
      <c r="L14" s="623"/>
      <c r="M14" s="624"/>
      <c r="N14" s="613"/>
      <c r="O14" s="614"/>
      <c r="P14" s="614"/>
      <c r="Q14" s="614"/>
      <c r="R14" s="614"/>
      <c r="S14" s="614"/>
      <c r="T14" s="614"/>
      <c r="U14" s="614"/>
      <c r="V14" s="615"/>
      <c r="W14" s="613"/>
      <c r="X14" s="614"/>
      <c r="Y14" s="615"/>
    </row>
    <row r="15" spans="1:26" s="20" customFormat="1" ht="29.25" thickTop="1">
      <c r="A15" s="601"/>
      <c r="B15" s="602"/>
      <c r="C15" s="602"/>
      <c r="D15" s="603"/>
      <c r="E15" s="636"/>
      <c r="F15" s="637"/>
      <c r="G15" s="636"/>
      <c r="H15" s="639"/>
      <c r="I15" s="637"/>
      <c r="J15" s="619" t="s">
        <v>622</v>
      </c>
      <c r="K15" s="621"/>
      <c r="L15" s="621"/>
      <c r="M15" s="622"/>
      <c r="N15" s="613"/>
      <c r="O15" s="614"/>
      <c r="P15" s="614"/>
      <c r="Q15" s="614"/>
      <c r="R15" s="614"/>
      <c r="S15" s="614"/>
      <c r="T15" s="614"/>
      <c r="U15" s="614"/>
      <c r="V15" s="615"/>
      <c r="W15" s="613"/>
      <c r="X15" s="614"/>
      <c r="Y15" s="615"/>
    </row>
    <row r="16" spans="1:26" s="20" customFormat="1" ht="29.25" thickBot="1">
      <c r="A16" s="604"/>
      <c r="B16" s="605"/>
      <c r="C16" s="605"/>
      <c r="D16" s="606"/>
      <c r="E16" s="638"/>
      <c r="F16" s="624"/>
      <c r="G16" s="638"/>
      <c r="H16" s="623"/>
      <c r="I16" s="624"/>
      <c r="J16" s="620"/>
      <c r="K16" s="623"/>
      <c r="L16" s="623"/>
      <c r="M16" s="624"/>
      <c r="N16" s="616"/>
      <c r="O16" s="617"/>
      <c r="P16" s="617"/>
      <c r="Q16" s="617"/>
      <c r="R16" s="617"/>
      <c r="S16" s="617"/>
      <c r="T16" s="617"/>
      <c r="U16" s="617"/>
      <c r="V16" s="618"/>
      <c r="W16" s="616"/>
      <c r="X16" s="617"/>
      <c r="Y16" s="618"/>
    </row>
    <row r="17" ht="18.75" thickTop="1"/>
  </sheetData>
  <mergeCells count="37">
    <mergeCell ref="A12:D16"/>
    <mergeCell ref="E12:I12"/>
    <mergeCell ref="J12:M12"/>
    <mergeCell ref="N12:V16"/>
    <mergeCell ref="W12:Y16"/>
    <mergeCell ref="E13:F16"/>
    <mergeCell ref="G13:I16"/>
    <mergeCell ref="J13:J14"/>
    <mergeCell ref="K13:M14"/>
    <mergeCell ref="J15:J16"/>
    <mergeCell ref="K15:M16"/>
    <mergeCell ref="B10:G10"/>
    <mergeCell ref="W10:Y10"/>
    <mergeCell ref="B11:G11"/>
    <mergeCell ref="W11:Y11"/>
    <mergeCell ref="W6:Y7"/>
    <mergeCell ref="B8:G8"/>
    <mergeCell ref="W8:Y8"/>
    <mergeCell ref="B9:G9"/>
    <mergeCell ref="W9:Y9"/>
    <mergeCell ref="K6:V6"/>
    <mergeCell ref="A1:Y1"/>
    <mergeCell ref="Z1:Z12"/>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C502-3B0A-423E-97FA-DD4D6C0AACE8}">
  <dimension ref="A1:Z18"/>
  <sheetViews>
    <sheetView rightToLeft="1" view="pageBreakPreview" zoomScale="80" zoomScaleNormal="90" zoomScaleSheetLayoutView="80" workbookViewId="0">
      <selection activeCell="B10" sqref="B10:G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9" width="25.5703125" style="21" customWidth="1"/>
    <col min="10" max="10" width="28.42578125" style="21" customWidth="1"/>
    <col min="11" max="12" width="4.7109375" style="21" customWidth="1"/>
    <col min="13" max="13" width="5.28515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451"/>
    </row>
    <row r="3" spans="1:26" s="3" customFormat="1" ht="40.5" customHeight="1" thickTop="1">
      <c r="A3" s="557" t="s">
        <v>1642</v>
      </c>
      <c r="B3" s="558"/>
      <c r="C3" s="558"/>
      <c r="D3" s="558"/>
      <c r="E3" s="559"/>
      <c r="F3" s="560" t="s">
        <v>1641</v>
      </c>
      <c r="G3" s="561"/>
      <c r="H3" s="562" t="s">
        <v>1640</v>
      </c>
      <c r="I3" s="563"/>
      <c r="J3" s="563"/>
      <c r="K3" s="563"/>
      <c r="L3" s="563"/>
      <c r="M3" s="563"/>
      <c r="N3" s="563"/>
      <c r="O3" s="563"/>
      <c r="P3" s="563"/>
      <c r="Q3" s="563"/>
      <c r="R3" s="563"/>
      <c r="S3" s="563"/>
      <c r="T3" s="563"/>
      <c r="U3" s="563"/>
      <c r="V3" s="563"/>
      <c r="W3" s="563"/>
      <c r="X3" s="563"/>
      <c r="Y3" s="564"/>
      <c r="Z3" s="451"/>
    </row>
    <row r="4" spans="1:26" s="3" customFormat="1" ht="28.5" customHeight="1">
      <c r="A4" s="568" t="s">
        <v>1595</v>
      </c>
      <c r="B4" s="569"/>
      <c r="C4" s="569"/>
      <c r="D4" s="569"/>
      <c r="E4" s="570"/>
      <c r="F4" s="571" t="s">
        <v>1596</v>
      </c>
      <c r="G4" s="572"/>
      <c r="H4" s="565"/>
      <c r="I4" s="566"/>
      <c r="J4" s="566"/>
      <c r="K4" s="566"/>
      <c r="L4" s="566"/>
      <c r="M4" s="566"/>
      <c r="N4" s="566"/>
      <c r="O4" s="566"/>
      <c r="P4" s="566"/>
      <c r="Q4" s="566"/>
      <c r="R4" s="566"/>
      <c r="S4" s="566"/>
      <c r="T4" s="566"/>
      <c r="U4" s="566"/>
      <c r="V4" s="566"/>
      <c r="W4" s="566"/>
      <c r="X4" s="566"/>
      <c r="Y4" s="567"/>
      <c r="Z4" s="451"/>
    </row>
    <row r="5" spans="1:26" s="3" customFormat="1" ht="29.25" customHeight="1" thickBot="1">
      <c r="A5" s="573" t="s">
        <v>1639</v>
      </c>
      <c r="B5" s="574"/>
      <c r="C5" s="574"/>
      <c r="D5" s="574"/>
      <c r="E5" s="575"/>
      <c r="F5" s="576" t="s">
        <v>1598</v>
      </c>
      <c r="G5" s="576"/>
      <c r="H5" s="577" t="s">
        <v>1599</v>
      </c>
      <c r="I5" s="578"/>
      <c r="J5" s="578"/>
      <c r="K5" s="578"/>
      <c r="L5" s="578"/>
      <c r="M5" s="578"/>
      <c r="N5" s="578"/>
      <c r="O5" s="578"/>
      <c r="P5" s="578"/>
      <c r="Q5" s="578"/>
      <c r="R5" s="578"/>
      <c r="S5" s="578"/>
      <c r="T5" s="578"/>
      <c r="U5" s="578"/>
      <c r="V5" s="578"/>
      <c r="W5" s="578"/>
      <c r="X5" s="578"/>
      <c r="Y5" s="579"/>
      <c r="Z5" s="451"/>
    </row>
    <row r="6" spans="1:26" ht="28.5" customHeight="1">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625"/>
      <c r="B7" s="626"/>
      <c r="C7" s="627"/>
      <c r="D7" s="627"/>
      <c r="E7" s="627"/>
      <c r="F7" s="627"/>
      <c r="G7" s="628"/>
      <c r="H7" s="629"/>
      <c r="I7" s="630"/>
      <c r="J7" s="629"/>
      <c r="K7" s="22" t="s">
        <v>16</v>
      </c>
      <c r="L7" s="22" t="s">
        <v>17</v>
      </c>
      <c r="M7" s="22" t="s">
        <v>18</v>
      </c>
      <c r="N7" s="22" t="s">
        <v>19</v>
      </c>
      <c r="O7" s="22" t="s">
        <v>20</v>
      </c>
      <c r="P7" s="22" t="s">
        <v>21</v>
      </c>
      <c r="Q7" s="22" t="s">
        <v>22</v>
      </c>
      <c r="R7" s="22" t="s">
        <v>23</v>
      </c>
      <c r="S7" s="22" t="s">
        <v>24</v>
      </c>
      <c r="T7" s="22" t="s">
        <v>25</v>
      </c>
      <c r="U7" s="22" t="s">
        <v>26</v>
      </c>
      <c r="V7" s="22" t="s">
        <v>27</v>
      </c>
      <c r="W7" s="626"/>
      <c r="X7" s="627"/>
      <c r="Y7" s="631"/>
      <c r="Z7" s="451"/>
    </row>
    <row r="8" spans="1:26" s="14" customFormat="1" ht="28.5" customHeight="1">
      <c r="A8" s="23" t="s">
        <v>28</v>
      </c>
      <c r="B8" s="551" t="s">
        <v>1638</v>
      </c>
      <c r="C8" s="551"/>
      <c r="D8" s="551"/>
      <c r="E8" s="551"/>
      <c r="F8" s="551"/>
      <c r="G8" s="551"/>
      <c r="H8" s="15">
        <v>10</v>
      </c>
      <c r="I8" s="9" t="s">
        <v>1601</v>
      </c>
      <c r="J8" s="158"/>
      <c r="K8" s="160"/>
      <c r="L8" s="287"/>
      <c r="M8" s="160"/>
      <c r="N8" s="160"/>
      <c r="O8" s="160"/>
      <c r="P8" s="160"/>
      <c r="Q8" s="160"/>
      <c r="R8" s="160"/>
      <c r="S8" s="160"/>
      <c r="T8" s="160"/>
      <c r="U8" s="160"/>
      <c r="V8" s="160"/>
      <c r="W8" s="594"/>
      <c r="X8" s="595"/>
      <c r="Y8" s="596"/>
      <c r="Z8" s="451"/>
    </row>
    <row r="9" spans="1:26" s="14" customFormat="1" ht="28.5" customHeight="1">
      <c r="A9" s="23" t="s">
        <v>66</v>
      </c>
      <c r="B9" s="551" t="s">
        <v>1637</v>
      </c>
      <c r="C9" s="551"/>
      <c r="D9" s="551"/>
      <c r="E9" s="551"/>
      <c r="F9" s="551"/>
      <c r="G9" s="551"/>
      <c r="H9" s="15">
        <v>10</v>
      </c>
      <c r="I9" s="9" t="s">
        <v>1601</v>
      </c>
      <c r="J9" s="158"/>
      <c r="K9" s="160"/>
      <c r="L9" s="160"/>
      <c r="M9" s="287"/>
      <c r="N9" s="160"/>
      <c r="O9" s="160"/>
      <c r="P9" s="160"/>
      <c r="Q9" s="160"/>
      <c r="R9" s="160"/>
      <c r="S9" s="160"/>
      <c r="T9" s="160"/>
      <c r="U9" s="160"/>
      <c r="V9" s="160"/>
      <c r="W9" s="594"/>
      <c r="X9" s="595"/>
      <c r="Y9" s="596"/>
      <c r="Z9" s="451"/>
    </row>
    <row r="10" spans="1:26" s="14" customFormat="1" ht="40.5" customHeight="1">
      <c r="A10" s="23" t="s">
        <v>68</v>
      </c>
      <c r="B10" s="551" t="s">
        <v>1636</v>
      </c>
      <c r="C10" s="551"/>
      <c r="D10" s="551"/>
      <c r="E10" s="551"/>
      <c r="F10" s="551"/>
      <c r="G10" s="551"/>
      <c r="H10" s="15">
        <v>40</v>
      </c>
      <c r="I10" s="9" t="s">
        <v>1633</v>
      </c>
      <c r="J10" s="158"/>
      <c r="K10" s="160"/>
      <c r="L10" s="160"/>
      <c r="M10" s="287"/>
      <c r="N10" s="287"/>
      <c r="O10" s="287"/>
      <c r="P10" s="287"/>
      <c r="Q10" s="287"/>
      <c r="R10" s="287"/>
      <c r="S10" s="287"/>
      <c r="T10" s="287"/>
      <c r="U10" s="287"/>
      <c r="V10" s="287"/>
      <c r="W10" s="632"/>
      <c r="X10" s="633"/>
      <c r="Y10" s="634"/>
      <c r="Z10" s="451"/>
    </row>
    <row r="11" spans="1:26" s="14" customFormat="1" ht="28.5" customHeight="1">
      <c r="A11" s="23" t="s">
        <v>70</v>
      </c>
      <c r="B11" s="551" t="s">
        <v>1635</v>
      </c>
      <c r="C11" s="551"/>
      <c r="D11" s="551"/>
      <c r="E11" s="551"/>
      <c r="F11" s="551"/>
      <c r="G11" s="551"/>
      <c r="H11" s="15">
        <v>10</v>
      </c>
      <c r="I11" s="9" t="s">
        <v>1601</v>
      </c>
      <c r="J11" s="158"/>
      <c r="K11" s="160"/>
      <c r="L11" s="160"/>
      <c r="M11" s="287"/>
      <c r="N11" s="160"/>
      <c r="O11" s="160"/>
      <c r="P11" s="160"/>
      <c r="Q11" s="160"/>
      <c r="R11" s="160"/>
      <c r="S11" s="160"/>
      <c r="T11" s="160"/>
      <c r="U11" s="160"/>
      <c r="V11" s="160"/>
      <c r="W11" s="632"/>
      <c r="X11" s="633"/>
      <c r="Y11" s="634"/>
      <c r="Z11" s="451"/>
    </row>
    <row r="12" spans="1:26" s="14" customFormat="1" ht="56.25" customHeight="1" thickBot="1">
      <c r="A12" s="23" t="s">
        <v>153</v>
      </c>
      <c r="B12" s="515" t="s">
        <v>1634</v>
      </c>
      <c r="C12" s="516"/>
      <c r="D12" s="516"/>
      <c r="E12" s="516"/>
      <c r="F12" s="516"/>
      <c r="G12" s="517"/>
      <c r="H12" s="15">
        <v>30</v>
      </c>
      <c r="I12" s="9" t="s">
        <v>1633</v>
      </c>
      <c r="J12" s="158"/>
      <c r="K12" s="160"/>
      <c r="L12" s="160"/>
      <c r="M12" s="160"/>
      <c r="N12" s="287"/>
      <c r="O12" s="287"/>
      <c r="P12" s="287"/>
      <c r="Q12" s="287"/>
      <c r="R12" s="287"/>
      <c r="S12" s="287"/>
      <c r="T12" s="287"/>
      <c r="U12" s="287"/>
      <c r="V12" s="287"/>
      <c r="W12" s="27"/>
      <c r="X12" s="28"/>
      <c r="Y12" s="293"/>
      <c r="Z12" s="451"/>
    </row>
    <row r="13" spans="1:26" ht="30" customHeight="1" thickTop="1" thickBot="1">
      <c r="A13" s="598" t="s">
        <v>293</v>
      </c>
      <c r="B13" s="599"/>
      <c r="C13" s="599"/>
      <c r="D13" s="600"/>
      <c r="E13" s="607" t="s">
        <v>294</v>
      </c>
      <c r="F13" s="608"/>
      <c r="G13" s="608"/>
      <c r="H13" s="608"/>
      <c r="I13" s="608"/>
      <c r="J13" s="607" t="s">
        <v>74</v>
      </c>
      <c r="K13" s="608"/>
      <c r="L13" s="608"/>
      <c r="M13" s="609"/>
      <c r="N13" s="610" t="s">
        <v>1612</v>
      </c>
      <c r="O13" s="611"/>
      <c r="P13" s="611"/>
      <c r="Q13" s="611"/>
      <c r="R13" s="611"/>
      <c r="S13" s="611"/>
      <c r="T13" s="611"/>
      <c r="U13" s="611"/>
      <c r="V13" s="612"/>
      <c r="W13" s="610" t="s">
        <v>295</v>
      </c>
      <c r="X13" s="611"/>
      <c r="Y13" s="612"/>
      <c r="Z13" s="451"/>
    </row>
    <row r="14" spans="1:26" s="20" customFormat="1" ht="29.25" thickTop="1">
      <c r="A14" s="601"/>
      <c r="B14" s="602"/>
      <c r="C14" s="602"/>
      <c r="D14" s="602"/>
      <c r="E14" s="290" t="s">
        <v>1632</v>
      </c>
      <c r="F14" s="290"/>
      <c r="G14" s="290"/>
      <c r="H14" s="290"/>
      <c r="I14" s="290"/>
      <c r="J14" s="622" t="s">
        <v>621</v>
      </c>
      <c r="K14" s="621"/>
      <c r="L14" s="621"/>
      <c r="M14" s="622"/>
      <c r="N14" s="613"/>
      <c r="O14" s="614"/>
      <c r="P14" s="614"/>
      <c r="Q14" s="614"/>
      <c r="R14" s="614"/>
      <c r="S14" s="614"/>
      <c r="T14" s="614"/>
      <c r="U14" s="614"/>
      <c r="V14" s="615"/>
      <c r="W14" s="613"/>
      <c r="X14" s="614"/>
      <c r="Y14" s="615"/>
    </row>
    <row r="15" spans="1:26" s="20" customFormat="1" ht="29.25" thickBot="1">
      <c r="A15" s="601"/>
      <c r="B15" s="602"/>
      <c r="C15" s="602"/>
      <c r="D15" s="602"/>
      <c r="E15" s="292"/>
      <c r="F15" s="292"/>
      <c r="G15" s="292"/>
      <c r="H15" s="292"/>
      <c r="I15" s="292"/>
      <c r="J15" s="624"/>
      <c r="K15" s="623"/>
      <c r="L15" s="623"/>
      <c r="M15" s="624"/>
      <c r="N15" s="613"/>
      <c r="O15" s="614"/>
      <c r="P15" s="614"/>
      <c r="Q15" s="614"/>
      <c r="R15" s="614"/>
      <c r="S15" s="614"/>
      <c r="T15" s="614"/>
      <c r="U15" s="614"/>
      <c r="V15" s="615"/>
      <c r="W15" s="613"/>
      <c r="X15" s="614"/>
      <c r="Y15" s="615"/>
    </row>
    <row r="16" spans="1:26" s="20" customFormat="1" ht="29.25" thickTop="1">
      <c r="A16" s="601"/>
      <c r="B16" s="602"/>
      <c r="C16" s="602"/>
      <c r="D16" s="602"/>
      <c r="E16" s="292"/>
      <c r="F16" s="292"/>
      <c r="G16" s="292"/>
      <c r="H16" s="292"/>
      <c r="I16" s="292"/>
      <c r="J16" s="622" t="s">
        <v>622</v>
      </c>
      <c r="K16" s="621"/>
      <c r="L16" s="621"/>
      <c r="M16" s="622"/>
      <c r="N16" s="613"/>
      <c r="O16" s="614"/>
      <c r="P16" s="614"/>
      <c r="Q16" s="614"/>
      <c r="R16" s="614"/>
      <c r="S16" s="614"/>
      <c r="T16" s="614"/>
      <c r="U16" s="614"/>
      <c r="V16" s="615"/>
      <c r="W16" s="613"/>
      <c r="X16" s="614"/>
      <c r="Y16" s="615"/>
    </row>
    <row r="17" spans="1:25" s="20" customFormat="1" ht="29.25" thickBot="1">
      <c r="A17" s="604"/>
      <c r="B17" s="605"/>
      <c r="C17" s="605"/>
      <c r="D17" s="605"/>
      <c r="E17" s="291"/>
      <c r="F17" s="291"/>
      <c r="G17" s="291"/>
      <c r="H17" s="291"/>
      <c r="I17" s="291"/>
      <c r="J17" s="624"/>
      <c r="K17" s="623"/>
      <c r="L17" s="623"/>
      <c r="M17" s="624"/>
      <c r="N17" s="616"/>
      <c r="O17" s="617"/>
      <c r="P17" s="617"/>
      <c r="Q17" s="617"/>
      <c r="R17" s="617"/>
      <c r="S17" s="617"/>
      <c r="T17" s="617"/>
      <c r="U17" s="617"/>
      <c r="V17" s="618"/>
      <c r="W17" s="616"/>
      <c r="X17" s="617"/>
      <c r="Y17" s="618"/>
    </row>
    <row r="18" spans="1:25" ht="18.75" thickTop="1"/>
  </sheetData>
  <mergeCells count="36">
    <mergeCell ref="J16:J17"/>
    <mergeCell ref="K16:M17"/>
    <mergeCell ref="B11:G11"/>
    <mergeCell ref="W11:Y11"/>
    <mergeCell ref="B12:G12"/>
    <mergeCell ref="A13:D17"/>
    <mergeCell ref="E13:I13"/>
    <mergeCell ref="J13:M13"/>
    <mergeCell ref="N13:V17"/>
    <mergeCell ref="W13:Y17"/>
    <mergeCell ref="J14:J15"/>
    <mergeCell ref="K14:M15"/>
    <mergeCell ref="W6:Y7"/>
    <mergeCell ref="B8:G8"/>
    <mergeCell ref="W8:Y8"/>
    <mergeCell ref="A1:Y1"/>
    <mergeCell ref="B9:G9"/>
    <mergeCell ref="W9:Y9"/>
    <mergeCell ref="K6:V6"/>
    <mergeCell ref="I6:I7"/>
    <mergeCell ref="Z1:Z13"/>
    <mergeCell ref="A2:Y2"/>
    <mergeCell ref="A3:E3"/>
    <mergeCell ref="F3:G3"/>
    <mergeCell ref="H3:Y4"/>
    <mergeCell ref="A4:E4"/>
    <mergeCell ref="F4:G4"/>
    <mergeCell ref="A5:E5"/>
    <mergeCell ref="F5:G5"/>
    <mergeCell ref="B10:G10"/>
    <mergeCell ref="W10:Y10"/>
    <mergeCell ref="H5:Y5"/>
    <mergeCell ref="A6:A7"/>
    <mergeCell ref="B6:G7"/>
    <mergeCell ref="H6:H7"/>
    <mergeCell ref="J6:J7"/>
  </mergeCells>
  <printOptions horizontalCentered="1" verticalCentered="1"/>
  <pageMargins left="0" right="0" top="0" bottom="0" header="0" footer="0"/>
  <pageSetup scale="4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28D-F9DA-449C-A684-10347FDC1863}">
  <dimension ref="A1:Z22"/>
  <sheetViews>
    <sheetView rightToLeft="1" view="pageBreakPreview" zoomScale="90" zoomScaleNormal="90" zoomScaleSheetLayoutView="90" workbookViewId="0">
      <selection activeCell="B14" sqref="B14:G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9" width="25.5703125" style="21" customWidth="1"/>
    <col min="10" max="10" width="28.42578125" style="21" customWidth="1"/>
    <col min="11" max="12" width="4.7109375" style="21" customWidth="1"/>
    <col min="13" max="13" width="5.28515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451"/>
    </row>
    <row r="3" spans="1:26" s="3" customFormat="1" ht="40.5" customHeight="1" thickTop="1">
      <c r="A3" s="557" t="s">
        <v>1631</v>
      </c>
      <c r="B3" s="558"/>
      <c r="C3" s="558"/>
      <c r="D3" s="558"/>
      <c r="E3" s="559"/>
      <c r="F3" s="560" t="s">
        <v>1630</v>
      </c>
      <c r="G3" s="561"/>
      <c r="H3" s="562" t="s">
        <v>1629</v>
      </c>
      <c r="I3" s="563"/>
      <c r="J3" s="563"/>
      <c r="K3" s="563"/>
      <c r="L3" s="563"/>
      <c r="M3" s="563"/>
      <c r="N3" s="563"/>
      <c r="O3" s="563"/>
      <c r="P3" s="563"/>
      <c r="Q3" s="563"/>
      <c r="R3" s="563"/>
      <c r="S3" s="563"/>
      <c r="T3" s="563"/>
      <c r="U3" s="563"/>
      <c r="V3" s="563"/>
      <c r="W3" s="563"/>
      <c r="X3" s="563"/>
      <c r="Y3" s="564"/>
      <c r="Z3" s="451"/>
    </row>
    <row r="4" spans="1:26" s="3" customFormat="1" ht="28.5" customHeight="1">
      <c r="A4" s="568" t="s">
        <v>1595</v>
      </c>
      <c r="B4" s="569"/>
      <c r="C4" s="569"/>
      <c r="D4" s="569"/>
      <c r="E4" s="570"/>
      <c r="F4" s="571" t="s">
        <v>1596</v>
      </c>
      <c r="G4" s="572"/>
      <c r="H4" s="565"/>
      <c r="I4" s="566"/>
      <c r="J4" s="566"/>
      <c r="K4" s="566"/>
      <c r="L4" s="566"/>
      <c r="M4" s="566"/>
      <c r="N4" s="566"/>
      <c r="O4" s="566"/>
      <c r="P4" s="566"/>
      <c r="Q4" s="566"/>
      <c r="R4" s="566"/>
      <c r="S4" s="566"/>
      <c r="T4" s="566"/>
      <c r="U4" s="566"/>
      <c r="V4" s="566"/>
      <c r="W4" s="566"/>
      <c r="X4" s="566"/>
      <c r="Y4" s="567"/>
      <c r="Z4" s="451"/>
    </row>
    <row r="5" spans="1:26" s="3" customFormat="1" ht="29.25" customHeight="1" thickBot="1">
      <c r="A5" s="573" t="s">
        <v>1628</v>
      </c>
      <c r="B5" s="574"/>
      <c r="C5" s="574"/>
      <c r="D5" s="574"/>
      <c r="E5" s="575"/>
      <c r="F5" s="576" t="s">
        <v>1598</v>
      </c>
      <c r="G5" s="576"/>
      <c r="H5" s="577" t="s">
        <v>1599</v>
      </c>
      <c r="I5" s="578"/>
      <c r="J5" s="578"/>
      <c r="K5" s="578"/>
      <c r="L5" s="578"/>
      <c r="M5" s="578"/>
      <c r="N5" s="578"/>
      <c r="O5" s="578"/>
      <c r="P5" s="578"/>
      <c r="Q5" s="578"/>
      <c r="R5" s="578"/>
      <c r="S5" s="578"/>
      <c r="T5" s="578"/>
      <c r="U5" s="578"/>
      <c r="V5" s="578"/>
      <c r="W5" s="578"/>
      <c r="X5" s="578"/>
      <c r="Y5" s="579"/>
      <c r="Z5" s="451"/>
    </row>
    <row r="6" spans="1:26" ht="28.5" customHeight="1">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625"/>
      <c r="B7" s="626"/>
      <c r="C7" s="627"/>
      <c r="D7" s="627"/>
      <c r="E7" s="627"/>
      <c r="F7" s="627"/>
      <c r="G7" s="628"/>
      <c r="H7" s="629"/>
      <c r="I7" s="630"/>
      <c r="J7" s="629"/>
      <c r="K7" s="22" t="s">
        <v>16</v>
      </c>
      <c r="L7" s="22" t="s">
        <v>17</v>
      </c>
      <c r="M7" s="22" t="s">
        <v>18</v>
      </c>
      <c r="N7" s="22" t="s">
        <v>19</v>
      </c>
      <c r="O7" s="22" t="s">
        <v>20</v>
      </c>
      <c r="P7" s="22" t="s">
        <v>21</v>
      </c>
      <c r="Q7" s="22" t="s">
        <v>22</v>
      </c>
      <c r="R7" s="22" t="s">
        <v>23</v>
      </c>
      <c r="S7" s="22" t="s">
        <v>24</v>
      </c>
      <c r="T7" s="22" t="s">
        <v>25</v>
      </c>
      <c r="U7" s="22" t="s">
        <v>26</v>
      </c>
      <c r="V7" s="22" t="s">
        <v>27</v>
      </c>
      <c r="W7" s="626"/>
      <c r="X7" s="627"/>
      <c r="Y7" s="631"/>
      <c r="Z7" s="451"/>
    </row>
    <row r="8" spans="1:26" s="14" customFormat="1" ht="28.5" customHeight="1">
      <c r="A8" s="23" t="s">
        <v>28</v>
      </c>
      <c r="B8" s="551" t="s">
        <v>1627</v>
      </c>
      <c r="C8" s="551"/>
      <c r="D8" s="551"/>
      <c r="E8" s="551"/>
      <c r="F8" s="551"/>
      <c r="G8" s="551"/>
      <c r="H8" s="15">
        <v>10</v>
      </c>
      <c r="I8" s="9" t="s">
        <v>1601</v>
      </c>
      <c r="J8" s="158"/>
      <c r="K8" s="160"/>
      <c r="L8" s="287"/>
      <c r="M8" s="160"/>
      <c r="N8" s="160"/>
      <c r="O8" s="160"/>
      <c r="P8" s="160"/>
      <c r="Q8" s="160"/>
      <c r="R8" s="160"/>
      <c r="S8" s="160"/>
      <c r="T8" s="160"/>
      <c r="U8" s="160"/>
      <c r="V8" s="160"/>
      <c r="W8" s="594"/>
      <c r="X8" s="595"/>
      <c r="Y8" s="596"/>
      <c r="Z8" s="451"/>
    </row>
    <row r="9" spans="1:26" s="14" customFormat="1" ht="28.5" customHeight="1">
      <c r="A9" s="23" t="s">
        <v>66</v>
      </c>
      <c r="B9" s="551" t="s">
        <v>1626</v>
      </c>
      <c r="C9" s="551"/>
      <c r="D9" s="551"/>
      <c r="E9" s="551"/>
      <c r="F9" s="551"/>
      <c r="G9" s="551"/>
      <c r="H9" s="15">
        <v>5</v>
      </c>
      <c r="I9" s="9" t="s">
        <v>1601</v>
      </c>
      <c r="J9" s="158"/>
      <c r="K9" s="160"/>
      <c r="L9" s="160"/>
      <c r="M9" s="287"/>
      <c r="N9" s="287"/>
      <c r="O9" s="160"/>
      <c r="P9" s="160"/>
      <c r="Q9" s="160"/>
      <c r="R9" s="160"/>
      <c r="S9" s="160"/>
      <c r="T9" s="160"/>
      <c r="U9" s="160"/>
      <c r="V9" s="160"/>
      <c r="W9" s="594"/>
      <c r="X9" s="595"/>
      <c r="Y9" s="596"/>
      <c r="Z9" s="451"/>
    </row>
    <row r="10" spans="1:26" s="14" customFormat="1" ht="40.5" customHeight="1">
      <c r="A10" s="23" t="s">
        <v>68</v>
      </c>
      <c r="B10" s="551" t="s">
        <v>1625</v>
      </c>
      <c r="C10" s="551"/>
      <c r="D10" s="551"/>
      <c r="E10" s="551"/>
      <c r="F10" s="551"/>
      <c r="G10" s="551"/>
      <c r="H10" s="15">
        <v>30</v>
      </c>
      <c r="I10" s="9" t="s">
        <v>1624</v>
      </c>
      <c r="J10" s="158"/>
      <c r="K10" s="160"/>
      <c r="L10" s="160"/>
      <c r="M10" s="287"/>
      <c r="N10" s="287"/>
      <c r="O10" s="160"/>
      <c r="P10" s="160"/>
      <c r="Q10" s="160"/>
      <c r="R10" s="160"/>
      <c r="S10" s="160"/>
      <c r="T10" s="160"/>
      <c r="U10" s="160"/>
      <c r="V10" s="160"/>
      <c r="W10" s="632"/>
      <c r="X10" s="633"/>
      <c r="Y10" s="634"/>
      <c r="Z10" s="451"/>
    </row>
    <row r="11" spans="1:26" s="14" customFormat="1" ht="28.5" customHeight="1">
      <c r="A11" s="23" t="s">
        <v>70</v>
      </c>
      <c r="B11" s="551" t="s">
        <v>1623</v>
      </c>
      <c r="C11" s="551"/>
      <c r="D11" s="551"/>
      <c r="E11" s="551"/>
      <c r="F11" s="551"/>
      <c r="G11" s="551"/>
      <c r="H11" s="15">
        <v>10</v>
      </c>
      <c r="I11" s="9" t="s">
        <v>1622</v>
      </c>
      <c r="J11" s="158"/>
      <c r="K11" s="160"/>
      <c r="L11" s="160"/>
      <c r="M11" s="160"/>
      <c r="N11" s="160"/>
      <c r="O11" s="287"/>
      <c r="P11" s="287"/>
      <c r="Q11" s="160"/>
      <c r="R11" s="160"/>
      <c r="S11" s="160"/>
      <c r="T11" s="160"/>
      <c r="U11" s="160"/>
      <c r="V11" s="160"/>
      <c r="W11" s="632"/>
      <c r="X11" s="633"/>
      <c r="Y11" s="634"/>
      <c r="Z11" s="451"/>
    </row>
    <row r="12" spans="1:26" s="14" customFormat="1" ht="28.5" customHeight="1">
      <c r="A12" s="23" t="s">
        <v>153</v>
      </c>
      <c r="B12" s="530" t="s">
        <v>1621</v>
      </c>
      <c r="C12" s="531"/>
      <c r="D12" s="531"/>
      <c r="E12" s="531"/>
      <c r="F12" s="531"/>
      <c r="G12" s="532"/>
      <c r="H12" s="15">
        <v>5</v>
      </c>
      <c r="I12" s="9" t="s">
        <v>1601</v>
      </c>
      <c r="J12" s="158"/>
      <c r="K12" s="160"/>
      <c r="L12" s="160"/>
      <c r="M12" s="160"/>
      <c r="N12" s="160"/>
      <c r="O12" s="160"/>
      <c r="P12" s="160"/>
      <c r="Q12" s="287"/>
      <c r="R12" s="287"/>
      <c r="S12" s="160"/>
      <c r="T12" s="160"/>
      <c r="U12" s="160"/>
      <c r="V12" s="160"/>
      <c r="W12" s="27"/>
      <c r="X12" s="28"/>
      <c r="Y12" s="293"/>
      <c r="Z12" s="451"/>
    </row>
    <row r="13" spans="1:26" s="14" customFormat="1" ht="48.75" customHeight="1">
      <c r="A13" s="23" t="s">
        <v>155</v>
      </c>
      <c r="B13" s="515" t="s">
        <v>1620</v>
      </c>
      <c r="C13" s="516"/>
      <c r="D13" s="516"/>
      <c r="E13" s="516"/>
      <c r="F13" s="516"/>
      <c r="G13" s="517"/>
      <c r="H13" s="15">
        <v>10</v>
      </c>
      <c r="I13" s="9" t="s">
        <v>1601</v>
      </c>
      <c r="J13" s="158"/>
      <c r="K13" s="160"/>
      <c r="L13" s="160"/>
      <c r="M13" s="287"/>
      <c r="N13" s="287"/>
      <c r="O13" s="287"/>
      <c r="P13" s="287"/>
      <c r="Q13" s="287"/>
      <c r="R13" s="287"/>
      <c r="S13" s="287"/>
      <c r="T13" s="287"/>
      <c r="U13" s="287"/>
      <c r="V13" s="287"/>
      <c r="W13" s="27"/>
      <c r="X13" s="28"/>
      <c r="Y13" s="293"/>
      <c r="Z13" s="451"/>
    </row>
    <row r="14" spans="1:26" s="14" customFormat="1" ht="28.5" customHeight="1">
      <c r="A14" s="23" t="s">
        <v>156</v>
      </c>
      <c r="B14" s="530" t="s">
        <v>1610</v>
      </c>
      <c r="C14" s="531"/>
      <c r="D14" s="531"/>
      <c r="E14" s="531"/>
      <c r="F14" s="531"/>
      <c r="G14" s="532"/>
      <c r="H14" s="15">
        <v>10</v>
      </c>
      <c r="I14" s="9" t="s">
        <v>1611</v>
      </c>
      <c r="J14" s="158"/>
      <c r="K14" s="160"/>
      <c r="L14" s="160"/>
      <c r="M14" s="287"/>
      <c r="N14" s="160"/>
      <c r="O14" s="160"/>
      <c r="P14" s="160"/>
      <c r="Q14" s="160"/>
      <c r="R14" s="160"/>
      <c r="S14" s="160"/>
      <c r="T14" s="160"/>
      <c r="U14" s="160"/>
      <c r="V14" s="160"/>
      <c r="W14" s="27"/>
      <c r="X14" s="28"/>
      <c r="Y14" s="293"/>
      <c r="Z14" s="451"/>
    </row>
    <row r="15" spans="1:26" s="14" customFormat="1" ht="28.5" customHeight="1">
      <c r="A15" s="23" t="s">
        <v>853</v>
      </c>
      <c r="B15" s="530" t="s">
        <v>1619</v>
      </c>
      <c r="C15" s="531"/>
      <c r="D15" s="531"/>
      <c r="E15" s="531"/>
      <c r="F15" s="531"/>
      <c r="G15" s="532"/>
      <c r="H15" s="15">
        <v>10</v>
      </c>
      <c r="I15" s="9" t="s">
        <v>1615</v>
      </c>
      <c r="J15" s="158"/>
      <c r="K15" s="160"/>
      <c r="L15" s="160"/>
      <c r="M15" s="160"/>
      <c r="N15" s="160"/>
      <c r="O15" s="287"/>
      <c r="P15" s="287"/>
      <c r="Q15" s="287"/>
      <c r="R15" s="160"/>
      <c r="S15" s="160"/>
      <c r="T15" s="160"/>
      <c r="U15" s="160"/>
      <c r="V15" s="160"/>
      <c r="W15" s="27"/>
      <c r="X15" s="28"/>
      <c r="Y15" s="293"/>
      <c r="Z15" s="451"/>
    </row>
    <row r="16" spans="1:26" s="14" customFormat="1" ht="28.5" customHeight="1" thickBot="1">
      <c r="A16" s="23" t="s">
        <v>892</v>
      </c>
      <c r="B16" s="551" t="s">
        <v>1618</v>
      </c>
      <c r="C16" s="551"/>
      <c r="D16" s="551"/>
      <c r="E16" s="551"/>
      <c r="F16" s="551"/>
      <c r="G16" s="551"/>
      <c r="H16" s="15">
        <v>10</v>
      </c>
      <c r="I16" s="9" t="s">
        <v>1617</v>
      </c>
      <c r="J16" s="158"/>
      <c r="K16" s="160"/>
      <c r="L16" s="160"/>
      <c r="M16" s="287"/>
      <c r="N16" s="287"/>
      <c r="O16" s="287"/>
      <c r="P16" s="287"/>
      <c r="Q16" s="287"/>
      <c r="R16" s="287"/>
      <c r="S16" s="287"/>
      <c r="T16" s="287"/>
      <c r="U16" s="287"/>
      <c r="V16" s="287"/>
      <c r="W16" s="640"/>
      <c r="X16" s="641"/>
      <c r="Y16" s="642"/>
      <c r="Z16" s="451"/>
    </row>
    <row r="17" spans="1:26" ht="30" customHeight="1" thickTop="1" thickBot="1">
      <c r="A17" s="598" t="s">
        <v>293</v>
      </c>
      <c r="B17" s="599"/>
      <c r="C17" s="599"/>
      <c r="D17" s="600"/>
      <c r="E17" s="607" t="s">
        <v>294</v>
      </c>
      <c r="F17" s="608"/>
      <c r="G17" s="608"/>
      <c r="H17" s="608"/>
      <c r="I17" s="608"/>
      <c r="J17" s="607" t="s">
        <v>74</v>
      </c>
      <c r="K17" s="608"/>
      <c r="L17" s="608"/>
      <c r="M17" s="609"/>
      <c r="N17" s="610" t="s">
        <v>1612</v>
      </c>
      <c r="O17" s="611"/>
      <c r="P17" s="611"/>
      <c r="Q17" s="611"/>
      <c r="R17" s="611"/>
      <c r="S17" s="611"/>
      <c r="T17" s="611"/>
      <c r="U17" s="611"/>
      <c r="V17" s="612"/>
      <c r="W17" s="610" t="s">
        <v>295</v>
      </c>
      <c r="X17" s="611"/>
      <c r="Y17" s="612"/>
      <c r="Z17" s="451"/>
    </row>
    <row r="18" spans="1:26" s="20" customFormat="1" ht="29.25" thickTop="1">
      <c r="A18" s="601"/>
      <c r="B18" s="602"/>
      <c r="C18" s="602"/>
      <c r="D18" s="602"/>
      <c r="E18" s="290" t="s">
        <v>1616</v>
      </c>
      <c r="F18" s="290" t="s">
        <v>942</v>
      </c>
      <c r="G18" s="290" t="s">
        <v>595</v>
      </c>
      <c r="H18" s="290" t="s">
        <v>1615</v>
      </c>
      <c r="I18" s="290" t="s">
        <v>1614</v>
      </c>
      <c r="J18" s="622" t="s">
        <v>621</v>
      </c>
      <c r="K18" s="621"/>
      <c r="L18" s="621"/>
      <c r="M18" s="622"/>
      <c r="N18" s="613"/>
      <c r="O18" s="614"/>
      <c r="P18" s="614"/>
      <c r="Q18" s="614"/>
      <c r="R18" s="614"/>
      <c r="S18" s="614"/>
      <c r="T18" s="614"/>
      <c r="U18" s="614"/>
      <c r="V18" s="615"/>
      <c r="W18" s="613"/>
      <c r="X18" s="614"/>
      <c r="Y18" s="615"/>
    </row>
    <row r="19" spans="1:26" s="20" customFormat="1" ht="29.25" thickBot="1">
      <c r="A19" s="601"/>
      <c r="B19" s="602"/>
      <c r="C19" s="602"/>
      <c r="D19" s="602"/>
      <c r="E19" s="292"/>
      <c r="F19" s="292"/>
      <c r="G19" s="292"/>
      <c r="H19" s="292"/>
      <c r="I19" s="292"/>
      <c r="J19" s="624"/>
      <c r="K19" s="623"/>
      <c r="L19" s="623"/>
      <c r="M19" s="624"/>
      <c r="N19" s="613"/>
      <c r="O19" s="614"/>
      <c r="P19" s="614"/>
      <c r="Q19" s="614"/>
      <c r="R19" s="614"/>
      <c r="S19" s="614"/>
      <c r="T19" s="614"/>
      <c r="U19" s="614"/>
      <c r="V19" s="615"/>
      <c r="W19" s="613"/>
      <c r="X19" s="614"/>
      <c r="Y19" s="615"/>
    </row>
    <row r="20" spans="1:26" s="20" customFormat="1" ht="29.25" thickTop="1">
      <c r="A20" s="601"/>
      <c r="B20" s="602"/>
      <c r="C20" s="602"/>
      <c r="D20" s="602"/>
      <c r="E20" s="292"/>
      <c r="F20" s="292"/>
      <c r="G20" s="292"/>
      <c r="H20" s="292"/>
      <c r="I20" s="292"/>
      <c r="J20" s="622" t="s">
        <v>622</v>
      </c>
      <c r="K20" s="621"/>
      <c r="L20" s="621"/>
      <c r="M20" s="622"/>
      <c r="N20" s="613"/>
      <c r="O20" s="614"/>
      <c r="P20" s="614"/>
      <c r="Q20" s="614"/>
      <c r="R20" s="614"/>
      <c r="S20" s="614"/>
      <c r="T20" s="614"/>
      <c r="U20" s="614"/>
      <c r="V20" s="615"/>
      <c r="W20" s="613"/>
      <c r="X20" s="614"/>
      <c r="Y20" s="615"/>
    </row>
    <row r="21" spans="1:26" s="20" customFormat="1" ht="29.25" thickBot="1">
      <c r="A21" s="604"/>
      <c r="B21" s="605"/>
      <c r="C21" s="605"/>
      <c r="D21" s="605"/>
      <c r="E21" s="291"/>
      <c r="F21" s="291"/>
      <c r="G21" s="291"/>
      <c r="H21" s="291"/>
      <c r="I21" s="291"/>
      <c r="J21" s="624"/>
      <c r="K21" s="623"/>
      <c r="L21" s="623"/>
      <c r="M21" s="624"/>
      <c r="N21" s="616"/>
      <c r="O21" s="617"/>
      <c r="P21" s="617"/>
      <c r="Q21" s="617"/>
      <c r="R21" s="617"/>
      <c r="S21" s="617"/>
      <c r="T21" s="617"/>
      <c r="U21" s="617"/>
      <c r="V21" s="618"/>
      <c r="W21" s="616"/>
      <c r="X21" s="617"/>
      <c r="Y21" s="618"/>
    </row>
    <row r="22" spans="1:26" ht="18.75" thickTop="1"/>
  </sheetData>
  <mergeCells count="41">
    <mergeCell ref="A17:D21"/>
    <mergeCell ref="E17:I17"/>
    <mergeCell ref="J17:M17"/>
    <mergeCell ref="N17:V21"/>
    <mergeCell ref="W17:Y21"/>
    <mergeCell ref="J18:J19"/>
    <mergeCell ref="K18:M19"/>
    <mergeCell ref="J20:J21"/>
    <mergeCell ref="K20:M21"/>
    <mergeCell ref="B16:G16"/>
    <mergeCell ref="W16:Y16"/>
    <mergeCell ref="B12:G12"/>
    <mergeCell ref="B13:G13"/>
    <mergeCell ref="B14:G14"/>
    <mergeCell ref="B15:G15"/>
    <mergeCell ref="B9:G9"/>
    <mergeCell ref="W9:Y9"/>
    <mergeCell ref="K6:V6"/>
    <mergeCell ref="B11:G11"/>
    <mergeCell ref="W11:Y11"/>
    <mergeCell ref="I6:I7"/>
    <mergeCell ref="J6:J7"/>
    <mergeCell ref="W6:Y7"/>
    <mergeCell ref="B8:G8"/>
    <mergeCell ref="W8:Y8"/>
    <mergeCell ref="A1:Y1"/>
    <mergeCell ref="Z1:Z17"/>
    <mergeCell ref="A2:Y2"/>
    <mergeCell ref="A3:E3"/>
    <mergeCell ref="F3:G3"/>
    <mergeCell ref="H3:Y4"/>
    <mergeCell ref="A4:E4"/>
    <mergeCell ref="F4:G4"/>
    <mergeCell ref="A5:E5"/>
    <mergeCell ref="F5:G5"/>
    <mergeCell ref="B10:G10"/>
    <mergeCell ref="W10:Y10"/>
    <mergeCell ref="H5:Y5"/>
    <mergeCell ref="A6:A7"/>
    <mergeCell ref="B6:G7"/>
    <mergeCell ref="H6:H7"/>
  </mergeCells>
  <printOptions horizontalCentered="1" verticalCentered="1"/>
  <pageMargins left="0" right="0" top="0" bottom="0" header="0" footer="0"/>
  <pageSetup scale="4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B4FA-1567-4C1D-82C2-0747FB24FF23}">
  <dimension ref="A1:Z20"/>
  <sheetViews>
    <sheetView rightToLeft="1" view="pageBreakPreview" topLeftCell="A3" zoomScale="90" zoomScaleNormal="90" zoomScaleSheetLayoutView="90" workbookViewId="0">
      <selection activeCell="F5" sqref="F5:G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8" width="24.28515625" style="21" customWidth="1"/>
    <col min="9" max="9" width="36.85546875" style="21" customWidth="1"/>
    <col min="10" max="10" width="28.42578125" style="21" customWidth="1"/>
    <col min="11" max="12" width="4.7109375" style="21" customWidth="1"/>
    <col min="13" max="13" width="4.42578125" style="21" customWidth="1"/>
    <col min="14" max="22" width="4.7109375" style="21" customWidth="1"/>
    <col min="23" max="23" width="4.42578125" style="21" bestFit="1" customWidth="1"/>
    <col min="24" max="24" width="7.140625" style="21" customWidth="1"/>
    <col min="25" max="25" width="23.4257812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451"/>
    </row>
    <row r="3" spans="1:26" s="3" customFormat="1" ht="40.5" customHeight="1" thickTop="1">
      <c r="A3" s="557" t="s">
        <v>1592</v>
      </c>
      <c r="B3" s="558"/>
      <c r="C3" s="558"/>
      <c r="D3" s="558"/>
      <c r="E3" s="559"/>
      <c r="F3" s="560" t="s">
        <v>1593</v>
      </c>
      <c r="G3" s="561"/>
      <c r="H3" s="562" t="s">
        <v>1594</v>
      </c>
      <c r="I3" s="563"/>
      <c r="J3" s="563"/>
      <c r="K3" s="563"/>
      <c r="L3" s="563"/>
      <c r="M3" s="563"/>
      <c r="N3" s="563"/>
      <c r="O3" s="563"/>
      <c r="P3" s="563"/>
      <c r="Q3" s="563"/>
      <c r="R3" s="563"/>
      <c r="S3" s="563"/>
      <c r="T3" s="563"/>
      <c r="U3" s="563"/>
      <c r="V3" s="563"/>
      <c r="W3" s="563"/>
      <c r="X3" s="563"/>
      <c r="Y3" s="564"/>
      <c r="Z3" s="451"/>
    </row>
    <row r="4" spans="1:26" s="3" customFormat="1" ht="28.5" customHeight="1">
      <c r="A4" s="568" t="s">
        <v>1595</v>
      </c>
      <c r="B4" s="569"/>
      <c r="C4" s="569"/>
      <c r="D4" s="569"/>
      <c r="E4" s="570"/>
      <c r="F4" s="571" t="s">
        <v>1596</v>
      </c>
      <c r="G4" s="572"/>
      <c r="H4" s="565"/>
      <c r="I4" s="566"/>
      <c r="J4" s="566"/>
      <c r="K4" s="566"/>
      <c r="L4" s="566"/>
      <c r="M4" s="566"/>
      <c r="N4" s="566"/>
      <c r="O4" s="566"/>
      <c r="P4" s="566"/>
      <c r="Q4" s="566"/>
      <c r="R4" s="566"/>
      <c r="S4" s="566"/>
      <c r="T4" s="566"/>
      <c r="U4" s="566"/>
      <c r="V4" s="566"/>
      <c r="W4" s="566"/>
      <c r="X4" s="566"/>
      <c r="Y4" s="567"/>
      <c r="Z4" s="451"/>
    </row>
    <row r="5" spans="1:26" s="3" customFormat="1" ht="29.25" customHeight="1" thickBot="1">
      <c r="A5" s="573" t="s">
        <v>1597</v>
      </c>
      <c r="B5" s="574"/>
      <c r="C5" s="574"/>
      <c r="D5" s="574"/>
      <c r="E5" s="575"/>
      <c r="F5" s="576" t="s">
        <v>1598</v>
      </c>
      <c r="G5" s="576"/>
      <c r="H5" s="577" t="s">
        <v>1599</v>
      </c>
      <c r="I5" s="578"/>
      <c r="J5" s="578"/>
      <c r="K5" s="578"/>
      <c r="L5" s="578"/>
      <c r="M5" s="578"/>
      <c r="N5" s="578"/>
      <c r="O5" s="578"/>
      <c r="P5" s="578"/>
      <c r="Q5" s="578"/>
      <c r="R5" s="578"/>
      <c r="S5" s="578"/>
      <c r="T5" s="578"/>
      <c r="U5" s="578"/>
      <c r="V5" s="578"/>
      <c r="W5" s="578"/>
      <c r="X5" s="578"/>
      <c r="Y5" s="579"/>
      <c r="Z5" s="451"/>
    </row>
    <row r="6" spans="1:26" ht="28.5" customHeight="1">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625"/>
      <c r="B7" s="626"/>
      <c r="C7" s="627"/>
      <c r="D7" s="627"/>
      <c r="E7" s="627"/>
      <c r="F7" s="627"/>
      <c r="G7" s="628"/>
      <c r="H7" s="629"/>
      <c r="I7" s="630"/>
      <c r="J7" s="629"/>
      <c r="K7" s="22" t="s">
        <v>16</v>
      </c>
      <c r="L7" s="22" t="s">
        <v>17</v>
      </c>
      <c r="M7" s="22" t="s">
        <v>18</v>
      </c>
      <c r="N7" s="22" t="s">
        <v>19</v>
      </c>
      <c r="O7" s="22" t="s">
        <v>20</v>
      </c>
      <c r="P7" s="22" t="s">
        <v>21</v>
      </c>
      <c r="Q7" s="22" t="s">
        <v>22</v>
      </c>
      <c r="R7" s="22" t="s">
        <v>23</v>
      </c>
      <c r="S7" s="22" t="s">
        <v>24</v>
      </c>
      <c r="T7" s="22" t="s">
        <v>25</v>
      </c>
      <c r="U7" s="22" t="s">
        <v>26</v>
      </c>
      <c r="V7" s="22" t="s">
        <v>27</v>
      </c>
      <c r="W7" s="626"/>
      <c r="X7" s="627"/>
      <c r="Y7" s="631"/>
      <c r="Z7" s="451"/>
    </row>
    <row r="8" spans="1:26" s="14" customFormat="1" ht="28.5" customHeight="1">
      <c r="A8" s="23" t="s">
        <v>28</v>
      </c>
      <c r="B8" s="530" t="s">
        <v>1600</v>
      </c>
      <c r="C8" s="531"/>
      <c r="D8" s="531"/>
      <c r="E8" s="531"/>
      <c r="F8" s="531"/>
      <c r="G8" s="532"/>
      <c r="H8" s="15">
        <v>10</v>
      </c>
      <c r="I8" s="15" t="s">
        <v>1601</v>
      </c>
      <c r="J8" s="158"/>
      <c r="K8" s="160"/>
      <c r="L8" s="287"/>
      <c r="M8" s="160"/>
      <c r="N8" s="160"/>
      <c r="O8" s="160"/>
      <c r="P8" s="160"/>
      <c r="Q8" s="160"/>
      <c r="R8" s="160"/>
      <c r="S8" s="160"/>
      <c r="T8" s="160"/>
      <c r="U8" s="160"/>
      <c r="V8" s="160"/>
      <c r="W8" s="594"/>
      <c r="X8" s="595"/>
      <c r="Y8" s="596"/>
      <c r="Z8" s="451"/>
    </row>
    <row r="9" spans="1:26" s="14" customFormat="1" ht="28.5" customHeight="1">
      <c r="A9" s="23" t="s">
        <v>66</v>
      </c>
      <c r="B9" s="530" t="s">
        <v>1602</v>
      </c>
      <c r="C9" s="531"/>
      <c r="D9" s="531"/>
      <c r="E9" s="531"/>
      <c r="F9" s="531"/>
      <c r="G9" s="532"/>
      <c r="H9" s="15">
        <v>30</v>
      </c>
      <c r="I9" s="15" t="s">
        <v>1603</v>
      </c>
      <c r="J9" s="158"/>
      <c r="K9" s="160"/>
      <c r="L9" s="287"/>
      <c r="M9" s="287"/>
      <c r="N9" s="160"/>
      <c r="O9" s="160"/>
      <c r="P9" s="160"/>
      <c r="Q9" s="160"/>
      <c r="R9" s="160"/>
      <c r="S9" s="160"/>
      <c r="T9" s="160"/>
      <c r="U9" s="160"/>
      <c r="V9" s="160"/>
      <c r="W9" s="594"/>
      <c r="X9" s="595"/>
      <c r="Y9" s="596"/>
      <c r="Z9" s="451"/>
    </row>
    <row r="10" spans="1:26" s="14" customFormat="1" ht="28.5" customHeight="1">
      <c r="A10" s="23" t="s">
        <v>68</v>
      </c>
      <c r="B10" s="530" t="s">
        <v>1604</v>
      </c>
      <c r="C10" s="531"/>
      <c r="D10" s="531"/>
      <c r="E10" s="531"/>
      <c r="F10" s="531"/>
      <c r="G10" s="532"/>
      <c r="H10" s="15">
        <v>10</v>
      </c>
      <c r="I10" s="15" t="s">
        <v>1605</v>
      </c>
      <c r="J10" s="158"/>
      <c r="K10" s="160"/>
      <c r="L10" s="160"/>
      <c r="M10" s="287"/>
      <c r="N10" s="287"/>
      <c r="O10" s="160"/>
      <c r="P10" s="160"/>
      <c r="Q10" s="160"/>
      <c r="R10" s="160"/>
      <c r="S10" s="160"/>
      <c r="T10" s="160"/>
      <c r="U10" s="160"/>
      <c r="V10" s="160"/>
      <c r="W10" s="632"/>
      <c r="X10" s="633"/>
      <c r="Y10" s="634"/>
      <c r="Z10" s="451"/>
    </row>
    <row r="11" spans="1:26" s="14" customFormat="1" ht="28.5" customHeight="1">
      <c r="A11" s="23" t="s">
        <v>70</v>
      </c>
      <c r="B11" s="551" t="s">
        <v>1606</v>
      </c>
      <c r="C11" s="551"/>
      <c r="D11" s="551"/>
      <c r="E11" s="551"/>
      <c r="F11" s="551"/>
      <c r="G11" s="551"/>
      <c r="H11" s="15">
        <v>15</v>
      </c>
      <c r="I11" s="15" t="s">
        <v>1603</v>
      </c>
      <c r="J11" s="158"/>
      <c r="K11" s="160"/>
      <c r="L11" s="160"/>
      <c r="M11" s="287"/>
      <c r="N11" s="287"/>
      <c r="O11" s="160"/>
      <c r="P11" s="160"/>
      <c r="Q11" s="160"/>
      <c r="R11" s="160"/>
      <c r="S11" s="160"/>
      <c r="T11" s="160"/>
      <c r="U11" s="160"/>
      <c r="V11" s="160"/>
      <c r="W11" s="25"/>
      <c r="X11" s="26"/>
      <c r="Y11" s="288"/>
      <c r="Z11" s="451"/>
    </row>
    <row r="12" spans="1:26" s="14" customFormat="1" ht="29.25" customHeight="1">
      <c r="A12" s="23" t="s">
        <v>153</v>
      </c>
      <c r="B12" s="551" t="s">
        <v>1607</v>
      </c>
      <c r="C12" s="551"/>
      <c r="D12" s="551"/>
      <c r="E12" s="551"/>
      <c r="F12" s="551"/>
      <c r="G12" s="551"/>
      <c r="H12" s="289">
        <v>10</v>
      </c>
      <c r="I12" s="289" t="s">
        <v>1601</v>
      </c>
      <c r="J12" s="158"/>
      <c r="K12" s="160"/>
      <c r="L12" s="160"/>
      <c r="M12" s="160"/>
      <c r="N12" s="160"/>
      <c r="O12" s="287"/>
      <c r="P12" s="287"/>
      <c r="Q12" s="160"/>
      <c r="R12" s="160"/>
      <c r="S12" s="160"/>
      <c r="T12" s="160"/>
      <c r="U12" s="160"/>
      <c r="V12" s="160"/>
      <c r="W12" s="25"/>
      <c r="X12" s="26"/>
      <c r="Y12" s="288"/>
      <c r="Z12" s="451"/>
    </row>
    <row r="13" spans="1:26" s="14" customFormat="1" ht="63" customHeight="1">
      <c r="A13" s="23" t="s">
        <v>155</v>
      </c>
      <c r="B13" s="643" t="s">
        <v>1608</v>
      </c>
      <c r="C13" s="643"/>
      <c r="D13" s="643"/>
      <c r="E13" s="643"/>
      <c r="F13" s="643"/>
      <c r="G13" s="643"/>
      <c r="H13" s="15">
        <v>10</v>
      </c>
      <c r="I13" s="15" t="s">
        <v>1609</v>
      </c>
      <c r="J13" s="158"/>
      <c r="K13" s="160"/>
      <c r="L13" s="287"/>
      <c r="M13" s="287"/>
      <c r="N13" s="287"/>
      <c r="O13" s="287"/>
      <c r="P13" s="287"/>
      <c r="Q13" s="287"/>
      <c r="R13" s="287"/>
      <c r="S13" s="287"/>
      <c r="T13" s="287"/>
      <c r="U13" s="287"/>
      <c r="V13" s="287"/>
      <c r="W13" s="25"/>
      <c r="X13" s="26"/>
      <c r="Y13" s="288"/>
      <c r="Z13" s="451"/>
    </row>
    <row r="14" spans="1:26" s="14" customFormat="1" ht="28.5" customHeight="1" thickBot="1">
      <c r="A14" s="23" t="s">
        <v>156</v>
      </c>
      <c r="B14" s="551" t="s">
        <v>1610</v>
      </c>
      <c r="C14" s="551"/>
      <c r="D14" s="551"/>
      <c r="E14" s="551"/>
      <c r="F14" s="551"/>
      <c r="G14" s="551"/>
      <c r="H14" s="15">
        <v>15</v>
      </c>
      <c r="I14" s="15" t="s">
        <v>1611</v>
      </c>
      <c r="J14" s="158"/>
      <c r="K14" s="160"/>
      <c r="L14" s="287"/>
      <c r="M14" s="160"/>
      <c r="N14" s="160"/>
      <c r="O14" s="160"/>
      <c r="P14" s="160"/>
      <c r="Q14" s="160"/>
      <c r="R14" s="160"/>
      <c r="S14" s="160"/>
      <c r="T14" s="160"/>
      <c r="U14" s="160"/>
      <c r="V14" s="160"/>
      <c r="W14" s="632"/>
      <c r="X14" s="633"/>
      <c r="Y14" s="634"/>
      <c r="Z14" s="451"/>
    </row>
    <row r="15" spans="1:26" ht="30" customHeight="1" thickTop="1" thickBot="1">
      <c r="A15" s="598" t="s">
        <v>293</v>
      </c>
      <c r="B15" s="599"/>
      <c r="C15" s="599"/>
      <c r="D15" s="600"/>
      <c r="E15" s="607" t="s">
        <v>294</v>
      </c>
      <c r="F15" s="608"/>
      <c r="G15" s="608"/>
      <c r="H15" s="608"/>
      <c r="I15" s="608"/>
      <c r="J15" s="607" t="s">
        <v>74</v>
      </c>
      <c r="K15" s="608"/>
      <c r="L15" s="608"/>
      <c r="M15" s="609"/>
      <c r="N15" s="610" t="s">
        <v>1612</v>
      </c>
      <c r="O15" s="611"/>
      <c r="P15" s="611"/>
      <c r="Q15" s="611"/>
      <c r="R15" s="611"/>
      <c r="S15" s="611"/>
      <c r="T15" s="611"/>
      <c r="U15" s="611"/>
      <c r="V15" s="612"/>
      <c r="W15" s="610" t="s">
        <v>295</v>
      </c>
      <c r="X15" s="611"/>
      <c r="Y15" s="612"/>
      <c r="Z15" s="451"/>
    </row>
    <row r="16" spans="1:26" s="20" customFormat="1" ht="29.25" thickTop="1">
      <c r="A16" s="601"/>
      <c r="B16" s="602"/>
      <c r="C16" s="602"/>
      <c r="D16" s="603"/>
      <c r="E16" s="644" t="s">
        <v>1613</v>
      </c>
      <c r="F16" s="644" t="s">
        <v>595</v>
      </c>
      <c r="G16" s="644" t="s">
        <v>942</v>
      </c>
      <c r="H16" s="644"/>
      <c r="I16" s="644"/>
      <c r="J16" s="619" t="s">
        <v>621</v>
      </c>
      <c r="K16" s="621"/>
      <c r="L16" s="621"/>
      <c r="M16" s="622"/>
      <c r="N16" s="613"/>
      <c r="O16" s="614"/>
      <c r="P16" s="614"/>
      <c r="Q16" s="614"/>
      <c r="R16" s="614"/>
      <c r="S16" s="614"/>
      <c r="T16" s="614"/>
      <c r="U16" s="614"/>
      <c r="V16" s="615"/>
      <c r="W16" s="613"/>
      <c r="X16" s="614"/>
      <c r="Y16" s="615"/>
    </row>
    <row r="17" spans="1:25" s="20" customFormat="1" ht="29.25" thickBot="1">
      <c r="A17" s="601"/>
      <c r="B17" s="602"/>
      <c r="C17" s="602"/>
      <c r="D17" s="603"/>
      <c r="E17" s="645"/>
      <c r="F17" s="645"/>
      <c r="G17" s="645"/>
      <c r="H17" s="645"/>
      <c r="I17" s="645"/>
      <c r="J17" s="620"/>
      <c r="K17" s="623"/>
      <c r="L17" s="623"/>
      <c r="M17" s="624"/>
      <c r="N17" s="613"/>
      <c r="O17" s="614"/>
      <c r="P17" s="614"/>
      <c r="Q17" s="614"/>
      <c r="R17" s="614"/>
      <c r="S17" s="614"/>
      <c r="T17" s="614"/>
      <c r="U17" s="614"/>
      <c r="V17" s="615"/>
      <c r="W17" s="613"/>
      <c r="X17" s="614"/>
      <c r="Y17" s="615"/>
    </row>
    <row r="18" spans="1:25" s="20" customFormat="1" ht="29.25" thickTop="1">
      <c r="A18" s="601"/>
      <c r="B18" s="602"/>
      <c r="C18" s="602"/>
      <c r="D18" s="603"/>
      <c r="E18" s="645"/>
      <c r="F18" s="645"/>
      <c r="G18" s="645"/>
      <c r="H18" s="645"/>
      <c r="I18" s="645"/>
      <c r="J18" s="619" t="s">
        <v>622</v>
      </c>
      <c r="K18" s="621"/>
      <c r="L18" s="621"/>
      <c r="M18" s="622"/>
      <c r="N18" s="613"/>
      <c r="O18" s="614"/>
      <c r="P18" s="614"/>
      <c r="Q18" s="614"/>
      <c r="R18" s="614"/>
      <c r="S18" s="614"/>
      <c r="T18" s="614"/>
      <c r="U18" s="614"/>
      <c r="V18" s="615"/>
      <c r="W18" s="613"/>
      <c r="X18" s="614"/>
      <c r="Y18" s="615"/>
    </row>
    <row r="19" spans="1:25" s="20" customFormat="1" ht="29.25" thickBot="1">
      <c r="A19" s="604"/>
      <c r="B19" s="605"/>
      <c r="C19" s="605"/>
      <c r="D19" s="606"/>
      <c r="E19" s="646"/>
      <c r="F19" s="646"/>
      <c r="G19" s="646"/>
      <c r="H19" s="646"/>
      <c r="I19" s="646"/>
      <c r="J19" s="620"/>
      <c r="K19" s="623"/>
      <c r="L19" s="623"/>
      <c r="M19" s="624"/>
      <c r="N19" s="616"/>
      <c r="O19" s="617"/>
      <c r="P19" s="617"/>
      <c r="Q19" s="617"/>
      <c r="R19" s="617"/>
      <c r="S19" s="617"/>
      <c r="T19" s="617"/>
      <c r="U19" s="617"/>
      <c r="V19" s="618"/>
      <c r="W19" s="616"/>
      <c r="X19" s="617"/>
      <c r="Y19" s="618"/>
    </row>
    <row r="20" spans="1:25" ht="18.75" thickTop="1"/>
  </sheetData>
  <mergeCells count="43">
    <mergeCell ref="F16:F19"/>
    <mergeCell ref="G16:G19"/>
    <mergeCell ref="H16:H19"/>
    <mergeCell ref="I16:I19"/>
    <mergeCell ref="J16:J17"/>
    <mergeCell ref="B10:G10"/>
    <mergeCell ref="W10:Y10"/>
    <mergeCell ref="A15:D19"/>
    <mergeCell ref="E15:I15"/>
    <mergeCell ref="J15:M15"/>
    <mergeCell ref="N15:V19"/>
    <mergeCell ref="W15:Y19"/>
    <mergeCell ref="B11:G11"/>
    <mergeCell ref="B12:G12"/>
    <mergeCell ref="B13:G13"/>
    <mergeCell ref="B14:G14"/>
    <mergeCell ref="W14:Y14"/>
    <mergeCell ref="K16:M17"/>
    <mergeCell ref="J18:J19"/>
    <mergeCell ref="K18:M19"/>
    <mergeCell ref="E16:E19"/>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B7AE-02E3-4B59-B548-303567818CB5}">
  <dimension ref="A1:AA20"/>
  <sheetViews>
    <sheetView rightToLeft="1" view="pageBreakPreview" zoomScale="80" zoomScaleNormal="90" zoomScaleSheetLayoutView="80" workbookViewId="0">
      <selection activeCell="A4" sqref="A4:F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5.5703125" style="21" customWidth="1"/>
    <col min="12" max="12" width="6.7109375" style="21" customWidth="1"/>
    <col min="13" max="13" width="7.14062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1591</v>
      </c>
      <c r="B3" s="456"/>
      <c r="C3" s="456"/>
      <c r="D3" s="456"/>
      <c r="E3" s="456"/>
      <c r="F3" s="456"/>
      <c r="G3" s="457" t="s">
        <v>3</v>
      </c>
      <c r="H3" s="457"/>
      <c r="I3" s="458" t="s">
        <v>1590</v>
      </c>
      <c r="J3" s="458"/>
      <c r="K3" s="458"/>
      <c r="L3" s="458"/>
      <c r="M3" s="458"/>
      <c r="N3" s="458"/>
      <c r="O3" s="458"/>
      <c r="P3" s="458"/>
      <c r="Q3" s="458"/>
      <c r="R3" s="458"/>
      <c r="S3" s="458"/>
      <c r="T3" s="458"/>
      <c r="U3" s="458"/>
      <c r="V3" s="458"/>
      <c r="W3" s="458"/>
      <c r="X3" s="458"/>
      <c r="Y3" s="458"/>
      <c r="Z3" s="459"/>
      <c r="AA3" s="451"/>
    </row>
    <row r="4" spans="1:27" s="3" customFormat="1" ht="28.5" customHeight="1">
      <c r="A4" s="460" t="s">
        <v>1583</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395</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45">
      <c r="A8" s="7" t="s">
        <v>28</v>
      </c>
      <c r="B8" s="647" t="s">
        <v>1589</v>
      </c>
      <c r="C8" s="647"/>
      <c r="D8" s="647"/>
      <c r="E8" s="647"/>
      <c r="F8" s="647"/>
      <c r="G8" s="647"/>
      <c r="H8" s="647"/>
      <c r="I8" s="132">
        <v>80</v>
      </c>
      <c r="J8" s="133" t="s">
        <v>1588</v>
      </c>
      <c r="K8" s="10"/>
      <c r="L8" s="30"/>
      <c r="M8" s="30"/>
      <c r="N8" s="286" t="s">
        <v>246</v>
      </c>
      <c r="O8" s="286" t="s">
        <v>246</v>
      </c>
      <c r="P8" s="30"/>
      <c r="Q8" s="30"/>
      <c r="R8" s="286"/>
      <c r="S8" s="286"/>
      <c r="T8" s="286"/>
      <c r="U8" s="30"/>
      <c r="V8" s="30"/>
      <c r="W8" s="30"/>
      <c r="X8" s="475"/>
      <c r="Y8" s="475"/>
      <c r="Z8" s="476"/>
      <c r="AA8" s="451"/>
    </row>
    <row r="9" spans="1:27" s="14" customFormat="1" ht="28.5">
      <c r="A9" s="7" t="s">
        <v>66</v>
      </c>
      <c r="B9" s="648" t="s">
        <v>1587</v>
      </c>
      <c r="C9" s="649"/>
      <c r="D9" s="649"/>
      <c r="E9" s="649"/>
      <c r="F9" s="649"/>
      <c r="G9" s="649"/>
      <c r="H9" s="650"/>
      <c r="I9" s="132">
        <v>20</v>
      </c>
      <c r="J9" s="133" t="s">
        <v>1586</v>
      </c>
      <c r="K9" s="10"/>
      <c r="L9" s="30"/>
      <c r="M9" s="30"/>
      <c r="N9" s="30"/>
      <c r="O9" s="30"/>
      <c r="P9" s="286" t="s">
        <v>246</v>
      </c>
      <c r="Q9" s="286" t="s">
        <v>246</v>
      </c>
      <c r="R9" s="286" t="s">
        <v>246</v>
      </c>
      <c r="S9" s="286" t="s">
        <v>246</v>
      </c>
      <c r="T9" s="286" t="s">
        <v>246</v>
      </c>
      <c r="U9" s="286" t="s">
        <v>246</v>
      </c>
      <c r="V9" s="286" t="s">
        <v>246</v>
      </c>
      <c r="W9" s="286" t="s">
        <v>246</v>
      </c>
      <c r="X9" s="475"/>
      <c r="Y9" s="475"/>
      <c r="Z9" s="476"/>
      <c r="AA9" s="451"/>
    </row>
    <row r="10" spans="1:27" s="14" customFormat="1" ht="31.5">
      <c r="A10" s="7" t="s">
        <v>68</v>
      </c>
      <c r="B10" s="647"/>
      <c r="C10" s="647"/>
      <c r="D10" s="647"/>
      <c r="E10" s="647"/>
      <c r="F10" s="647"/>
      <c r="G10" s="647"/>
      <c r="H10" s="647"/>
      <c r="I10" s="132"/>
      <c r="J10" s="133"/>
      <c r="K10" s="10"/>
      <c r="L10" s="30"/>
      <c r="M10" s="30"/>
      <c r="N10" s="30"/>
      <c r="O10" s="30"/>
      <c r="P10" s="30"/>
      <c r="Q10" s="30"/>
      <c r="R10" s="284"/>
      <c r="S10" s="284"/>
      <c r="T10" s="284"/>
      <c r="U10" s="30"/>
      <c r="V10" s="286"/>
      <c r="W10" s="30"/>
      <c r="X10" s="468"/>
      <c r="Y10" s="468"/>
      <c r="Z10" s="469"/>
      <c r="AA10" s="451"/>
    </row>
    <row r="11" spans="1:27" s="14" customFormat="1" ht="31.5">
      <c r="A11" s="7" t="s">
        <v>70</v>
      </c>
      <c r="B11" s="647"/>
      <c r="C11" s="647"/>
      <c r="D11" s="647"/>
      <c r="E11" s="647"/>
      <c r="F11" s="647"/>
      <c r="G11" s="647"/>
      <c r="H11" s="647"/>
      <c r="I11" s="132"/>
      <c r="J11" s="133"/>
      <c r="K11" s="10"/>
      <c r="L11" s="30"/>
      <c r="M11" s="30"/>
      <c r="N11" s="30"/>
      <c r="O11" s="30"/>
      <c r="P11" s="30"/>
      <c r="Q11" s="30"/>
      <c r="R11" s="30"/>
      <c r="S11" s="30"/>
      <c r="T11" s="30"/>
      <c r="U11" s="284"/>
      <c r="V11" s="284"/>
      <c r="W11" s="284"/>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1534</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t="s">
        <v>1576</v>
      </c>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Y1"/>
    <mergeCell ref="F16:J19"/>
    <mergeCell ref="A15:E15"/>
    <mergeCell ref="A16:E19"/>
    <mergeCell ref="A4:F5"/>
    <mergeCell ref="B13:H13"/>
    <mergeCell ref="X13:Z13"/>
    <mergeCell ref="L16:N17"/>
    <mergeCell ref="K18:K19"/>
    <mergeCell ref="K16:K17"/>
    <mergeCell ref="B10:H10"/>
    <mergeCell ref="X10:Z10"/>
    <mergeCell ref="B11:H11"/>
    <mergeCell ref="L18:N19"/>
    <mergeCell ref="B14:H14"/>
    <mergeCell ref="X14:Z14"/>
    <mergeCell ref="O16:W19"/>
    <mergeCell ref="X15:Z15"/>
    <mergeCell ref="B9:H9"/>
    <mergeCell ref="X9:Z9"/>
    <mergeCell ref="X16:Z19"/>
    <mergeCell ref="F15:J15"/>
    <mergeCell ref="K15:N15"/>
    <mergeCell ref="L6:W6"/>
    <mergeCell ref="X11:Z11"/>
    <mergeCell ref="B12:H12"/>
    <mergeCell ref="X12:Z12"/>
    <mergeCell ref="O15:W15"/>
    <mergeCell ref="AA1:AA15"/>
    <mergeCell ref="A2:Z2"/>
    <mergeCell ref="A3:F3"/>
    <mergeCell ref="G3:H3"/>
    <mergeCell ref="I3:Z4"/>
    <mergeCell ref="G4:H4"/>
    <mergeCell ref="G5:H5"/>
    <mergeCell ref="I5:Z5"/>
    <mergeCell ref="A6:A7"/>
    <mergeCell ref="B6:H7"/>
    <mergeCell ref="I6:I7"/>
    <mergeCell ref="J6:J7"/>
    <mergeCell ref="K6:K7"/>
    <mergeCell ref="X6:Z7"/>
    <mergeCell ref="B8:H8"/>
    <mergeCell ref="X8:Z8"/>
  </mergeCells>
  <printOptions horizontalCentered="1" verticalCentered="1"/>
  <pageMargins left="0" right="0" top="0" bottom="0" header="0" footer="0"/>
  <pageSetup scale="4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BE9C-14E4-4A90-9115-E08FE8500462}">
  <dimension ref="A1:AA20"/>
  <sheetViews>
    <sheetView rightToLeft="1" view="pageBreakPreview" zoomScale="70" zoomScaleNormal="90" zoomScaleSheetLayoutView="70" workbookViewId="0">
      <selection activeCell="B10" sqref="B10:H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5.5703125" style="21" customWidth="1"/>
    <col min="12" max="12" width="6.7109375" style="21" customWidth="1"/>
    <col min="13" max="13" width="7.140625" style="21" customWidth="1"/>
    <col min="14" max="14" width="11.425781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1585</v>
      </c>
      <c r="B3" s="456"/>
      <c r="C3" s="456"/>
      <c r="D3" s="456"/>
      <c r="E3" s="456"/>
      <c r="F3" s="456"/>
      <c r="G3" s="457" t="s">
        <v>3</v>
      </c>
      <c r="H3" s="457"/>
      <c r="I3" s="458" t="s">
        <v>1584</v>
      </c>
      <c r="J3" s="458"/>
      <c r="K3" s="458"/>
      <c r="L3" s="458"/>
      <c r="M3" s="458"/>
      <c r="N3" s="458"/>
      <c r="O3" s="458"/>
      <c r="P3" s="458"/>
      <c r="Q3" s="458"/>
      <c r="R3" s="458"/>
      <c r="S3" s="458"/>
      <c r="T3" s="458"/>
      <c r="U3" s="458"/>
      <c r="V3" s="458"/>
      <c r="W3" s="458"/>
      <c r="X3" s="458"/>
      <c r="Y3" s="458"/>
      <c r="Z3" s="459"/>
      <c r="AA3" s="451"/>
    </row>
    <row r="4" spans="1:27" s="3" customFormat="1" ht="28.5" customHeight="1">
      <c r="A4" s="460" t="s">
        <v>1583</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1582</v>
      </c>
      <c r="H5" s="456"/>
      <c r="I5" s="456" t="s">
        <v>812</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31.5">
      <c r="A8" s="7" t="s">
        <v>28</v>
      </c>
      <c r="B8" s="647" t="s">
        <v>1581</v>
      </c>
      <c r="C8" s="647"/>
      <c r="D8" s="647"/>
      <c r="E8" s="647"/>
      <c r="F8" s="647"/>
      <c r="G8" s="647"/>
      <c r="H8" s="647"/>
      <c r="I8" s="132">
        <v>70</v>
      </c>
      <c r="J8" s="133" t="s">
        <v>1577</v>
      </c>
      <c r="K8" s="10"/>
      <c r="L8" s="30"/>
      <c r="M8" s="30"/>
      <c r="N8" s="284"/>
      <c r="O8" s="284"/>
      <c r="P8" s="30"/>
      <c r="Q8" s="30"/>
      <c r="R8" s="286" t="s">
        <v>246</v>
      </c>
      <c r="S8" s="286" t="s">
        <v>246</v>
      </c>
      <c r="T8" s="286" t="s">
        <v>246</v>
      </c>
      <c r="U8" s="30"/>
      <c r="V8" s="30"/>
      <c r="W8" s="30"/>
      <c r="X8" s="475"/>
      <c r="Y8" s="475"/>
      <c r="Z8" s="476"/>
      <c r="AA8" s="451"/>
    </row>
    <row r="9" spans="1:27" s="14" customFormat="1" ht="31.5">
      <c r="A9" s="7" t="s">
        <v>66</v>
      </c>
      <c r="B9" s="647" t="s">
        <v>1580</v>
      </c>
      <c r="C9" s="647"/>
      <c r="D9" s="647"/>
      <c r="E9" s="647"/>
      <c r="F9" s="647"/>
      <c r="G9" s="647"/>
      <c r="H9" s="647"/>
      <c r="I9" s="132">
        <v>10</v>
      </c>
      <c r="J9" s="133" t="s">
        <v>1579</v>
      </c>
      <c r="K9" s="10"/>
      <c r="L9" s="30"/>
      <c r="M9" s="30"/>
      <c r="N9" s="30"/>
      <c r="O9" s="30"/>
      <c r="P9" s="284"/>
      <c r="Q9" s="284"/>
      <c r="R9" s="30"/>
      <c r="S9" s="30"/>
      <c r="T9" s="30"/>
      <c r="U9" s="286" t="s">
        <v>246</v>
      </c>
      <c r="V9" s="30"/>
      <c r="W9" s="30"/>
      <c r="X9" s="475"/>
      <c r="Y9" s="475"/>
      <c r="Z9" s="476"/>
      <c r="AA9" s="451"/>
    </row>
    <row r="10" spans="1:27" s="14" customFormat="1" ht="31.5">
      <c r="A10" s="7" t="s">
        <v>68</v>
      </c>
      <c r="B10" s="653" t="s">
        <v>1578</v>
      </c>
      <c r="C10" s="653"/>
      <c r="D10" s="653"/>
      <c r="E10" s="653"/>
      <c r="F10" s="653"/>
      <c r="G10" s="653"/>
      <c r="H10" s="653"/>
      <c r="I10" s="132">
        <v>20</v>
      </c>
      <c r="J10" s="133" t="s">
        <v>1577</v>
      </c>
      <c r="K10" s="10"/>
      <c r="L10" s="30"/>
      <c r="M10" s="30"/>
      <c r="N10" s="30"/>
      <c r="O10" s="30"/>
      <c r="P10" s="30"/>
      <c r="Q10" s="30"/>
      <c r="R10" s="284"/>
      <c r="S10" s="284"/>
      <c r="T10" s="284"/>
      <c r="U10" s="30"/>
      <c r="V10" s="286" t="s">
        <v>246</v>
      </c>
      <c r="W10" s="30"/>
      <c r="X10" s="468"/>
      <c r="Y10" s="468"/>
      <c r="Z10" s="469"/>
      <c r="AA10" s="451"/>
    </row>
    <row r="11" spans="1:27" s="14" customFormat="1" ht="31.5">
      <c r="A11" s="7" t="s">
        <v>70</v>
      </c>
      <c r="B11" s="647"/>
      <c r="C11" s="647"/>
      <c r="D11" s="647"/>
      <c r="E11" s="647"/>
      <c r="F11" s="647"/>
      <c r="G11" s="647"/>
      <c r="H11" s="647"/>
      <c r="I11" s="132"/>
      <c r="J11" s="133"/>
      <c r="K11" s="10"/>
      <c r="L11" s="30"/>
      <c r="M11" s="30"/>
      <c r="N11" s="30"/>
      <c r="O11" s="30"/>
      <c r="P11" s="30"/>
      <c r="Q11" s="30"/>
      <c r="R11" s="30"/>
      <c r="S11" s="30"/>
      <c r="T11" s="30"/>
      <c r="U11" s="284"/>
      <c r="V11" s="284"/>
      <c r="W11" s="284"/>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1534</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t="s">
        <v>1576</v>
      </c>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B6:H7"/>
    <mergeCell ref="I6:I7"/>
    <mergeCell ref="J6:J7"/>
    <mergeCell ref="K6:K7"/>
    <mergeCell ref="X6:Z7"/>
    <mergeCell ref="B8:H8"/>
    <mergeCell ref="X8:Z8"/>
    <mergeCell ref="X16:Z19"/>
    <mergeCell ref="AA1:AA15"/>
    <mergeCell ref="A2:Z2"/>
    <mergeCell ref="A3:F3"/>
    <mergeCell ref="G3:H3"/>
    <mergeCell ref="I3:Z4"/>
    <mergeCell ref="G4:H4"/>
    <mergeCell ref="G5:H5"/>
    <mergeCell ref="I5:Z5"/>
    <mergeCell ref="A6:A7"/>
    <mergeCell ref="L6:W6"/>
    <mergeCell ref="K16:K17"/>
    <mergeCell ref="B10:H10"/>
    <mergeCell ref="X10:Z10"/>
    <mergeCell ref="F15:J15"/>
    <mergeCell ref="K15:N15"/>
    <mergeCell ref="B11:H11"/>
    <mergeCell ref="X11:Z11"/>
    <mergeCell ref="B12:H12"/>
    <mergeCell ref="X12:Z12"/>
    <mergeCell ref="O15:W15"/>
    <mergeCell ref="B9:H9"/>
    <mergeCell ref="X9:Z9"/>
    <mergeCell ref="X15:Z15"/>
    <mergeCell ref="A1:Y1"/>
    <mergeCell ref="F16:J19"/>
    <mergeCell ref="A15:E15"/>
    <mergeCell ref="A16:E19"/>
    <mergeCell ref="A4:F5"/>
    <mergeCell ref="B13:H13"/>
    <mergeCell ref="X13:Z13"/>
    <mergeCell ref="L16:N17"/>
    <mergeCell ref="K18:K19"/>
    <mergeCell ref="L18:N19"/>
    <mergeCell ref="O16:W19"/>
    <mergeCell ref="B14:H14"/>
    <mergeCell ref="X14:Z14"/>
  </mergeCells>
  <printOptions horizontalCentered="1" verticalCentered="1"/>
  <pageMargins left="0" right="0" top="0" bottom="0" header="0" footer="0"/>
  <pageSetup scale="4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AB0E-2855-4A38-90EF-33877675B7E0}">
  <dimension ref="A1:AA20"/>
  <sheetViews>
    <sheetView rightToLeft="1" view="pageBreakPreview" topLeftCell="A3" zoomScale="80" zoomScaleNormal="90" zoomScaleSheetLayoutView="80" workbookViewId="0">
      <selection activeCell="B11" sqref="B11:H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2.2851562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38" style="21" customWidth="1"/>
    <col min="27" max="27" width="3.140625" style="2" customWidth="1"/>
    <col min="28" max="28" width="4.140625" style="2" customWidth="1"/>
    <col min="29" max="16384" width="9.140625" style="2"/>
  </cols>
  <sheetData>
    <row r="1" spans="1:27" ht="73.5" thickTop="1">
      <c r="A1" s="654" t="s">
        <v>0</v>
      </c>
      <c r="B1" s="655"/>
      <c r="C1" s="655"/>
      <c r="D1" s="655"/>
      <c r="E1" s="655"/>
      <c r="F1" s="655"/>
      <c r="G1" s="655"/>
      <c r="H1" s="655"/>
      <c r="I1" s="655"/>
      <c r="J1" s="655"/>
      <c r="K1" s="655"/>
      <c r="L1" s="655"/>
      <c r="M1" s="655"/>
      <c r="N1" s="655"/>
      <c r="O1" s="655"/>
      <c r="P1" s="655"/>
      <c r="Q1" s="655"/>
      <c r="R1" s="655"/>
      <c r="S1" s="655"/>
      <c r="T1" s="655"/>
      <c r="U1" s="655"/>
      <c r="V1" s="655"/>
      <c r="W1" s="655"/>
      <c r="X1" s="655"/>
      <c r="Y1" s="655"/>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1575</v>
      </c>
      <c r="B3" s="456"/>
      <c r="C3" s="456"/>
      <c r="D3" s="456"/>
      <c r="E3" s="456"/>
      <c r="F3" s="456"/>
      <c r="G3" s="457" t="s">
        <v>790</v>
      </c>
      <c r="H3" s="457"/>
      <c r="I3" s="458" t="s">
        <v>1574</v>
      </c>
      <c r="J3" s="458"/>
      <c r="K3" s="458"/>
      <c r="L3" s="458"/>
      <c r="M3" s="458"/>
      <c r="N3" s="458"/>
      <c r="O3" s="458"/>
      <c r="P3" s="458"/>
      <c r="Q3" s="458"/>
      <c r="R3" s="458"/>
      <c r="S3" s="458"/>
      <c r="T3" s="458"/>
      <c r="U3" s="458"/>
      <c r="V3" s="458"/>
      <c r="W3" s="458"/>
      <c r="X3" s="458"/>
      <c r="Y3" s="458"/>
      <c r="Z3" s="459"/>
      <c r="AA3" s="451"/>
    </row>
    <row r="4" spans="1:27" s="3" customFormat="1" ht="28.5" customHeight="1">
      <c r="A4" s="460" t="s">
        <v>1566</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1573</v>
      </c>
      <c r="H5" s="456"/>
      <c r="I5" s="456" t="s">
        <v>1572</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72.75" customHeight="1">
      <c r="A8" s="7" t="s">
        <v>28</v>
      </c>
      <c r="B8" s="653" t="s">
        <v>1570</v>
      </c>
      <c r="C8" s="653"/>
      <c r="D8" s="653"/>
      <c r="E8" s="653"/>
      <c r="F8" s="653"/>
      <c r="G8" s="653"/>
      <c r="H8" s="653"/>
      <c r="I8" s="132">
        <v>30</v>
      </c>
      <c r="J8" s="133" t="s">
        <v>1571</v>
      </c>
      <c r="K8" s="10"/>
      <c r="L8" s="30"/>
      <c r="M8" s="30"/>
      <c r="N8" s="235"/>
      <c r="O8" s="235"/>
      <c r="P8" s="30"/>
      <c r="Q8" s="30"/>
      <c r="R8" s="30"/>
      <c r="S8" s="30"/>
      <c r="T8" s="30"/>
      <c r="U8" s="30"/>
      <c r="V8" s="30"/>
      <c r="W8" s="30"/>
      <c r="X8" s="475"/>
      <c r="Y8" s="475"/>
      <c r="Z8" s="476"/>
      <c r="AA8" s="451"/>
    </row>
    <row r="9" spans="1:27" s="14" customFormat="1" ht="45">
      <c r="A9" s="7" t="s">
        <v>66</v>
      </c>
      <c r="B9" s="653" t="s">
        <v>2613</v>
      </c>
      <c r="C9" s="653"/>
      <c r="D9" s="653"/>
      <c r="E9" s="653"/>
      <c r="F9" s="653"/>
      <c r="G9" s="653"/>
      <c r="H9" s="653"/>
      <c r="I9" s="132">
        <v>20</v>
      </c>
      <c r="J9" s="133" t="s">
        <v>2614</v>
      </c>
      <c r="K9" s="10"/>
      <c r="L9" s="30"/>
      <c r="M9" s="30"/>
      <c r="N9" s="30"/>
      <c r="O9" s="30"/>
      <c r="Q9" s="235"/>
      <c r="R9" s="30"/>
      <c r="S9" s="30"/>
      <c r="T9" s="30"/>
      <c r="U9" s="30"/>
      <c r="V9" s="30"/>
      <c r="W9" s="30"/>
      <c r="X9" s="475"/>
      <c r="Y9" s="475"/>
      <c r="Z9" s="476"/>
      <c r="AA9" s="451"/>
    </row>
    <row r="10" spans="1:27" s="14" customFormat="1" ht="45">
      <c r="A10" s="7" t="s">
        <v>68</v>
      </c>
      <c r="B10" s="653" t="s">
        <v>2615</v>
      </c>
      <c r="C10" s="653"/>
      <c r="D10" s="653"/>
      <c r="E10" s="653"/>
      <c r="F10" s="653"/>
      <c r="G10" s="653"/>
      <c r="H10" s="653"/>
      <c r="I10" s="132">
        <v>20</v>
      </c>
      <c r="J10" s="133" t="s">
        <v>2614</v>
      </c>
      <c r="K10" s="10"/>
      <c r="L10" s="30"/>
      <c r="M10" s="30"/>
      <c r="N10" s="30"/>
      <c r="O10" s="30"/>
      <c r="P10" s="30"/>
      <c r="R10" s="30"/>
      <c r="S10" s="235"/>
      <c r="T10" s="235"/>
      <c r="U10" s="30"/>
      <c r="V10" s="30"/>
      <c r="W10" s="30"/>
      <c r="X10" s="468"/>
      <c r="Y10" s="468"/>
      <c r="Z10" s="469"/>
      <c r="AA10" s="451"/>
    </row>
    <row r="11" spans="1:27" s="14" customFormat="1" ht="67.5">
      <c r="A11" s="7" t="s">
        <v>70</v>
      </c>
      <c r="B11" s="653" t="s">
        <v>2616</v>
      </c>
      <c r="C11" s="653"/>
      <c r="D11" s="653"/>
      <c r="E11" s="653"/>
      <c r="F11" s="653"/>
      <c r="G11" s="653"/>
      <c r="H11" s="653"/>
      <c r="I11" s="132">
        <v>30</v>
      </c>
      <c r="J11" s="133" t="s">
        <v>1569</v>
      </c>
      <c r="K11" s="10"/>
      <c r="L11" s="30"/>
      <c r="M11" s="30"/>
      <c r="N11" s="162"/>
      <c r="O11" s="162"/>
      <c r="P11" s="30"/>
      <c r="Q11" s="30"/>
      <c r="R11" s="30"/>
      <c r="S11" s="30"/>
      <c r="T11" s="30"/>
      <c r="U11" s="235"/>
      <c r="V11" s="235"/>
      <c r="W11" s="30"/>
      <c r="X11" s="468"/>
      <c r="Y11" s="468"/>
      <c r="Z11" s="469"/>
      <c r="AA11" s="451"/>
    </row>
    <row r="12" spans="1:27" s="14" customFormat="1" ht="24">
      <c r="A12" s="7" t="s">
        <v>153</v>
      </c>
      <c r="B12" s="653"/>
      <c r="C12" s="653"/>
      <c r="D12" s="653"/>
      <c r="E12" s="653"/>
      <c r="F12" s="653"/>
      <c r="G12" s="653"/>
      <c r="H12" s="653"/>
      <c r="I12" s="132"/>
      <c r="J12" s="133"/>
      <c r="K12" s="10"/>
      <c r="L12" s="30"/>
      <c r="M12" s="30"/>
      <c r="N12" s="162"/>
      <c r="O12" s="162"/>
      <c r="P12" s="162"/>
      <c r="Q12" s="162"/>
      <c r="R12" s="162"/>
      <c r="S12" s="162"/>
      <c r="T12" s="162"/>
      <c r="U12" s="162"/>
      <c r="V12" s="162"/>
      <c r="W12" s="162"/>
      <c r="X12" s="475"/>
      <c r="Y12" s="475"/>
      <c r="Z12" s="476"/>
      <c r="AA12" s="451"/>
    </row>
    <row r="13" spans="1:27" s="14" customFormat="1" ht="75" customHeight="1">
      <c r="A13" s="7" t="s">
        <v>155</v>
      </c>
      <c r="B13" s="653"/>
      <c r="C13" s="653"/>
      <c r="D13" s="653"/>
      <c r="E13" s="653"/>
      <c r="F13" s="653"/>
      <c r="G13" s="653"/>
      <c r="H13" s="653"/>
      <c r="I13" s="132"/>
      <c r="J13" s="133"/>
      <c r="K13" s="10"/>
      <c r="L13" s="30"/>
      <c r="M13" s="30"/>
      <c r="N13" s="162"/>
      <c r="O13" s="162"/>
      <c r="P13" s="162"/>
      <c r="Q13" s="162"/>
      <c r="R13" s="162"/>
      <c r="S13" s="162"/>
      <c r="T13" s="162"/>
      <c r="U13" s="162"/>
      <c r="V13" s="162"/>
      <c r="W13" s="162"/>
      <c r="X13" s="468"/>
      <c r="Y13" s="468"/>
      <c r="Z13" s="469"/>
      <c r="AA13" s="451"/>
    </row>
    <row r="14" spans="1:27" s="14" customFormat="1" ht="39.75" customHeight="1">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B6:H7"/>
    <mergeCell ref="I6:I7"/>
    <mergeCell ref="J6:J7"/>
    <mergeCell ref="K6:K7"/>
    <mergeCell ref="X6:Z7"/>
    <mergeCell ref="B8:H8"/>
    <mergeCell ref="X8:Z8"/>
    <mergeCell ref="X16:Z19"/>
    <mergeCell ref="AA1:AA15"/>
    <mergeCell ref="A2:Z2"/>
    <mergeCell ref="A3:F3"/>
    <mergeCell ref="G3:H3"/>
    <mergeCell ref="I3:Z4"/>
    <mergeCell ref="G4:H4"/>
    <mergeCell ref="G5:H5"/>
    <mergeCell ref="I5:Z5"/>
    <mergeCell ref="A6:A7"/>
    <mergeCell ref="L6:W6"/>
    <mergeCell ref="K16:K17"/>
    <mergeCell ref="B10:H10"/>
    <mergeCell ref="X10:Z10"/>
    <mergeCell ref="F15:J15"/>
    <mergeCell ref="K15:N15"/>
    <mergeCell ref="B11:H11"/>
    <mergeCell ref="X11:Z11"/>
    <mergeCell ref="B12:H12"/>
    <mergeCell ref="X12:Z12"/>
    <mergeCell ref="O15:W15"/>
    <mergeCell ref="B9:H9"/>
    <mergeCell ref="X9:Z9"/>
    <mergeCell ref="X15:Z15"/>
    <mergeCell ref="A1:Y1"/>
    <mergeCell ref="F16:J19"/>
    <mergeCell ref="A15:E15"/>
    <mergeCell ref="A16:E19"/>
    <mergeCell ref="A4:F5"/>
    <mergeCell ref="B13:H13"/>
    <mergeCell ref="X13:Z13"/>
    <mergeCell ref="L16:N17"/>
    <mergeCell ref="K18:K19"/>
    <mergeCell ref="L18:N19"/>
    <mergeCell ref="O16:W19"/>
    <mergeCell ref="B14:H14"/>
    <mergeCell ref="X14:Z14"/>
  </mergeCells>
  <printOptions horizontalCentered="1" verticalCentered="1"/>
  <pageMargins left="0" right="0" top="0" bottom="0" header="0" footer="0"/>
  <pageSetup scale="4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AFC4-C5C3-41A1-8AAF-3931A8C4BCAC}">
  <dimension ref="A1:AA20"/>
  <sheetViews>
    <sheetView rightToLeft="1" view="pageBreakPreview" zoomScale="70" zoomScaleNormal="90" zoomScaleSheetLayoutView="70" workbookViewId="0">
      <selection activeCell="K9" sqref="K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2.2851562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38"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1568</v>
      </c>
      <c r="B3" s="456"/>
      <c r="C3" s="456"/>
      <c r="D3" s="456"/>
      <c r="E3" s="456"/>
      <c r="F3" s="456"/>
      <c r="G3" s="457" t="s">
        <v>1093</v>
      </c>
      <c r="H3" s="457"/>
      <c r="I3" s="458" t="s">
        <v>1567</v>
      </c>
      <c r="J3" s="458"/>
      <c r="K3" s="458"/>
      <c r="L3" s="458"/>
      <c r="M3" s="458"/>
      <c r="N3" s="458"/>
      <c r="O3" s="458"/>
      <c r="P3" s="458"/>
      <c r="Q3" s="458"/>
      <c r="R3" s="458"/>
      <c r="S3" s="458"/>
      <c r="T3" s="458"/>
      <c r="U3" s="458"/>
      <c r="V3" s="458"/>
      <c r="W3" s="458"/>
      <c r="X3" s="458"/>
      <c r="Y3" s="458"/>
      <c r="Z3" s="459"/>
      <c r="AA3" s="451"/>
    </row>
    <row r="4" spans="1:27" s="3" customFormat="1" ht="28.5" customHeight="1">
      <c r="A4" s="460" t="s">
        <v>1566</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243</v>
      </c>
      <c r="H5" s="456"/>
      <c r="I5" s="456" t="s">
        <v>1565</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45">
      <c r="A8" s="7" t="s">
        <v>28</v>
      </c>
      <c r="B8" s="647" t="s">
        <v>1564</v>
      </c>
      <c r="C8" s="647"/>
      <c r="D8" s="647"/>
      <c r="E8" s="647"/>
      <c r="F8" s="647"/>
      <c r="G8" s="647"/>
      <c r="H8" s="647"/>
      <c r="I8" s="132">
        <v>20</v>
      </c>
      <c r="J8" s="133" t="s">
        <v>1556</v>
      </c>
      <c r="K8" s="10"/>
      <c r="L8" s="30"/>
      <c r="M8" s="235"/>
      <c r="N8" s="30"/>
      <c r="O8" s="30"/>
      <c r="P8" s="30"/>
      <c r="Q8" s="30"/>
      <c r="R8" s="30"/>
      <c r="S8" s="30"/>
      <c r="T8" s="30"/>
      <c r="U8" s="30"/>
      <c r="V8" s="30"/>
      <c r="W8" s="30"/>
      <c r="X8" s="475"/>
      <c r="Y8" s="475"/>
      <c r="Z8" s="476"/>
      <c r="AA8" s="451"/>
    </row>
    <row r="9" spans="1:27" s="14" customFormat="1" ht="33.75" customHeight="1">
      <c r="A9" s="7" t="s">
        <v>66</v>
      </c>
      <c r="B9" s="647" t="s">
        <v>1563</v>
      </c>
      <c r="C9" s="647"/>
      <c r="D9" s="647"/>
      <c r="E9" s="647"/>
      <c r="F9" s="647"/>
      <c r="G9" s="647"/>
      <c r="H9" s="647"/>
      <c r="I9" s="132">
        <v>10</v>
      </c>
      <c r="J9" s="133" t="s">
        <v>1561</v>
      </c>
      <c r="K9" s="10"/>
      <c r="L9" s="30"/>
      <c r="M9" s="235"/>
      <c r="N9" s="30"/>
      <c r="O9" s="30"/>
      <c r="P9" s="30"/>
      <c r="Q9" s="30"/>
      <c r="R9" s="30"/>
      <c r="S9" s="30"/>
      <c r="T9" s="30"/>
      <c r="U9" s="30"/>
      <c r="V9" s="30"/>
      <c r="W9" s="30"/>
      <c r="X9" s="475"/>
      <c r="Y9" s="475"/>
      <c r="Z9" s="476"/>
      <c r="AA9" s="451"/>
    </row>
    <row r="10" spans="1:27" s="14" customFormat="1" ht="30.75" customHeight="1">
      <c r="A10" s="7" t="s">
        <v>68</v>
      </c>
      <c r="B10" s="647" t="s">
        <v>1562</v>
      </c>
      <c r="C10" s="647"/>
      <c r="D10" s="647"/>
      <c r="E10" s="647"/>
      <c r="F10" s="647"/>
      <c r="G10" s="647"/>
      <c r="H10" s="647"/>
      <c r="I10" s="132">
        <v>10</v>
      </c>
      <c r="J10" s="133" t="s">
        <v>1561</v>
      </c>
      <c r="K10" s="10"/>
      <c r="L10" s="30"/>
      <c r="M10" s="30"/>
      <c r="N10" s="30"/>
      <c r="O10" s="235"/>
      <c r="P10" s="30"/>
      <c r="Q10" s="30"/>
      <c r="R10" s="30"/>
      <c r="S10" s="30"/>
      <c r="T10" s="30"/>
      <c r="U10" s="30"/>
      <c r="V10" s="30"/>
      <c r="W10" s="30"/>
      <c r="X10" s="468"/>
      <c r="Y10" s="468"/>
      <c r="Z10" s="469"/>
      <c r="AA10" s="451"/>
    </row>
    <row r="11" spans="1:27" s="14" customFormat="1" ht="44.25" customHeight="1">
      <c r="A11" s="7" t="s">
        <v>70</v>
      </c>
      <c r="B11" s="647" t="s">
        <v>1560</v>
      </c>
      <c r="C11" s="647"/>
      <c r="D11" s="647"/>
      <c r="E11" s="647"/>
      <c r="F11" s="647"/>
      <c r="G11" s="647"/>
      <c r="H11" s="647"/>
      <c r="I11" s="132">
        <v>20</v>
      </c>
      <c r="J11" s="133" t="s">
        <v>1556</v>
      </c>
      <c r="K11" s="10"/>
      <c r="L11" s="30"/>
      <c r="M11" s="30"/>
      <c r="N11" s="30"/>
      <c r="O11" s="235"/>
      <c r="P11" s="30"/>
      <c r="Q11" s="30"/>
      <c r="R11" s="30"/>
      <c r="S11" s="30"/>
      <c r="T11" s="30"/>
      <c r="U11" s="30"/>
      <c r="V11" s="30"/>
      <c r="W11" s="30"/>
      <c r="X11" s="468"/>
      <c r="Y11" s="468"/>
      <c r="Z11" s="469"/>
      <c r="AA11" s="451"/>
    </row>
    <row r="12" spans="1:27" s="14" customFormat="1" ht="49.5" customHeight="1">
      <c r="A12" s="7" t="s">
        <v>153</v>
      </c>
      <c r="B12" s="647" t="s">
        <v>1559</v>
      </c>
      <c r="C12" s="647"/>
      <c r="D12" s="647"/>
      <c r="E12" s="647"/>
      <c r="F12" s="647"/>
      <c r="G12" s="647"/>
      <c r="H12" s="647"/>
      <c r="I12" s="132">
        <v>20</v>
      </c>
      <c r="J12" s="133" t="s">
        <v>1556</v>
      </c>
      <c r="K12" s="10"/>
      <c r="L12" s="30"/>
      <c r="M12" s="30"/>
      <c r="N12" s="30"/>
      <c r="O12" s="235"/>
      <c r="P12" s="30"/>
      <c r="Q12" s="30"/>
      <c r="R12" s="30"/>
      <c r="S12" s="30"/>
      <c r="T12" s="30"/>
      <c r="U12" s="30"/>
      <c r="V12" s="30"/>
      <c r="W12" s="30"/>
      <c r="X12" s="475"/>
      <c r="Y12" s="475"/>
      <c r="Z12" s="476"/>
      <c r="AA12" s="451"/>
    </row>
    <row r="13" spans="1:27" s="14" customFormat="1" ht="41.25" customHeight="1">
      <c r="A13" s="7" t="s">
        <v>155</v>
      </c>
      <c r="B13" s="647" t="s">
        <v>1558</v>
      </c>
      <c r="C13" s="647"/>
      <c r="D13" s="647"/>
      <c r="E13" s="647"/>
      <c r="F13" s="647"/>
      <c r="G13" s="647"/>
      <c r="H13" s="647"/>
      <c r="I13" s="132">
        <v>10</v>
      </c>
      <c r="J13" s="133" t="s">
        <v>1556</v>
      </c>
      <c r="K13" s="10"/>
      <c r="L13" s="30"/>
      <c r="M13" s="30"/>
      <c r="N13" s="30"/>
      <c r="O13" s="235"/>
      <c r="P13" s="30"/>
      <c r="Q13" s="30"/>
      <c r="R13" s="30"/>
      <c r="S13" s="30"/>
      <c r="T13" s="30"/>
      <c r="U13" s="30"/>
      <c r="V13" s="30"/>
      <c r="W13" s="30"/>
      <c r="X13" s="468"/>
      <c r="Y13" s="468"/>
      <c r="Z13" s="469"/>
      <c r="AA13" s="451"/>
    </row>
    <row r="14" spans="1:27" s="14" customFormat="1" ht="39.75" customHeight="1">
      <c r="A14" s="7" t="s">
        <v>156</v>
      </c>
      <c r="B14" s="647" t="s">
        <v>1557</v>
      </c>
      <c r="C14" s="647"/>
      <c r="D14" s="647"/>
      <c r="E14" s="647"/>
      <c r="F14" s="647"/>
      <c r="G14" s="647"/>
      <c r="H14" s="647"/>
      <c r="I14" s="132">
        <v>10</v>
      </c>
      <c r="J14" s="133" t="s">
        <v>1556</v>
      </c>
      <c r="K14" s="10"/>
      <c r="L14" s="134"/>
      <c r="M14" s="134"/>
      <c r="N14" s="134"/>
      <c r="O14" s="134"/>
      <c r="P14" s="285"/>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Y1"/>
    <mergeCell ref="F16:J19"/>
    <mergeCell ref="A15:E15"/>
    <mergeCell ref="A16:E19"/>
    <mergeCell ref="A4:F5"/>
    <mergeCell ref="B13:H13"/>
    <mergeCell ref="X13:Z13"/>
    <mergeCell ref="L16:N17"/>
    <mergeCell ref="K18:K19"/>
    <mergeCell ref="K16:K17"/>
    <mergeCell ref="B10:H10"/>
    <mergeCell ref="X10:Z10"/>
    <mergeCell ref="B11:H11"/>
    <mergeCell ref="L18:N19"/>
    <mergeCell ref="B14:H14"/>
    <mergeCell ref="X14:Z14"/>
    <mergeCell ref="O16:W19"/>
    <mergeCell ref="X15:Z15"/>
    <mergeCell ref="B9:H9"/>
    <mergeCell ref="X9:Z9"/>
    <mergeCell ref="X16:Z19"/>
    <mergeCell ref="F15:J15"/>
    <mergeCell ref="K15:N15"/>
    <mergeCell ref="L6:W6"/>
    <mergeCell ref="X11:Z11"/>
    <mergeCell ref="B12:H12"/>
    <mergeCell ref="X12:Z12"/>
    <mergeCell ref="O15:W15"/>
    <mergeCell ref="AA1:AA15"/>
    <mergeCell ref="A2:Z2"/>
    <mergeCell ref="A3:F3"/>
    <mergeCell ref="G3:H3"/>
    <mergeCell ref="I3:Z4"/>
    <mergeCell ref="G4:H4"/>
    <mergeCell ref="G5:H5"/>
    <mergeCell ref="I5:Z5"/>
    <mergeCell ref="A6:A7"/>
    <mergeCell ref="B6:H7"/>
    <mergeCell ref="I6:I7"/>
    <mergeCell ref="J6:J7"/>
    <mergeCell ref="K6:K7"/>
    <mergeCell ref="X6:Z7"/>
    <mergeCell ref="B8:H8"/>
    <mergeCell ref="X8:Z8"/>
  </mergeCells>
  <printOptions horizontalCentered="1" verticalCentered="1"/>
  <pageMargins left="0" right="0" top="0" bottom="0" header="0" footer="0"/>
  <pageSetup scale="4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DF10-98E0-4B24-A12E-8EDD2055F678}">
  <dimension ref="A1:AA20"/>
  <sheetViews>
    <sheetView rightToLeft="1" view="pageBreakPreview" zoomScale="70" zoomScaleNormal="90" zoomScaleSheetLayoutView="70" workbookViewId="0">
      <selection activeCell="J12" sqref="J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5.5703125" style="21" customWidth="1"/>
    <col min="12" max="12" width="6.7109375" style="21" customWidth="1"/>
    <col min="13" max="13" width="7.140625" style="21" customWidth="1"/>
    <col min="14" max="14" width="11.425781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1555</v>
      </c>
      <c r="B3" s="456"/>
      <c r="C3" s="456"/>
      <c r="D3" s="456"/>
      <c r="E3" s="456"/>
      <c r="F3" s="456"/>
      <c r="G3" s="457" t="s">
        <v>3</v>
      </c>
      <c r="H3" s="457"/>
      <c r="I3" s="458" t="s">
        <v>1554</v>
      </c>
      <c r="J3" s="458"/>
      <c r="K3" s="458"/>
      <c r="L3" s="458"/>
      <c r="M3" s="458"/>
      <c r="N3" s="458"/>
      <c r="O3" s="458"/>
      <c r="P3" s="458"/>
      <c r="Q3" s="458"/>
      <c r="R3" s="458"/>
      <c r="S3" s="458"/>
      <c r="T3" s="458"/>
      <c r="U3" s="458"/>
      <c r="V3" s="458"/>
      <c r="W3" s="458"/>
      <c r="X3" s="458"/>
      <c r="Y3" s="458"/>
      <c r="Z3" s="459"/>
      <c r="AA3" s="451"/>
    </row>
    <row r="4" spans="1:27" s="3" customFormat="1" ht="28.5" customHeight="1">
      <c r="A4" s="460" t="s">
        <v>1541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395</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45">
      <c r="A8" s="7" t="s">
        <v>28</v>
      </c>
      <c r="B8" s="647" t="s">
        <v>1553</v>
      </c>
      <c r="C8" s="647"/>
      <c r="D8" s="647"/>
      <c r="E8" s="647"/>
      <c r="F8" s="647"/>
      <c r="G8" s="647"/>
      <c r="H8" s="647"/>
      <c r="I8" s="132">
        <v>25</v>
      </c>
      <c r="J8" s="133" t="s">
        <v>1545</v>
      </c>
      <c r="K8" s="10"/>
      <c r="L8" s="30"/>
      <c r="M8" s="30"/>
      <c r="N8" s="284" t="s">
        <v>246</v>
      </c>
      <c r="O8" s="284" t="s">
        <v>246</v>
      </c>
      <c r="P8" s="30"/>
      <c r="Q8" s="30"/>
      <c r="R8" s="30"/>
      <c r="S8" s="30"/>
      <c r="T8" s="30"/>
      <c r="U8" s="30"/>
      <c r="V8" s="30"/>
      <c r="W8" s="30"/>
      <c r="X8" s="475"/>
      <c r="Y8" s="475"/>
      <c r="Z8" s="476"/>
      <c r="AA8" s="451"/>
    </row>
    <row r="9" spans="1:27" s="14" customFormat="1" ht="31.5">
      <c r="A9" s="7" t="s">
        <v>66</v>
      </c>
      <c r="B9" s="647" t="s">
        <v>1552</v>
      </c>
      <c r="C9" s="647"/>
      <c r="D9" s="647"/>
      <c r="E9" s="647"/>
      <c r="F9" s="647"/>
      <c r="G9" s="647"/>
      <c r="H9" s="647"/>
      <c r="I9" s="132">
        <v>25</v>
      </c>
      <c r="J9" s="133" t="s">
        <v>1551</v>
      </c>
      <c r="K9" s="10"/>
      <c r="L9" s="30"/>
      <c r="M9" s="30"/>
      <c r="N9" s="30"/>
      <c r="O9" s="30"/>
      <c r="P9" s="284" t="s">
        <v>246</v>
      </c>
      <c r="Q9" s="284" t="s">
        <v>246</v>
      </c>
      <c r="R9" s="30"/>
      <c r="S9" s="30"/>
      <c r="T9" s="30"/>
      <c r="U9" s="30"/>
      <c r="V9" s="30"/>
      <c r="W9" s="30"/>
      <c r="X9" s="475"/>
      <c r="Y9" s="475"/>
      <c r="Z9" s="476"/>
      <c r="AA9" s="451"/>
    </row>
    <row r="10" spans="1:27" s="14" customFormat="1" ht="45">
      <c r="A10" s="7" t="s">
        <v>68</v>
      </c>
      <c r="B10" s="647" t="s">
        <v>1550</v>
      </c>
      <c r="C10" s="647"/>
      <c r="D10" s="647"/>
      <c r="E10" s="647"/>
      <c r="F10" s="647"/>
      <c r="G10" s="647"/>
      <c r="H10" s="647"/>
      <c r="I10" s="132">
        <v>25</v>
      </c>
      <c r="J10" s="133" t="s">
        <v>1545</v>
      </c>
      <c r="K10" s="10"/>
      <c r="L10" s="30"/>
      <c r="M10" s="30"/>
      <c r="N10" s="30"/>
      <c r="O10" s="30"/>
      <c r="P10" s="30"/>
      <c r="Q10" s="30"/>
      <c r="R10" s="284" t="s">
        <v>246</v>
      </c>
      <c r="S10" s="284" t="s">
        <v>246</v>
      </c>
      <c r="T10" s="284" t="s">
        <v>246</v>
      </c>
      <c r="U10" s="30"/>
      <c r="V10" s="30"/>
      <c r="W10" s="30"/>
      <c r="X10" s="468"/>
      <c r="Y10" s="468"/>
      <c r="Z10" s="469"/>
      <c r="AA10" s="451"/>
    </row>
    <row r="11" spans="1:27" s="14" customFormat="1" ht="45">
      <c r="A11" s="7" t="s">
        <v>70</v>
      </c>
      <c r="B11" s="647" t="s">
        <v>1549</v>
      </c>
      <c r="C11" s="647"/>
      <c r="D11" s="647"/>
      <c r="E11" s="647"/>
      <c r="F11" s="647"/>
      <c r="G11" s="647"/>
      <c r="H11" s="647"/>
      <c r="I11" s="132">
        <v>25</v>
      </c>
      <c r="J11" s="133" t="s">
        <v>1545</v>
      </c>
      <c r="K11" s="10"/>
      <c r="L11" s="30"/>
      <c r="M11" s="30"/>
      <c r="N11" s="30"/>
      <c r="O11" s="30"/>
      <c r="P11" s="30"/>
      <c r="Q11" s="30"/>
      <c r="R11" s="30"/>
      <c r="S11" s="30"/>
      <c r="T11" s="30"/>
      <c r="U11" s="284" t="s">
        <v>246</v>
      </c>
      <c r="V11" s="284" t="s">
        <v>246</v>
      </c>
      <c r="W11" s="284" t="s">
        <v>246</v>
      </c>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1534</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t="s">
        <v>1548</v>
      </c>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B6:H7"/>
    <mergeCell ref="I6:I7"/>
    <mergeCell ref="J6:J7"/>
    <mergeCell ref="K6:K7"/>
    <mergeCell ref="X6:Z7"/>
    <mergeCell ref="B8:H8"/>
    <mergeCell ref="X8:Z8"/>
    <mergeCell ref="X16:Z19"/>
    <mergeCell ref="AA1:AA15"/>
    <mergeCell ref="A2:Z2"/>
    <mergeCell ref="A3:F3"/>
    <mergeCell ref="G3:H3"/>
    <mergeCell ref="I3:Z4"/>
    <mergeCell ref="G4:H4"/>
    <mergeCell ref="G5:H5"/>
    <mergeCell ref="I5:Z5"/>
    <mergeCell ref="A6:A7"/>
    <mergeCell ref="L6:W6"/>
    <mergeCell ref="K16:K17"/>
    <mergeCell ref="B10:H10"/>
    <mergeCell ref="X10:Z10"/>
    <mergeCell ref="F15:J15"/>
    <mergeCell ref="K15:N15"/>
    <mergeCell ref="B11:H11"/>
    <mergeCell ref="X11:Z11"/>
    <mergeCell ref="B12:H12"/>
    <mergeCell ref="X12:Z12"/>
    <mergeCell ref="O15:W15"/>
    <mergeCell ref="B9:H9"/>
    <mergeCell ref="X9:Z9"/>
    <mergeCell ref="X15:Z15"/>
    <mergeCell ref="A1:Y1"/>
    <mergeCell ref="F16:J19"/>
    <mergeCell ref="A15:E15"/>
    <mergeCell ref="A16:E19"/>
    <mergeCell ref="A4:F5"/>
    <mergeCell ref="B13:H13"/>
    <mergeCell ref="X13:Z13"/>
    <mergeCell ref="L16:N17"/>
    <mergeCell ref="K18:K19"/>
    <mergeCell ref="L18:N19"/>
    <mergeCell ref="O16:W19"/>
    <mergeCell ref="B14:H14"/>
    <mergeCell ref="X14:Z14"/>
  </mergeCells>
  <printOptions horizontalCentered="1" verticalCentered="1"/>
  <pageMargins left="0" right="0" top="0" bottom="0" header="0" footer="0"/>
  <pageSetup scale="4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9B69-7FFC-428B-B15A-656181F55DD3}">
  <dimension ref="A1:AA20"/>
  <sheetViews>
    <sheetView rightToLeft="1" view="pageBreakPreview" zoomScale="70" zoomScaleNormal="90" zoomScaleSheetLayoutView="70" workbookViewId="0">
      <selection activeCell="J12" sqref="J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5.5703125" style="21" customWidth="1"/>
    <col min="12" max="12" width="6.7109375" style="21" customWidth="1"/>
    <col min="13" max="13" width="7.140625" style="21" customWidth="1"/>
    <col min="14" max="14" width="11.425781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1547</v>
      </c>
      <c r="B3" s="456"/>
      <c r="C3" s="456"/>
      <c r="D3" s="456"/>
      <c r="E3" s="456"/>
      <c r="F3" s="456"/>
      <c r="G3" s="457" t="s">
        <v>3</v>
      </c>
      <c r="H3" s="457"/>
      <c r="I3" s="458" t="s">
        <v>1546</v>
      </c>
      <c r="J3" s="458"/>
      <c r="K3" s="458"/>
      <c r="L3" s="458"/>
      <c r="M3" s="458"/>
      <c r="N3" s="458"/>
      <c r="O3" s="458"/>
      <c r="P3" s="458"/>
      <c r="Q3" s="458"/>
      <c r="R3" s="458"/>
      <c r="S3" s="458"/>
      <c r="T3" s="458"/>
      <c r="U3" s="458"/>
      <c r="V3" s="458"/>
      <c r="W3" s="458"/>
      <c r="X3" s="458"/>
      <c r="Y3" s="458"/>
      <c r="Z3" s="459"/>
      <c r="AA3" s="451"/>
    </row>
    <row r="4" spans="1:27" s="3" customFormat="1" ht="28.5" customHeight="1">
      <c r="A4" s="460" t="s">
        <v>1541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395</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31.5">
      <c r="A8" s="7" t="s">
        <v>28</v>
      </c>
      <c r="B8" s="647" t="s">
        <v>1540</v>
      </c>
      <c r="C8" s="647"/>
      <c r="D8" s="647"/>
      <c r="E8" s="647"/>
      <c r="F8" s="647"/>
      <c r="G8" s="647"/>
      <c r="H8" s="647"/>
      <c r="I8" s="132">
        <v>25</v>
      </c>
      <c r="J8" s="133" t="s">
        <v>1403</v>
      </c>
      <c r="K8" s="10"/>
      <c r="L8" s="30"/>
      <c r="M8" s="30"/>
      <c r="N8" s="284" t="s">
        <v>246</v>
      </c>
      <c r="O8" s="284" t="s">
        <v>246</v>
      </c>
      <c r="P8" s="30"/>
      <c r="Q8" s="30"/>
      <c r="R8" s="30"/>
      <c r="S8" s="30"/>
      <c r="T8" s="30"/>
      <c r="U8" s="30"/>
      <c r="V8" s="30"/>
      <c r="W8" s="30"/>
      <c r="X8" s="475"/>
      <c r="Y8" s="475"/>
      <c r="Z8" s="476"/>
      <c r="AA8" s="451"/>
    </row>
    <row r="9" spans="1:27" s="14" customFormat="1" ht="31.5">
      <c r="A9" s="7" t="s">
        <v>66</v>
      </c>
      <c r="B9" s="647" t="s">
        <v>1538</v>
      </c>
      <c r="C9" s="647"/>
      <c r="D9" s="647"/>
      <c r="E9" s="647"/>
      <c r="F9" s="647"/>
      <c r="G9" s="647"/>
      <c r="H9" s="647"/>
      <c r="I9" s="132">
        <v>25</v>
      </c>
      <c r="J9" s="133" t="s">
        <v>323</v>
      </c>
      <c r="K9" s="10"/>
      <c r="L9" s="30"/>
      <c r="M9" s="30"/>
      <c r="N9" s="30"/>
      <c r="O9" s="30"/>
      <c r="P9" s="284" t="s">
        <v>246</v>
      </c>
      <c r="Q9" s="284" t="s">
        <v>246</v>
      </c>
      <c r="R9" s="30"/>
      <c r="S9" s="30"/>
      <c r="T9" s="30"/>
      <c r="U9" s="30"/>
      <c r="V9" s="30"/>
      <c r="W9" s="30"/>
      <c r="X9" s="475"/>
      <c r="Y9" s="475"/>
      <c r="Z9" s="476"/>
      <c r="AA9" s="451"/>
    </row>
    <row r="10" spans="1:27" s="14" customFormat="1" ht="31.5">
      <c r="A10" s="7" t="s">
        <v>68</v>
      </c>
      <c r="B10" s="647" t="s">
        <v>1537</v>
      </c>
      <c r="C10" s="647"/>
      <c r="D10" s="647"/>
      <c r="E10" s="647"/>
      <c r="F10" s="647"/>
      <c r="G10" s="647"/>
      <c r="H10" s="647"/>
      <c r="I10" s="132">
        <v>30</v>
      </c>
      <c r="J10" s="133" t="s">
        <v>1403</v>
      </c>
      <c r="K10" s="10"/>
      <c r="L10" s="30"/>
      <c r="M10" s="30"/>
      <c r="N10" s="30"/>
      <c r="O10" s="30"/>
      <c r="P10" s="30"/>
      <c r="Q10" s="30"/>
      <c r="R10" s="284" t="s">
        <v>246</v>
      </c>
      <c r="S10" s="284" t="s">
        <v>246</v>
      </c>
      <c r="T10" s="284" t="s">
        <v>246</v>
      </c>
      <c r="U10" s="284" t="s">
        <v>246</v>
      </c>
      <c r="V10" s="30"/>
      <c r="W10" s="30"/>
      <c r="X10" s="468"/>
      <c r="Y10" s="468"/>
      <c r="Z10" s="469"/>
      <c r="AA10" s="451"/>
    </row>
    <row r="11" spans="1:27" s="14" customFormat="1" ht="45">
      <c r="A11" s="7" t="s">
        <v>70</v>
      </c>
      <c r="B11" s="647" t="s">
        <v>1536</v>
      </c>
      <c r="C11" s="647"/>
      <c r="D11" s="647"/>
      <c r="E11" s="647"/>
      <c r="F11" s="647"/>
      <c r="G11" s="647"/>
      <c r="H11" s="647"/>
      <c r="I11" s="132">
        <v>20</v>
      </c>
      <c r="J11" s="133" t="s">
        <v>1545</v>
      </c>
      <c r="K11" s="10"/>
      <c r="L11" s="30"/>
      <c r="M11" s="30"/>
      <c r="N11" s="30"/>
      <c r="O11" s="30"/>
      <c r="P11" s="30"/>
      <c r="Q11" s="30"/>
      <c r="R11" s="30"/>
      <c r="S11" s="30"/>
      <c r="T11" s="30"/>
      <c r="V11" s="284" t="s">
        <v>246</v>
      </c>
      <c r="W11" s="284" t="s">
        <v>246</v>
      </c>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1534</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t="s">
        <v>1544</v>
      </c>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B6:H7"/>
    <mergeCell ref="I6:I7"/>
    <mergeCell ref="J6:J7"/>
    <mergeCell ref="K6:K7"/>
    <mergeCell ref="X6:Z7"/>
    <mergeCell ref="B8:H8"/>
    <mergeCell ref="X8:Z8"/>
    <mergeCell ref="X16:Z19"/>
    <mergeCell ref="AA1:AA15"/>
    <mergeCell ref="A2:Z2"/>
    <mergeCell ref="A3:F3"/>
    <mergeCell ref="G3:H3"/>
    <mergeCell ref="I3:Z4"/>
    <mergeCell ref="G4:H4"/>
    <mergeCell ref="G5:H5"/>
    <mergeCell ref="I5:Z5"/>
    <mergeCell ref="A6:A7"/>
    <mergeCell ref="L6:W6"/>
    <mergeCell ref="K16:K17"/>
    <mergeCell ref="B10:H10"/>
    <mergeCell ref="X10:Z10"/>
    <mergeCell ref="F15:J15"/>
    <mergeCell ref="K15:N15"/>
    <mergeCell ref="B11:H11"/>
    <mergeCell ref="X11:Z11"/>
    <mergeCell ref="B12:H12"/>
    <mergeCell ref="X12:Z12"/>
    <mergeCell ref="O15:W15"/>
    <mergeCell ref="B9:H9"/>
    <mergeCell ref="X9:Z9"/>
    <mergeCell ref="X15:Z15"/>
    <mergeCell ref="A1:Y1"/>
    <mergeCell ref="F16:J19"/>
    <mergeCell ref="A15:E15"/>
    <mergeCell ref="A16:E19"/>
    <mergeCell ref="A4:F5"/>
    <mergeCell ref="B13:H13"/>
    <mergeCell ref="X13:Z13"/>
    <mergeCell ref="L16:N17"/>
    <mergeCell ref="K18:K19"/>
    <mergeCell ref="L18:N19"/>
    <mergeCell ref="O16:W19"/>
    <mergeCell ref="B14:H14"/>
    <mergeCell ref="X14:Z14"/>
  </mergeCells>
  <printOptions horizontalCentered="1" verticalCentered="1"/>
  <pageMargins left="0" right="0" top="0" bottom="0" header="0" footer="0"/>
  <pageSetup scale="4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0EFB-1814-40D2-93FA-9B29021DD197}">
  <dimension ref="A1:AA20"/>
  <sheetViews>
    <sheetView rightToLeft="1" view="pageBreakPreview" zoomScale="80" zoomScaleNormal="90" zoomScaleSheetLayoutView="80" workbookViewId="0">
      <selection activeCell="I9" sqref="I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5.5703125" style="21" customWidth="1"/>
    <col min="12" max="12" width="6.7109375" style="21" customWidth="1"/>
    <col min="13" max="13" width="7.140625" style="21" customWidth="1"/>
    <col min="14" max="14" width="11.425781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1543</v>
      </c>
      <c r="B3" s="456"/>
      <c r="C3" s="456"/>
      <c r="D3" s="456"/>
      <c r="E3" s="456"/>
      <c r="F3" s="456"/>
      <c r="G3" s="457" t="s">
        <v>3</v>
      </c>
      <c r="H3" s="457"/>
      <c r="I3" s="458" t="s">
        <v>1542</v>
      </c>
      <c r="J3" s="458"/>
      <c r="K3" s="458"/>
      <c r="L3" s="458"/>
      <c r="M3" s="458"/>
      <c r="N3" s="458"/>
      <c r="O3" s="458"/>
      <c r="P3" s="458"/>
      <c r="Q3" s="458"/>
      <c r="R3" s="458"/>
      <c r="S3" s="458"/>
      <c r="T3" s="458"/>
      <c r="U3" s="458"/>
      <c r="V3" s="458"/>
      <c r="W3" s="458"/>
      <c r="X3" s="458"/>
      <c r="Y3" s="458"/>
      <c r="Z3" s="459"/>
      <c r="AA3" s="451"/>
    </row>
    <row r="4" spans="1:27" s="3" customFormat="1" ht="28.5" customHeight="1">
      <c r="A4" s="460" t="s">
        <v>1541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395</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31.5">
      <c r="A8" s="7" t="s">
        <v>28</v>
      </c>
      <c r="B8" s="647" t="s">
        <v>1540</v>
      </c>
      <c r="C8" s="647"/>
      <c r="D8" s="647"/>
      <c r="E8" s="647"/>
      <c r="F8" s="647"/>
      <c r="G8" s="647"/>
      <c r="H8" s="647"/>
      <c r="I8" s="132">
        <v>30</v>
      </c>
      <c r="J8" s="133" t="s">
        <v>1539</v>
      </c>
      <c r="K8" s="10"/>
      <c r="L8" s="30"/>
      <c r="M8" s="30"/>
      <c r="N8" s="284" t="s">
        <v>246</v>
      </c>
      <c r="O8" s="284" t="s">
        <v>246</v>
      </c>
      <c r="P8" s="30"/>
      <c r="Q8" s="30"/>
      <c r="R8" s="30"/>
      <c r="S8" s="30"/>
      <c r="T8" s="30"/>
      <c r="U8" s="30"/>
      <c r="V8" s="30"/>
      <c r="W8" s="30"/>
      <c r="X8" s="475"/>
      <c r="Y8" s="475"/>
      <c r="Z8" s="476"/>
      <c r="AA8" s="451"/>
    </row>
    <row r="9" spans="1:27" s="14" customFormat="1" ht="31.5">
      <c r="A9" s="7" t="s">
        <v>66</v>
      </c>
      <c r="B9" s="647" t="s">
        <v>1538</v>
      </c>
      <c r="C9" s="647"/>
      <c r="D9" s="647"/>
      <c r="E9" s="647"/>
      <c r="F9" s="647"/>
      <c r="G9" s="647"/>
      <c r="H9" s="647"/>
      <c r="I9" s="132">
        <v>20</v>
      </c>
      <c r="J9" s="133" t="s">
        <v>323</v>
      </c>
      <c r="K9" s="10"/>
      <c r="L9" s="30"/>
      <c r="M9" s="30"/>
      <c r="N9" s="30"/>
      <c r="O9" s="30"/>
      <c r="P9" s="284" t="s">
        <v>246</v>
      </c>
      <c r="Q9" s="284" t="s">
        <v>246</v>
      </c>
      <c r="R9" s="30"/>
      <c r="S9" s="30"/>
      <c r="T9" s="30"/>
      <c r="U9" s="30"/>
      <c r="V9" s="30"/>
      <c r="W9" s="30"/>
      <c r="X9" s="475"/>
      <c r="Y9" s="475"/>
      <c r="Z9" s="476"/>
      <c r="AA9" s="451"/>
    </row>
    <row r="10" spans="1:27" s="14" customFormat="1" ht="31.5">
      <c r="A10" s="7" t="s">
        <v>68</v>
      </c>
      <c r="B10" s="647" t="s">
        <v>1537</v>
      </c>
      <c r="C10" s="647"/>
      <c r="D10" s="647"/>
      <c r="E10" s="647"/>
      <c r="F10" s="647"/>
      <c r="G10" s="647"/>
      <c r="H10" s="647"/>
      <c r="I10" s="132">
        <v>20</v>
      </c>
      <c r="J10" s="133" t="s">
        <v>323</v>
      </c>
      <c r="K10" s="10"/>
      <c r="L10" s="30"/>
      <c r="M10" s="30"/>
      <c r="N10" s="30"/>
      <c r="O10" s="30"/>
      <c r="P10" s="30"/>
      <c r="Q10" s="30"/>
      <c r="R10" s="284" t="s">
        <v>246</v>
      </c>
      <c r="S10" s="284" t="s">
        <v>246</v>
      </c>
      <c r="T10" s="284" t="s">
        <v>246</v>
      </c>
      <c r="U10" s="284" t="s">
        <v>246</v>
      </c>
      <c r="V10" s="30"/>
      <c r="W10" s="30"/>
      <c r="X10" s="468"/>
      <c r="Y10" s="468"/>
      <c r="Z10" s="469"/>
      <c r="AA10" s="451"/>
    </row>
    <row r="11" spans="1:27" s="14" customFormat="1" ht="31.5">
      <c r="A11" s="7" t="s">
        <v>70</v>
      </c>
      <c r="B11" s="647" t="s">
        <v>1536</v>
      </c>
      <c r="C11" s="647"/>
      <c r="D11" s="647"/>
      <c r="E11" s="647"/>
      <c r="F11" s="647"/>
      <c r="G11" s="647"/>
      <c r="H11" s="647"/>
      <c r="I11" s="132">
        <v>30</v>
      </c>
      <c r="J11" s="133" t="s">
        <v>1535</v>
      </c>
      <c r="K11" s="10"/>
      <c r="L11" s="30"/>
      <c r="M11" s="30"/>
      <c r="N11" s="30"/>
      <c r="O11" s="30"/>
      <c r="P11" s="30"/>
      <c r="Q11" s="30"/>
      <c r="R11" s="30"/>
      <c r="S11" s="30"/>
      <c r="T11" s="30"/>
      <c r="V11" s="284" t="s">
        <v>246</v>
      </c>
      <c r="W11" s="284" t="s">
        <v>246</v>
      </c>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1534</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t="s">
        <v>1533</v>
      </c>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B6:H7"/>
    <mergeCell ref="I6:I7"/>
    <mergeCell ref="J6:J7"/>
    <mergeCell ref="K6:K7"/>
    <mergeCell ref="X6:Z7"/>
    <mergeCell ref="B8:H8"/>
    <mergeCell ref="X8:Z8"/>
    <mergeCell ref="X16:Z19"/>
    <mergeCell ref="AA1:AA15"/>
    <mergeCell ref="A2:Z2"/>
    <mergeCell ref="A3:F3"/>
    <mergeCell ref="G3:H3"/>
    <mergeCell ref="I3:Z4"/>
    <mergeCell ref="G4:H4"/>
    <mergeCell ref="G5:H5"/>
    <mergeCell ref="I5:Z5"/>
    <mergeCell ref="A6:A7"/>
    <mergeCell ref="L6:W6"/>
    <mergeCell ref="K16:K17"/>
    <mergeCell ref="B10:H10"/>
    <mergeCell ref="X10:Z10"/>
    <mergeCell ref="F15:J15"/>
    <mergeCell ref="K15:N15"/>
    <mergeCell ref="B11:H11"/>
    <mergeCell ref="X11:Z11"/>
    <mergeCell ref="B12:H12"/>
    <mergeCell ref="X12:Z12"/>
    <mergeCell ref="O15:W15"/>
    <mergeCell ref="B9:H9"/>
    <mergeCell ref="X9:Z9"/>
    <mergeCell ref="X15:Z15"/>
    <mergeCell ref="A1:Y1"/>
    <mergeCell ref="F16:J19"/>
    <mergeCell ref="A15:E15"/>
    <mergeCell ref="A16:E19"/>
    <mergeCell ref="A4:F5"/>
    <mergeCell ref="B13:H13"/>
    <mergeCell ref="X13:Z13"/>
    <mergeCell ref="L16:N17"/>
    <mergeCell ref="K18:K19"/>
    <mergeCell ref="L18:N19"/>
    <mergeCell ref="O16:W19"/>
    <mergeCell ref="B14:H14"/>
    <mergeCell ref="X14:Z14"/>
  </mergeCells>
  <printOptions horizontalCentered="1" verticalCentered="1"/>
  <pageMargins left="0" right="0" top="0" bottom="0" header="0" footer="0"/>
  <pageSetup scale="4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8856-5FF8-4005-B2F5-A6A5D1E38DB8}">
  <dimension ref="A1:Z20"/>
  <sheetViews>
    <sheetView rightToLeft="1" view="pageBreakPreview" zoomScale="55" zoomScaleNormal="90" zoomScaleSheetLayoutView="55" workbookViewId="0">
      <selection activeCell="B9" sqref="B9:G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7.570312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1525</v>
      </c>
      <c r="B3" s="657"/>
      <c r="C3" s="657"/>
      <c r="D3" s="657"/>
      <c r="E3" s="658"/>
      <c r="F3" s="659" t="s">
        <v>178</v>
      </c>
      <c r="G3" s="660"/>
      <c r="H3" s="661" t="s">
        <v>1526</v>
      </c>
      <c r="I3" s="662"/>
      <c r="J3" s="662"/>
      <c r="K3" s="662"/>
      <c r="L3" s="662"/>
      <c r="M3" s="662"/>
      <c r="N3" s="662"/>
      <c r="O3" s="662"/>
      <c r="P3" s="662"/>
      <c r="Q3" s="662"/>
      <c r="R3" s="662"/>
      <c r="S3" s="662"/>
      <c r="T3" s="662"/>
      <c r="U3" s="662"/>
      <c r="V3" s="662"/>
      <c r="W3" s="662"/>
      <c r="X3" s="662"/>
      <c r="Y3" s="663"/>
      <c r="Z3" s="451"/>
    </row>
    <row r="4" spans="1:26" s="3" customFormat="1" ht="28.5">
      <c r="A4" s="667" t="s">
        <v>1489</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924</v>
      </c>
      <c r="B5" s="673"/>
      <c r="C5" s="673"/>
      <c r="D5" s="673"/>
      <c r="E5" s="674"/>
      <c r="F5" s="675" t="s">
        <v>1491</v>
      </c>
      <c r="G5" s="675"/>
      <c r="H5" s="676" t="s">
        <v>1492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6.2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1527</v>
      </c>
      <c r="C8" s="551"/>
      <c r="D8" s="551"/>
      <c r="E8" s="551"/>
      <c r="F8" s="551"/>
      <c r="G8" s="551"/>
      <c r="H8" s="15">
        <v>15</v>
      </c>
      <c r="I8" s="9" t="s">
        <v>1528</v>
      </c>
      <c r="J8" s="9"/>
      <c r="K8" s="16" t="s">
        <v>246</v>
      </c>
      <c r="L8" s="16" t="s">
        <v>246</v>
      </c>
      <c r="M8" s="16"/>
      <c r="N8" s="16"/>
      <c r="O8" s="16"/>
      <c r="P8" s="16"/>
      <c r="Q8" s="16"/>
      <c r="R8" s="16"/>
      <c r="S8" s="16"/>
      <c r="T8" s="16"/>
      <c r="U8" s="16"/>
      <c r="V8" s="16"/>
      <c r="W8" s="594"/>
      <c r="X8" s="595"/>
      <c r="Y8" s="596"/>
      <c r="Z8" s="451"/>
    </row>
    <row r="9" spans="1:26" s="14" customFormat="1" ht="24">
      <c r="A9" s="23" t="s">
        <v>66</v>
      </c>
      <c r="B9" s="551" t="s">
        <v>1529</v>
      </c>
      <c r="C9" s="551"/>
      <c r="D9" s="551"/>
      <c r="E9" s="551"/>
      <c r="F9" s="551"/>
      <c r="G9" s="551"/>
      <c r="H9" s="15">
        <v>20</v>
      </c>
      <c r="I9" s="9" t="s">
        <v>1528</v>
      </c>
      <c r="J9" s="9"/>
      <c r="K9" s="16"/>
      <c r="L9" s="16"/>
      <c r="M9" s="16" t="s">
        <v>246</v>
      </c>
      <c r="N9" s="16" t="s">
        <v>246</v>
      </c>
      <c r="O9" s="16"/>
      <c r="P9" s="16"/>
      <c r="Q9" s="16"/>
      <c r="R9" s="16"/>
      <c r="S9" s="16"/>
      <c r="T9" s="16"/>
      <c r="U9" s="16"/>
      <c r="V9" s="16"/>
      <c r="W9" s="597"/>
      <c r="X9" s="597"/>
      <c r="Y9" s="597"/>
      <c r="Z9" s="451"/>
    </row>
    <row r="10" spans="1:26" s="14" customFormat="1" ht="24">
      <c r="A10" s="23" t="s">
        <v>68</v>
      </c>
      <c r="B10" s="551" t="s">
        <v>1530</v>
      </c>
      <c r="C10" s="551"/>
      <c r="D10" s="551"/>
      <c r="E10" s="551"/>
      <c r="F10" s="551"/>
      <c r="G10" s="551"/>
      <c r="H10" s="15">
        <v>35</v>
      </c>
      <c r="I10" s="9" t="s">
        <v>1528</v>
      </c>
      <c r="J10" s="9"/>
      <c r="K10" s="16"/>
      <c r="L10" s="16"/>
      <c r="M10" s="16"/>
      <c r="N10" s="16"/>
      <c r="O10" s="16" t="s">
        <v>246</v>
      </c>
      <c r="P10" s="16" t="s">
        <v>246</v>
      </c>
      <c r="Q10" s="16" t="s">
        <v>246</v>
      </c>
      <c r="R10" s="16"/>
      <c r="S10" s="16"/>
      <c r="T10" s="16"/>
      <c r="U10" s="16"/>
      <c r="V10" s="16"/>
      <c r="W10" s="518"/>
      <c r="X10" s="518"/>
      <c r="Y10" s="518"/>
      <c r="Z10" s="451"/>
    </row>
    <row r="11" spans="1:26" s="14" customFormat="1" ht="24">
      <c r="A11" s="23" t="s">
        <v>70</v>
      </c>
      <c r="B11" s="551" t="s">
        <v>1531</v>
      </c>
      <c r="C11" s="551"/>
      <c r="D11" s="551"/>
      <c r="E11" s="551"/>
      <c r="F11" s="551"/>
      <c r="G11" s="551"/>
      <c r="H11" s="15">
        <v>10</v>
      </c>
      <c r="I11" s="9" t="s">
        <v>1528</v>
      </c>
      <c r="J11" s="9"/>
      <c r="K11" s="16"/>
      <c r="L11" s="16"/>
      <c r="M11" s="16"/>
      <c r="N11" s="16"/>
      <c r="O11" s="16"/>
      <c r="P11" s="16"/>
      <c r="Q11" s="16"/>
      <c r="R11" s="16" t="s">
        <v>246</v>
      </c>
      <c r="S11" s="16" t="s">
        <v>246</v>
      </c>
      <c r="T11" s="16" t="s">
        <v>246</v>
      </c>
      <c r="U11" s="16" t="s">
        <v>246</v>
      </c>
      <c r="V11" s="16"/>
      <c r="W11" s="518"/>
      <c r="X11" s="518"/>
      <c r="Y11" s="518"/>
      <c r="Z11" s="451"/>
    </row>
    <row r="12" spans="1:26" s="14" customFormat="1" ht="24">
      <c r="A12" s="23" t="s">
        <v>153</v>
      </c>
      <c r="B12" s="551" t="s">
        <v>1532</v>
      </c>
      <c r="C12" s="551"/>
      <c r="D12" s="551"/>
      <c r="E12" s="551"/>
      <c r="F12" s="551"/>
      <c r="G12" s="551"/>
      <c r="H12" s="15">
        <v>20</v>
      </c>
      <c r="I12" s="9" t="s">
        <v>1528</v>
      </c>
      <c r="J12" s="9"/>
      <c r="K12" s="16"/>
      <c r="L12" s="16"/>
      <c r="M12" s="16"/>
      <c r="N12" s="16"/>
      <c r="O12" s="16"/>
      <c r="P12" s="16"/>
      <c r="Q12" s="16"/>
      <c r="R12" s="16"/>
      <c r="S12" s="16"/>
      <c r="T12" s="16"/>
      <c r="U12" s="16" t="s">
        <v>246</v>
      </c>
      <c r="V12" s="16" t="s">
        <v>246</v>
      </c>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96FF-5BEF-40C0-BA47-EE051C7713DB}">
  <sheetPr>
    <pageSetUpPr fitToPage="1"/>
  </sheetPr>
  <dimension ref="A1:Z20"/>
  <sheetViews>
    <sheetView rightToLeft="1" view="pageBreakPreview" topLeftCell="A3" zoomScale="70" zoomScaleNormal="90" zoomScaleSheetLayoutView="70" workbookViewId="0">
      <selection activeCell="H8" sqref="H8:H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1524</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1523</v>
      </c>
      <c r="B3" s="657"/>
      <c r="C3" s="657"/>
      <c r="D3" s="657"/>
      <c r="E3" s="658"/>
      <c r="F3" s="659" t="s">
        <v>178</v>
      </c>
      <c r="G3" s="660"/>
      <c r="H3" s="661" t="s">
        <v>1522</v>
      </c>
      <c r="I3" s="662"/>
      <c r="J3" s="662"/>
      <c r="K3" s="662"/>
      <c r="L3" s="662"/>
      <c r="M3" s="662"/>
      <c r="N3" s="662"/>
      <c r="O3" s="662"/>
      <c r="P3" s="662"/>
      <c r="Q3" s="662"/>
      <c r="R3" s="662"/>
      <c r="S3" s="662"/>
      <c r="T3" s="662"/>
      <c r="U3" s="662"/>
      <c r="V3" s="662"/>
      <c r="W3" s="662"/>
      <c r="X3" s="662"/>
      <c r="Y3" s="663"/>
      <c r="Z3" s="451"/>
    </row>
    <row r="4" spans="1:26" s="3" customFormat="1" ht="28.5">
      <c r="A4" s="667" t="s">
        <v>1521</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1520</v>
      </c>
      <c r="B5" s="673"/>
      <c r="C5" s="673"/>
      <c r="D5" s="673"/>
      <c r="E5" s="674"/>
      <c r="F5" s="675" t="s">
        <v>283</v>
      </c>
      <c r="G5" s="675"/>
      <c r="H5" s="676" t="s">
        <v>1227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7.75" customHeight="1">
      <c r="A8" s="23" t="s">
        <v>28</v>
      </c>
      <c r="B8" s="551" t="s">
        <v>1519</v>
      </c>
      <c r="C8" s="551"/>
      <c r="D8" s="551"/>
      <c r="E8" s="551"/>
      <c r="F8" s="551"/>
      <c r="G8" s="551"/>
      <c r="H8" s="15">
        <v>25</v>
      </c>
      <c r="I8" s="9" t="s">
        <v>1513</v>
      </c>
      <c r="J8" s="9"/>
      <c r="K8" s="16"/>
      <c r="L8" s="16"/>
      <c r="M8" s="16"/>
      <c r="N8" s="16"/>
      <c r="O8" s="16" t="s">
        <v>246</v>
      </c>
      <c r="P8" s="16"/>
      <c r="Q8" s="16"/>
      <c r="R8" s="16"/>
      <c r="S8" s="16"/>
      <c r="T8" s="16"/>
      <c r="U8" s="16"/>
      <c r="V8" s="16"/>
      <c r="W8" s="594"/>
      <c r="X8" s="595"/>
      <c r="Y8" s="596"/>
      <c r="Z8" s="451"/>
    </row>
    <row r="9" spans="1:26" s="14" customFormat="1" ht="24">
      <c r="A9" s="23" t="s">
        <v>66</v>
      </c>
      <c r="B9" s="551" t="s">
        <v>1518</v>
      </c>
      <c r="C9" s="551"/>
      <c r="D9" s="551"/>
      <c r="E9" s="551"/>
      <c r="F9" s="551"/>
      <c r="G9" s="551"/>
      <c r="H9" s="15">
        <v>10</v>
      </c>
      <c r="I9" s="9" t="s">
        <v>1517</v>
      </c>
      <c r="J9" s="9"/>
      <c r="K9" s="16"/>
      <c r="L9" s="16"/>
      <c r="M9" s="16"/>
      <c r="N9" s="16"/>
      <c r="O9" s="16"/>
      <c r="P9" s="16" t="s">
        <v>246</v>
      </c>
      <c r="Q9" s="16"/>
      <c r="R9" s="16"/>
      <c r="S9" s="16"/>
      <c r="T9" s="16"/>
      <c r="U9" s="16"/>
      <c r="V9" s="16"/>
      <c r="W9" s="597"/>
      <c r="X9" s="597"/>
      <c r="Y9" s="597"/>
      <c r="Z9" s="451"/>
    </row>
    <row r="10" spans="1:26" s="14" customFormat="1" ht="24">
      <c r="A10" s="23" t="s">
        <v>68</v>
      </c>
      <c r="B10" s="530" t="s">
        <v>1516</v>
      </c>
      <c r="C10" s="531"/>
      <c r="D10" s="531"/>
      <c r="E10" s="531"/>
      <c r="F10" s="531"/>
      <c r="G10" s="532"/>
      <c r="H10" s="15">
        <v>15</v>
      </c>
      <c r="I10" s="9" t="s">
        <v>1515</v>
      </c>
      <c r="J10" s="9"/>
      <c r="K10" s="16"/>
      <c r="L10" s="16"/>
      <c r="M10" s="16"/>
      <c r="N10" s="16"/>
      <c r="O10" s="16"/>
      <c r="P10" s="16"/>
      <c r="Q10" s="16" t="s">
        <v>246</v>
      </c>
      <c r="S10" s="16"/>
      <c r="T10" s="16"/>
      <c r="U10" s="16"/>
      <c r="V10" s="16"/>
      <c r="W10" s="518"/>
      <c r="X10" s="518"/>
      <c r="Y10" s="518"/>
      <c r="Z10" s="451"/>
    </row>
    <row r="11" spans="1:26" s="14" customFormat="1" ht="20.25" customHeight="1">
      <c r="A11" s="23" t="s">
        <v>70</v>
      </c>
      <c r="B11" s="682" t="s">
        <v>1514</v>
      </c>
      <c r="C11" s="683"/>
      <c r="D11" s="683"/>
      <c r="E11" s="683"/>
      <c r="F11" s="683"/>
      <c r="G11" s="684"/>
      <c r="H11" s="283">
        <v>10</v>
      </c>
      <c r="I11" s="9" t="s">
        <v>1513</v>
      </c>
      <c r="J11" s="9"/>
      <c r="K11" s="16"/>
      <c r="L11" s="16"/>
      <c r="M11" s="16"/>
      <c r="N11" s="16"/>
      <c r="P11" s="16"/>
      <c r="Q11" s="16"/>
      <c r="R11" s="16" t="s">
        <v>246</v>
      </c>
      <c r="S11" s="16"/>
      <c r="T11" s="16"/>
      <c r="U11" s="16"/>
      <c r="V11" s="16"/>
      <c r="W11" s="518"/>
      <c r="X11" s="518"/>
      <c r="Y11" s="518"/>
      <c r="Z11" s="451"/>
    </row>
    <row r="12" spans="1:26" s="14" customFormat="1" ht="24">
      <c r="A12" s="23" t="s">
        <v>153</v>
      </c>
      <c r="B12" s="685" t="s">
        <v>1512</v>
      </c>
      <c r="C12" s="686"/>
      <c r="D12" s="686"/>
      <c r="E12" s="686"/>
      <c r="F12" s="686"/>
      <c r="G12" s="687"/>
      <c r="H12" s="283">
        <v>20</v>
      </c>
      <c r="I12" s="9" t="s">
        <v>595</v>
      </c>
      <c r="J12" s="9"/>
      <c r="K12" s="16"/>
      <c r="L12" s="16"/>
      <c r="M12" s="16"/>
      <c r="N12" s="16"/>
      <c r="O12" s="16"/>
      <c r="Q12" s="16"/>
      <c r="R12" s="16"/>
      <c r="S12" s="16" t="s">
        <v>246</v>
      </c>
      <c r="T12" s="16"/>
      <c r="U12" s="16"/>
      <c r="V12" s="16"/>
      <c r="W12" s="597"/>
      <c r="X12" s="597"/>
      <c r="Y12" s="597"/>
      <c r="Z12" s="451"/>
    </row>
    <row r="13" spans="1:26" s="14" customFormat="1" ht="45">
      <c r="A13" s="23" t="s">
        <v>155</v>
      </c>
      <c r="B13" s="685" t="s">
        <v>1511</v>
      </c>
      <c r="C13" s="686"/>
      <c r="D13" s="686"/>
      <c r="E13" s="686"/>
      <c r="F13" s="686"/>
      <c r="G13" s="687"/>
      <c r="H13" s="282">
        <v>20</v>
      </c>
      <c r="I13" s="9" t="s">
        <v>1510</v>
      </c>
      <c r="J13" s="9"/>
      <c r="K13" s="16"/>
      <c r="L13" s="16"/>
      <c r="M13" s="16"/>
      <c r="N13" s="16"/>
      <c r="O13" s="16"/>
      <c r="P13" s="16"/>
      <c r="R13" s="16"/>
      <c r="S13" s="16"/>
      <c r="T13" s="16" t="s">
        <v>246</v>
      </c>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customHeight="1"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3"/>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37"/>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3"/>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37"/>
      <c r="L19" s="540"/>
      <c r="M19" s="538"/>
      <c r="N19" s="548"/>
      <c r="O19" s="549"/>
      <c r="P19" s="549"/>
      <c r="Q19" s="549"/>
      <c r="R19" s="549"/>
      <c r="S19" s="549"/>
      <c r="T19" s="549"/>
      <c r="U19" s="549"/>
      <c r="V19" s="550"/>
      <c r="W19" s="548"/>
      <c r="X19" s="549"/>
      <c r="Y19" s="550"/>
    </row>
    <row r="20" spans="1:25" ht="18.75" thickTop="1"/>
  </sheetData>
  <mergeCells count="43">
    <mergeCell ref="H5:Y5"/>
    <mergeCell ref="A6:A7"/>
    <mergeCell ref="B6:G7"/>
    <mergeCell ref="H6:H7"/>
    <mergeCell ref="I6:I7"/>
    <mergeCell ref="J6:J7"/>
    <mergeCell ref="A1:Y1"/>
    <mergeCell ref="Z1:Z15"/>
    <mergeCell ref="A2:Y2"/>
    <mergeCell ref="A3:E3"/>
    <mergeCell ref="F3:G3"/>
    <mergeCell ref="H3:Y4"/>
    <mergeCell ref="A4:E4"/>
    <mergeCell ref="F4:G4"/>
    <mergeCell ref="A5:E5"/>
    <mergeCell ref="W12:Y12"/>
    <mergeCell ref="B12:G12"/>
    <mergeCell ref="W6:Y7"/>
    <mergeCell ref="W8:Y8"/>
    <mergeCell ref="W9:Y9"/>
    <mergeCell ref="K6:V6"/>
    <mergeCell ref="F5:G5"/>
    <mergeCell ref="W10:Y10"/>
    <mergeCell ref="B8:G8"/>
    <mergeCell ref="W11:Y11"/>
    <mergeCell ref="J15:M15"/>
    <mergeCell ref="N15:V19"/>
    <mergeCell ref="W15:Y19"/>
    <mergeCell ref="E16:F19"/>
    <mergeCell ref="G16:I19"/>
    <mergeCell ref="J16:J17"/>
    <mergeCell ref="B13:G13"/>
    <mergeCell ref="B10:G10"/>
    <mergeCell ref="W13:Y13"/>
    <mergeCell ref="K16:M17"/>
    <mergeCell ref="J18:J19"/>
    <mergeCell ref="K18:M19"/>
    <mergeCell ref="B9:G9"/>
    <mergeCell ref="B14:G14"/>
    <mergeCell ref="W14:Y14"/>
    <mergeCell ref="A15:D19"/>
    <mergeCell ref="E15:I15"/>
    <mergeCell ref="B11:G11"/>
  </mergeCells>
  <printOptions horizontalCentered="1" verticalCentered="1"/>
  <pageMargins left="0.7" right="0.7" top="0.75" bottom="0.75" header="0.3" footer="0.3"/>
  <pageSetup paperSize="9" scale="45"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F131-9EA0-49F9-9A80-7E4E0162B5DD}">
  <dimension ref="A1:Z20"/>
  <sheetViews>
    <sheetView rightToLeft="1" view="pageBreakPreview" zoomScale="70" zoomScaleNormal="90" zoomScaleSheetLayoutView="70" workbookViewId="0">
      <selection activeCell="O10" sqref="O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7.570312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1503</v>
      </c>
      <c r="B3" s="657"/>
      <c r="C3" s="657"/>
      <c r="D3" s="657"/>
      <c r="E3" s="658"/>
      <c r="F3" s="659" t="s">
        <v>178</v>
      </c>
      <c r="G3" s="660"/>
      <c r="H3" s="661" t="s">
        <v>1504</v>
      </c>
      <c r="I3" s="662"/>
      <c r="J3" s="662"/>
      <c r="K3" s="662"/>
      <c r="L3" s="662"/>
      <c r="M3" s="662"/>
      <c r="N3" s="662"/>
      <c r="O3" s="662"/>
      <c r="P3" s="662"/>
      <c r="Q3" s="662"/>
      <c r="R3" s="662"/>
      <c r="S3" s="662"/>
      <c r="T3" s="662"/>
      <c r="U3" s="662"/>
      <c r="V3" s="662"/>
      <c r="W3" s="662"/>
      <c r="X3" s="662"/>
      <c r="Y3" s="663"/>
      <c r="Z3" s="451"/>
    </row>
    <row r="4" spans="1:26" s="3" customFormat="1" ht="28.5">
      <c r="A4" s="667" t="s">
        <v>1489</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1505</v>
      </c>
      <c r="B5" s="673"/>
      <c r="C5" s="673"/>
      <c r="D5" s="673"/>
      <c r="E5" s="674"/>
      <c r="F5" s="675" t="s">
        <v>1491</v>
      </c>
      <c r="G5" s="675"/>
      <c r="H5" s="676" t="s">
        <v>1492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1506</v>
      </c>
      <c r="C8" s="551"/>
      <c r="D8" s="551"/>
      <c r="E8" s="551"/>
      <c r="F8" s="551"/>
      <c r="G8" s="551"/>
      <c r="H8" s="15">
        <v>10</v>
      </c>
      <c r="I8" s="9" t="s">
        <v>1494</v>
      </c>
      <c r="J8" s="9"/>
      <c r="K8" s="16" t="s">
        <v>246</v>
      </c>
      <c r="L8" s="16"/>
      <c r="M8" s="16"/>
      <c r="N8" s="16"/>
      <c r="O8" s="16"/>
      <c r="P8" s="16"/>
      <c r="Q8" s="16"/>
      <c r="R8" s="16"/>
      <c r="S8" s="16"/>
      <c r="T8" s="16"/>
      <c r="U8" s="16"/>
      <c r="V8" s="16"/>
      <c r="W8" s="594"/>
      <c r="X8" s="595"/>
      <c r="Y8" s="596"/>
      <c r="Z8" s="451"/>
    </row>
    <row r="9" spans="1:26" s="14" customFormat="1" ht="45">
      <c r="A9" s="23" t="s">
        <v>66</v>
      </c>
      <c r="B9" s="551" t="s">
        <v>1507</v>
      </c>
      <c r="C9" s="551"/>
      <c r="D9" s="551"/>
      <c r="E9" s="551"/>
      <c r="F9" s="551"/>
      <c r="G9" s="551"/>
      <c r="H9" s="15">
        <v>40</v>
      </c>
      <c r="I9" s="9" t="s">
        <v>1494</v>
      </c>
      <c r="J9" s="9"/>
      <c r="K9" s="16"/>
      <c r="L9" s="16" t="s">
        <v>246</v>
      </c>
      <c r="M9" s="16" t="s">
        <v>246</v>
      </c>
      <c r="N9" s="16" t="s">
        <v>246</v>
      </c>
      <c r="O9" s="16" t="s">
        <v>246</v>
      </c>
      <c r="P9" s="16"/>
      <c r="Q9" s="16"/>
      <c r="R9" s="16"/>
      <c r="S9" s="16"/>
      <c r="T9" s="16"/>
      <c r="U9" s="16"/>
      <c r="V9" s="16"/>
      <c r="W9" s="597"/>
      <c r="X9" s="597"/>
      <c r="Y9" s="597"/>
      <c r="Z9" s="451"/>
    </row>
    <row r="10" spans="1:26" s="14" customFormat="1" ht="45">
      <c r="A10" s="23" t="s">
        <v>68</v>
      </c>
      <c r="B10" s="551" t="s">
        <v>1508</v>
      </c>
      <c r="C10" s="551"/>
      <c r="D10" s="551"/>
      <c r="E10" s="551"/>
      <c r="F10" s="551"/>
      <c r="G10" s="551"/>
      <c r="H10" s="15">
        <v>40</v>
      </c>
      <c r="I10" s="9" t="s">
        <v>1494</v>
      </c>
      <c r="J10" s="9"/>
      <c r="K10" s="16"/>
      <c r="L10" s="16"/>
      <c r="M10" s="16" t="s">
        <v>246</v>
      </c>
      <c r="N10" s="16" t="s">
        <v>246</v>
      </c>
      <c r="O10" s="16" t="s">
        <v>246</v>
      </c>
      <c r="P10" s="16" t="s">
        <v>246</v>
      </c>
      <c r="Q10" s="16" t="s">
        <v>246</v>
      </c>
      <c r="R10" s="16" t="s">
        <v>246</v>
      </c>
      <c r="S10" s="16" t="s">
        <v>246</v>
      </c>
      <c r="T10" s="16" t="s">
        <v>246</v>
      </c>
      <c r="U10" s="16" t="s">
        <v>246</v>
      </c>
      <c r="V10" s="16"/>
      <c r="W10" s="518"/>
      <c r="X10" s="518"/>
      <c r="Y10" s="518"/>
      <c r="Z10" s="451"/>
    </row>
    <row r="11" spans="1:26" s="14" customFormat="1" ht="45">
      <c r="A11" s="23" t="s">
        <v>70</v>
      </c>
      <c r="B11" s="551" t="s">
        <v>1509</v>
      </c>
      <c r="C11" s="551"/>
      <c r="D11" s="551"/>
      <c r="E11" s="551"/>
      <c r="F11" s="551"/>
      <c r="G11" s="551"/>
      <c r="H11" s="15">
        <v>10</v>
      </c>
      <c r="I11" s="9" t="s">
        <v>1494</v>
      </c>
      <c r="J11" s="9"/>
      <c r="K11" s="16"/>
      <c r="L11" s="16"/>
      <c r="M11" s="16"/>
      <c r="N11" s="16"/>
      <c r="O11" s="16"/>
      <c r="P11" s="16"/>
      <c r="Q11" s="16"/>
      <c r="R11" s="16"/>
      <c r="S11" s="16"/>
      <c r="T11" s="16"/>
      <c r="U11" s="16" t="s">
        <v>246</v>
      </c>
      <c r="V11" s="16" t="s">
        <v>246</v>
      </c>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487B-2A5F-4E4B-A942-8CB23820BE93}">
  <dimension ref="A1:Z20"/>
  <sheetViews>
    <sheetView rightToLeft="1" view="pageBreakPreview" zoomScale="70" zoomScaleNormal="90" zoomScaleSheetLayoutView="70" workbookViewId="0">
      <selection activeCell="A15" sqref="A15:D1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7.570312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1487</v>
      </c>
      <c r="B3" s="657"/>
      <c r="C3" s="657"/>
      <c r="D3" s="657"/>
      <c r="E3" s="658"/>
      <c r="F3" s="659" t="s">
        <v>178</v>
      </c>
      <c r="G3" s="660"/>
      <c r="H3" s="661" t="s">
        <v>1488</v>
      </c>
      <c r="I3" s="662"/>
      <c r="J3" s="662"/>
      <c r="K3" s="662"/>
      <c r="L3" s="662"/>
      <c r="M3" s="662"/>
      <c r="N3" s="662"/>
      <c r="O3" s="662"/>
      <c r="P3" s="662"/>
      <c r="Q3" s="662"/>
      <c r="R3" s="662"/>
      <c r="S3" s="662"/>
      <c r="T3" s="662"/>
      <c r="U3" s="662"/>
      <c r="V3" s="662"/>
      <c r="W3" s="662"/>
      <c r="X3" s="662"/>
      <c r="Y3" s="663"/>
      <c r="Z3" s="451"/>
    </row>
    <row r="4" spans="1:26" s="3" customFormat="1" ht="28.5">
      <c r="A4" s="667" t="s">
        <v>1489</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1490</v>
      </c>
      <c r="B5" s="673"/>
      <c r="C5" s="673"/>
      <c r="D5" s="673"/>
      <c r="E5" s="674"/>
      <c r="F5" s="675" t="s">
        <v>1491</v>
      </c>
      <c r="G5" s="675"/>
      <c r="H5" s="676" t="s">
        <v>1492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1493</v>
      </c>
      <c r="C8" s="551"/>
      <c r="D8" s="551"/>
      <c r="E8" s="551"/>
      <c r="F8" s="551"/>
      <c r="G8" s="551"/>
      <c r="H8" s="15">
        <v>10</v>
      </c>
      <c r="I8" s="9" t="s">
        <v>1494</v>
      </c>
      <c r="J8" s="9"/>
      <c r="K8" s="16" t="s">
        <v>246</v>
      </c>
      <c r="L8" s="16"/>
      <c r="M8" s="16"/>
      <c r="N8" s="16"/>
      <c r="O8" s="16"/>
      <c r="P8" s="16"/>
      <c r="Q8" s="16"/>
      <c r="R8" s="16"/>
      <c r="S8" s="16"/>
      <c r="T8" s="16"/>
      <c r="U8" s="16"/>
      <c r="V8" s="16"/>
      <c r="W8" s="594"/>
      <c r="X8" s="595"/>
      <c r="Y8" s="596"/>
      <c r="Z8" s="451"/>
    </row>
    <row r="9" spans="1:26" s="14" customFormat="1" ht="24">
      <c r="A9" s="23" t="s">
        <v>66</v>
      </c>
      <c r="B9" s="551" t="s">
        <v>1495</v>
      </c>
      <c r="C9" s="551"/>
      <c r="D9" s="551"/>
      <c r="E9" s="551"/>
      <c r="F9" s="551"/>
      <c r="G9" s="551"/>
      <c r="H9" s="15">
        <v>10</v>
      </c>
      <c r="I9" s="9" t="s">
        <v>1403</v>
      </c>
      <c r="J9" s="9"/>
      <c r="K9" s="16"/>
      <c r="L9" s="16" t="s">
        <v>246</v>
      </c>
      <c r="M9" s="16"/>
      <c r="N9" s="16"/>
      <c r="O9" s="16"/>
      <c r="P9" s="16"/>
      <c r="Q9" s="16"/>
      <c r="R9" s="16"/>
      <c r="S9" s="16"/>
      <c r="T9" s="16"/>
      <c r="U9" s="16"/>
      <c r="V9" s="16"/>
      <c r="W9" s="597"/>
      <c r="X9" s="597"/>
      <c r="Y9" s="597"/>
      <c r="Z9" s="451"/>
    </row>
    <row r="10" spans="1:26" s="14" customFormat="1" ht="45">
      <c r="A10" s="23" t="s">
        <v>68</v>
      </c>
      <c r="B10" s="551" t="s">
        <v>1496</v>
      </c>
      <c r="C10" s="551"/>
      <c r="D10" s="551"/>
      <c r="E10" s="551"/>
      <c r="F10" s="551"/>
      <c r="G10" s="551"/>
      <c r="H10" s="15">
        <v>25</v>
      </c>
      <c r="I10" s="9" t="s">
        <v>1494</v>
      </c>
      <c r="J10" s="9"/>
      <c r="K10" s="16"/>
      <c r="L10" s="16"/>
      <c r="M10" s="16" t="s">
        <v>246</v>
      </c>
      <c r="N10" s="16" t="s">
        <v>246</v>
      </c>
      <c r="O10" s="16" t="s">
        <v>246</v>
      </c>
      <c r="P10" s="16" t="s">
        <v>246</v>
      </c>
      <c r="Q10" s="16" t="s">
        <v>246</v>
      </c>
      <c r="R10" s="16" t="s">
        <v>246</v>
      </c>
      <c r="S10" s="16" t="s">
        <v>246</v>
      </c>
      <c r="T10" s="16" t="s">
        <v>246</v>
      </c>
      <c r="U10" s="16" t="s">
        <v>246</v>
      </c>
      <c r="V10" s="16"/>
      <c r="W10" s="518"/>
      <c r="X10" s="518"/>
      <c r="Y10" s="518"/>
      <c r="Z10" s="451"/>
    </row>
    <row r="11" spans="1:26" s="14" customFormat="1" ht="24">
      <c r="A11" s="23" t="s">
        <v>70</v>
      </c>
      <c r="B11" s="551" t="s">
        <v>1497</v>
      </c>
      <c r="C11" s="551"/>
      <c r="D11" s="551"/>
      <c r="E11" s="551"/>
      <c r="F11" s="551"/>
      <c r="G11" s="551"/>
      <c r="H11" s="15">
        <v>10</v>
      </c>
      <c r="I11" s="9" t="s">
        <v>1498</v>
      </c>
      <c r="J11" s="9"/>
      <c r="K11" s="16"/>
      <c r="L11" s="16"/>
      <c r="M11" s="16" t="s">
        <v>246</v>
      </c>
      <c r="N11" s="16"/>
      <c r="O11" s="16"/>
      <c r="P11" s="16"/>
      <c r="Q11" s="16"/>
      <c r="R11" s="16"/>
      <c r="S11" s="16"/>
      <c r="T11" s="16"/>
      <c r="U11" s="16"/>
      <c r="V11" s="16"/>
      <c r="W11" s="518"/>
      <c r="X11" s="518"/>
      <c r="Y11" s="518"/>
      <c r="Z11" s="451"/>
    </row>
    <row r="12" spans="1:26" s="14" customFormat="1" ht="24">
      <c r="A12" s="23" t="s">
        <v>153</v>
      </c>
      <c r="B12" s="551" t="s">
        <v>1499</v>
      </c>
      <c r="C12" s="551"/>
      <c r="D12" s="551"/>
      <c r="E12" s="551"/>
      <c r="F12" s="551"/>
      <c r="G12" s="551"/>
      <c r="H12" s="15">
        <v>25</v>
      </c>
      <c r="I12" s="9" t="s">
        <v>1500</v>
      </c>
      <c r="J12" s="9"/>
      <c r="K12" s="16"/>
      <c r="L12" s="16"/>
      <c r="M12" s="16"/>
      <c r="N12" s="16" t="s">
        <v>246</v>
      </c>
      <c r="O12" s="16" t="s">
        <v>246</v>
      </c>
      <c r="P12" s="16" t="s">
        <v>246</v>
      </c>
      <c r="Q12" s="16" t="s">
        <v>246</v>
      </c>
      <c r="R12" s="16" t="s">
        <v>246</v>
      </c>
      <c r="S12" s="16" t="s">
        <v>246</v>
      </c>
      <c r="T12" s="16" t="s">
        <v>246</v>
      </c>
      <c r="U12" s="16"/>
      <c r="V12" s="16"/>
      <c r="W12" s="597"/>
      <c r="X12" s="597"/>
      <c r="Y12" s="597"/>
      <c r="Z12" s="451"/>
    </row>
    <row r="13" spans="1:26" s="14" customFormat="1" ht="24">
      <c r="A13" s="23" t="s">
        <v>155</v>
      </c>
      <c r="B13" s="530" t="s">
        <v>1501</v>
      </c>
      <c r="C13" s="531"/>
      <c r="D13" s="531"/>
      <c r="E13" s="531"/>
      <c r="F13" s="531"/>
      <c r="G13" s="532"/>
      <c r="H13" s="15">
        <v>10</v>
      </c>
      <c r="I13" s="9" t="s">
        <v>1500</v>
      </c>
      <c r="J13" s="9"/>
      <c r="K13" s="16"/>
      <c r="L13" s="16"/>
      <c r="M13" s="16"/>
      <c r="N13" s="16"/>
      <c r="O13" s="16"/>
      <c r="P13" s="16"/>
      <c r="Q13" s="16"/>
      <c r="R13" s="16"/>
      <c r="S13" s="16"/>
      <c r="T13" s="16"/>
      <c r="U13" s="16" t="s">
        <v>246</v>
      </c>
      <c r="V13" s="16"/>
      <c r="W13" s="518"/>
      <c r="X13" s="518"/>
      <c r="Y13" s="518"/>
      <c r="Z13" s="451"/>
    </row>
    <row r="14" spans="1:26" s="14" customFormat="1" ht="45.75" thickBot="1">
      <c r="A14" s="23" t="s">
        <v>156</v>
      </c>
      <c r="B14" s="551" t="s">
        <v>1502</v>
      </c>
      <c r="C14" s="551"/>
      <c r="D14" s="551"/>
      <c r="E14" s="551"/>
      <c r="F14" s="551"/>
      <c r="G14" s="551"/>
      <c r="H14" s="15">
        <v>10</v>
      </c>
      <c r="I14" s="9" t="s">
        <v>1494</v>
      </c>
      <c r="J14" s="9"/>
      <c r="K14" s="232"/>
      <c r="L14" s="232"/>
      <c r="M14" s="232"/>
      <c r="N14" s="232"/>
      <c r="O14" s="232"/>
      <c r="P14" s="232"/>
      <c r="Q14" s="232"/>
      <c r="R14" s="232"/>
      <c r="S14" s="232"/>
      <c r="T14" s="232"/>
      <c r="U14" s="232"/>
      <c r="V14" s="232" t="s">
        <v>246</v>
      </c>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02230-BCC6-4A54-80F2-4F4B3C5A6289}">
  <dimension ref="A1:Z20"/>
  <sheetViews>
    <sheetView rightToLeft="1" view="pageBreakPreview" zoomScale="70" zoomScaleNormal="90" zoomScaleSheetLayoutView="70" workbookViewId="0">
      <selection activeCell="K11" sqref="K11:V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1479</v>
      </c>
      <c r="B3" s="657"/>
      <c r="C3" s="657"/>
      <c r="D3" s="657"/>
      <c r="E3" s="658"/>
      <c r="F3" s="659" t="s">
        <v>178</v>
      </c>
      <c r="G3" s="660"/>
      <c r="H3" s="661" t="s">
        <v>1480</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1481</v>
      </c>
      <c r="B5" s="673"/>
      <c r="C5" s="673"/>
      <c r="D5" s="673"/>
      <c r="E5" s="674"/>
      <c r="F5" s="675" t="s">
        <v>56</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75">
      <c r="A8" s="23" t="s">
        <v>28</v>
      </c>
      <c r="B8" s="515" t="s">
        <v>1482</v>
      </c>
      <c r="C8" s="516"/>
      <c r="D8" s="516"/>
      <c r="E8" s="516"/>
      <c r="F8" s="516"/>
      <c r="G8" s="517"/>
      <c r="H8" s="15">
        <v>30</v>
      </c>
      <c r="I8" s="205" t="s">
        <v>1483</v>
      </c>
      <c r="J8" s="9"/>
      <c r="K8" s="16" t="s">
        <v>246</v>
      </c>
      <c r="L8" s="16" t="s">
        <v>246</v>
      </c>
      <c r="M8" s="16" t="s">
        <v>246</v>
      </c>
      <c r="N8" s="16" t="s">
        <v>246</v>
      </c>
      <c r="O8" s="16" t="s">
        <v>246</v>
      </c>
      <c r="P8" s="16" t="s">
        <v>246</v>
      </c>
      <c r="Q8" s="16" t="s">
        <v>246</v>
      </c>
      <c r="R8" s="16" t="s">
        <v>246</v>
      </c>
      <c r="S8" s="16" t="s">
        <v>246</v>
      </c>
      <c r="T8" s="16" t="s">
        <v>246</v>
      </c>
      <c r="U8" s="16" t="s">
        <v>246</v>
      </c>
      <c r="V8" s="16" t="s">
        <v>246</v>
      </c>
      <c r="W8" s="594"/>
      <c r="X8" s="595"/>
      <c r="Y8" s="596"/>
      <c r="Z8" s="451"/>
    </row>
    <row r="9" spans="1:26" s="14" customFormat="1" ht="24.75">
      <c r="A9" s="23" t="s">
        <v>66</v>
      </c>
      <c r="B9" s="688" t="s">
        <v>1484</v>
      </c>
      <c r="C9" s="689"/>
      <c r="D9" s="689"/>
      <c r="E9" s="689"/>
      <c r="F9" s="689"/>
      <c r="G9" s="690"/>
      <c r="H9" s="15">
        <v>30</v>
      </c>
      <c r="I9" s="205" t="s">
        <v>1483</v>
      </c>
      <c r="J9" s="9"/>
      <c r="K9" s="16" t="s">
        <v>246</v>
      </c>
      <c r="L9" s="16" t="s">
        <v>246</v>
      </c>
      <c r="M9" s="16" t="s">
        <v>246</v>
      </c>
      <c r="N9" s="16" t="s">
        <v>246</v>
      </c>
      <c r="O9" s="16" t="s">
        <v>246</v>
      </c>
      <c r="P9" s="16" t="s">
        <v>246</v>
      </c>
      <c r="Q9" s="16" t="s">
        <v>246</v>
      </c>
      <c r="R9" s="16" t="s">
        <v>246</v>
      </c>
      <c r="S9" s="16" t="s">
        <v>246</v>
      </c>
      <c r="T9" s="16" t="s">
        <v>246</v>
      </c>
      <c r="U9" s="16" t="s">
        <v>246</v>
      </c>
      <c r="V9" s="16" t="s">
        <v>246</v>
      </c>
      <c r="W9" s="597"/>
      <c r="X9" s="597"/>
      <c r="Y9" s="597"/>
      <c r="Z9" s="451"/>
    </row>
    <row r="10" spans="1:26" s="14" customFormat="1" ht="24.75">
      <c r="A10" s="23" t="s">
        <v>68</v>
      </c>
      <c r="B10" s="688" t="s">
        <v>1485</v>
      </c>
      <c r="C10" s="689"/>
      <c r="D10" s="689"/>
      <c r="E10" s="689"/>
      <c r="F10" s="689"/>
      <c r="G10" s="690"/>
      <c r="H10" s="15">
        <v>40</v>
      </c>
      <c r="I10" s="281" t="s">
        <v>1486</v>
      </c>
      <c r="J10" s="9"/>
      <c r="K10" s="16" t="s">
        <v>246</v>
      </c>
      <c r="L10" s="16" t="s">
        <v>246</v>
      </c>
      <c r="M10" s="16" t="s">
        <v>246</v>
      </c>
      <c r="N10" s="16" t="s">
        <v>246</v>
      </c>
      <c r="O10" s="16" t="s">
        <v>246</v>
      </c>
      <c r="P10" s="16" t="s">
        <v>246</v>
      </c>
      <c r="Q10" s="16" t="s">
        <v>246</v>
      </c>
      <c r="R10" s="16" t="s">
        <v>246</v>
      </c>
      <c r="S10" s="16" t="s">
        <v>246</v>
      </c>
      <c r="T10" s="16" t="s">
        <v>246</v>
      </c>
      <c r="U10" s="16" t="s">
        <v>246</v>
      </c>
      <c r="V10" s="16" t="s">
        <v>246</v>
      </c>
      <c r="W10" s="518"/>
      <c r="X10" s="518"/>
      <c r="Y10" s="518"/>
      <c r="Z10" s="451"/>
    </row>
    <row r="11" spans="1:26" s="14" customFormat="1" ht="24.75">
      <c r="A11" s="23" t="s">
        <v>70</v>
      </c>
      <c r="B11" s="551"/>
      <c r="C11" s="551"/>
      <c r="D11" s="551"/>
      <c r="E11" s="551"/>
      <c r="F11" s="551"/>
      <c r="G11" s="551"/>
      <c r="H11" s="15"/>
      <c r="I11" s="205"/>
      <c r="J11" s="9"/>
      <c r="K11" s="16"/>
      <c r="L11" s="16"/>
      <c r="M11" s="16"/>
      <c r="N11" s="16"/>
      <c r="O11" s="16"/>
      <c r="P11" s="16"/>
      <c r="Q11" s="16"/>
      <c r="R11" s="16"/>
      <c r="S11" s="16"/>
      <c r="T11" s="16"/>
      <c r="U11" s="16"/>
      <c r="V11" s="16"/>
      <c r="W11" s="597"/>
      <c r="X11" s="597"/>
      <c r="Y11" s="597"/>
      <c r="Z11" s="451"/>
    </row>
    <row r="12" spans="1:26" s="14" customFormat="1" ht="24">
      <c r="A12" s="23" t="s">
        <v>153</v>
      </c>
      <c r="B12" s="530"/>
      <c r="C12" s="531"/>
      <c r="D12" s="531"/>
      <c r="E12" s="531"/>
      <c r="F12" s="531"/>
      <c r="G12" s="532"/>
      <c r="H12" s="15"/>
      <c r="J12" s="9"/>
      <c r="K12" s="16"/>
      <c r="L12" s="16"/>
      <c r="M12" s="16"/>
      <c r="N12" s="16"/>
      <c r="O12" s="16"/>
      <c r="P12" s="16"/>
      <c r="Q12" s="16"/>
      <c r="R12" s="16"/>
      <c r="S12" s="16"/>
      <c r="T12" s="16"/>
      <c r="U12" s="16"/>
      <c r="V12" s="16"/>
      <c r="W12" s="518"/>
      <c r="X12" s="518"/>
      <c r="Y12" s="518"/>
      <c r="Z12" s="451"/>
    </row>
    <row r="13" spans="1:26" s="14" customFormat="1" ht="24">
      <c r="A13" s="23" t="s">
        <v>155</v>
      </c>
      <c r="B13" s="271"/>
      <c r="C13" s="272"/>
      <c r="D13" s="272"/>
      <c r="E13" s="272"/>
      <c r="F13" s="272"/>
      <c r="G13" s="273"/>
      <c r="H13" s="15">
        <f>SUM(H8:H12)</f>
        <v>100</v>
      </c>
      <c r="I13" s="9"/>
      <c r="J13" s="9"/>
      <c r="K13" s="16"/>
      <c r="L13" s="16"/>
      <c r="M13" s="16"/>
      <c r="N13" s="16"/>
      <c r="O13" s="16"/>
      <c r="P13" s="16"/>
      <c r="Q13" s="16"/>
      <c r="R13" s="16"/>
      <c r="S13" s="16"/>
      <c r="T13" s="16"/>
      <c r="U13" s="16"/>
      <c r="V13" s="16"/>
      <c r="W13" s="25"/>
      <c r="X13" s="26"/>
      <c r="Y13" s="26"/>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1">
    <mergeCell ref="B14:G14"/>
    <mergeCell ref="W14:Y14"/>
    <mergeCell ref="W15:Y19"/>
    <mergeCell ref="E16:F19"/>
    <mergeCell ref="G16:I19"/>
    <mergeCell ref="J16:J17"/>
    <mergeCell ref="K16:M17"/>
    <mergeCell ref="J18:J19"/>
    <mergeCell ref="K18:M19"/>
    <mergeCell ref="A15:D19"/>
    <mergeCell ref="E15:I15"/>
    <mergeCell ref="J15:M15"/>
    <mergeCell ref="N15:V19"/>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C453-E522-4639-BCAB-E22977510C88}">
  <dimension ref="A1:Z23"/>
  <sheetViews>
    <sheetView rightToLeft="1" view="pageBreakPreview" topLeftCell="A7" zoomScale="70" zoomScaleNormal="90" zoomScaleSheetLayoutView="70" workbookViewId="0">
      <selection activeCell="H17" sqref="H17"/>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56.25" customHeight="1" thickTop="1">
      <c r="A3" s="656" t="s">
        <v>1469</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1470</v>
      </c>
      <c r="B5" s="673"/>
      <c r="C5" s="673"/>
      <c r="D5" s="673"/>
      <c r="E5" s="674"/>
      <c r="F5" s="675" t="s">
        <v>1471</v>
      </c>
      <c r="G5" s="675"/>
      <c r="H5" s="676" t="s">
        <v>1472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643" t="s">
        <v>1473</v>
      </c>
      <c r="C8" s="551"/>
      <c r="D8" s="551"/>
      <c r="E8" s="551"/>
      <c r="F8" s="551"/>
      <c r="G8" s="551"/>
      <c r="H8" s="15">
        <v>20</v>
      </c>
      <c r="I8" s="9" t="s">
        <v>1474</v>
      </c>
      <c r="J8" s="9"/>
      <c r="K8" s="16" t="s">
        <v>246</v>
      </c>
      <c r="L8" s="16" t="s">
        <v>246</v>
      </c>
      <c r="M8" s="16" t="s">
        <v>246</v>
      </c>
      <c r="N8" s="16" t="s">
        <v>246</v>
      </c>
      <c r="O8" s="16" t="s">
        <v>246</v>
      </c>
      <c r="P8" s="16" t="s">
        <v>246</v>
      </c>
      <c r="Q8" s="16"/>
      <c r="R8" s="16"/>
      <c r="S8" s="16"/>
      <c r="T8" s="16"/>
      <c r="U8" s="16"/>
      <c r="V8" s="16"/>
      <c r="W8" s="594"/>
      <c r="X8" s="595"/>
      <c r="Y8" s="596"/>
      <c r="Z8" s="451"/>
    </row>
    <row r="9" spans="1:26" s="14" customFormat="1" ht="45">
      <c r="A9" s="23" t="s">
        <v>66</v>
      </c>
      <c r="B9" s="551" t="s">
        <v>1285</v>
      </c>
      <c r="C9" s="551"/>
      <c r="D9" s="551"/>
      <c r="E9" s="551"/>
      <c r="F9" s="551"/>
      <c r="G9" s="551"/>
      <c r="H9" s="15">
        <v>20</v>
      </c>
      <c r="I9" s="9" t="s">
        <v>1475</v>
      </c>
      <c r="J9" s="9"/>
      <c r="K9" s="16" t="s">
        <v>246</v>
      </c>
      <c r="L9" s="16" t="s">
        <v>246</v>
      </c>
      <c r="M9" s="16" t="s">
        <v>246</v>
      </c>
      <c r="N9" s="16" t="s">
        <v>246</v>
      </c>
      <c r="O9" s="16" t="s">
        <v>246</v>
      </c>
      <c r="P9" s="16" t="s">
        <v>246</v>
      </c>
      <c r="Q9" s="16"/>
      <c r="R9" s="16"/>
      <c r="S9" s="16"/>
      <c r="T9" s="16"/>
      <c r="U9" s="16"/>
      <c r="V9" s="16"/>
      <c r="W9" s="597"/>
      <c r="X9" s="597"/>
      <c r="Y9" s="597"/>
      <c r="Z9" s="451"/>
    </row>
    <row r="10" spans="1:26" s="14" customFormat="1" ht="45">
      <c r="A10" s="23" t="s">
        <v>68</v>
      </c>
      <c r="B10" s="551" t="s">
        <v>1287</v>
      </c>
      <c r="C10" s="551"/>
      <c r="D10" s="551"/>
      <c r="E10" s="551"/>
      <c r="F10" s="551"/>
      <c r="G10" s="551"/>
      <c r="H10" s="15">
        <v>15</v>
      </c>
      <c r="I10" s="9" t="s">
        <v>1476</v>
      </c>
      <c r="J10" s="9"/>
      <c r="K10" s="16" t="s">
        <v>246</v>
      </c>
      <c r="L10" s="16" t="s">
        <v>246</v>
      </c>
      <c r="M10" s="16" t="s">
        <v>246</v>
      </c>
      <c r="N10" s="16" t="s">
        <v>246</v>
      </c>
      <c r="O10" s="16" t="s">
        <v>246</v>
      </c>
      <c r="P10" s="16" t="s">
        <v>246</v>
      </c>
      <c r="Q10" s="16"/>
      <c r="R10" s="16"/>
      <c r="S10" s="16"/>
      <c r="T10" s="16"/>
      <c r="U10" s="16"/>
      <c r="V10" s="16"/>
      <c r="W10" s="518"/>
      <c r="X10" s="518"/>
      <c r="Y10" s="518"/>
      <c r="Z10" s="451"/>
    </row>
    <row r="11" spans="1:26" s="14" customFormat="1" ht="24">
      <c r="A11" s="23" t="s">
        <v>70</v>
      </c>
      <c r="B11" s="551" t="s">
        <v>1289</v>
      </c>
      <c r="C11" s="551"/>
      <c r="D11" s="551"/>
      <c r="E11" s="551"/>
      <c r="F11" s="551"/>
      <c r="G11" s="551"/>
      <c r="H11" s="15">
        <v>15</v>
      </c>
      <c r="I11" s="9" t="s">
        <v>1474</v>
      </c>
      <c r="J11" s="9"/>
      <c r="K11" s="16" t="s">
        <v>246</v>
      </c>
      <c r="L11" s="16" t="s">
        <v>246</v>
      </c>
      <c r="M11" s="16" t="s">
        <v>246</v>
      </c>
      <c r="N11" s="16" t="s">
        <v>246</v>
      </c>
      <c r="O11" s="16" t="s">
        <v>246</v>
      </c>
      <c r="P11" s="16" t="s">
        <v>246</v>
      </c>
      <c r="Q11" s="16"/>
      <c r="R11" s="16"/>
      <c r="S11" s="16"/>
      <c r="T11" s="16"/>
      <c r="U11" s="16"/>
      <c r="V11" s="16"/>
      <c r="W11" s="518"/>
      <c r="X11" s="518"/>
      <c r="Y11" s="518"/>
      <c r="Z11" s="451"/>
    </row>
    <row r="12" spans="1:26" s="14" customFormat="1" ht="46.5" customHeight="1">
      <c r="A12" s="23" t="s">
        <v>153</v>
      </c>
      <c r="B12" s="643" t="s">
        <v>1477</v>
      </c>
      <c r="C12" s="551"/>
      <c r="D12" s="551"/>
      <c r="E12" s="551"/>
      <c r="F12" s="551"/>
      <c r="G12" s="551"/>
      <c r="H12" s="15">
        <v>10</v>
      </c>
      <c r="I12" s="9" t="s">
        <v>1478</v>
      </c>
      <c r="J12" s="9"/>
      <c r="K12" s="16" t="s">
        <v>246</v>
      </c>
      <c r="L12" s="16" t="s">
        <v>246</v>
      </c>
      <c r="M12" s="16" t="s">
        <v>246</v>
      </c>
      <c r="N12" s="16" t="s">
        <v>246</v>
      </c>
      <c r="O12" s="16" t="s">
        <v>246</v>
      </c>
      <c r="P12" s="16" t="s">
        <v>246</v>
      </c>
      <c r="Q12" s="16"/>
      <c r="R12" s="16"/>
      <c r="S12" s="16"/>
      <c r="T12" s="16"/>
      <c r="U12" s="16"/>
      <c r="V12" s="16"/>
      <c r="W12" s="597"/>
      <c r="X12" s="597"/>
      <c r="Y12" s="597"/>
      <c r="Z12" s="451"/>
    </row>
    <row r="13" spans="1:26" s="14" customFormat="1" ht="45.75" customHeight="1">
      <c r="A13" s="23" t="s">
        <v>155</v>
      </c>
      <c r="B13" s="551" t="s">
        <v>1292</v>
      </c>
      <c r="C13" s="551"/>
      <c r="D13" s="551"/>
      <c r="E13" s="551"/>
      <c r="F13" s="551"/>
      <c r="G13" s="551"/>
      <c r="H13" s="15">
        <v>10</v>
      </c>
      <c r="I13" s="9" t="s">
        <v>1474</v>
      </c>
      <c r="J13" s="9"/>
      <c r="K13" s="16" t="s">
        <v>246</v>
      </c>
      <c r="L13" s="16" t="s">
        <v>246</v>
      </c>
      <c r="M13" s="16" t="s">
        <v>246</v>
      </c>
      <c r="N13" s="16" t="s">
        <v>246</v>
      </c>
      <c r="O13" s="16" t="s">
        <v>246</v>
      </c>
      <c r="P13" s="16" t="s">
        <v>246</v>
      </c>
      <c r="Q13" s="16"/>
      <c r="R13" s="16"/>
      <c r="S13" s="16"/>
      <c r="T13" s="16"/>
      <c r="U13" s="16"/>
      <c r="V13" s="16"/>
      <c r="W13" s="231"/>
      <c r="X13" s="231"/>
      <c r="Y13" s="231"/>
      <c r="Z13" s="451"/>
    </row>
    <row r="14" spans="1:26" s="14" customFormat="1" ht="55.5" customHeight="1">
      <c r="A14" s="23" t="s">
        <v>156</v>
      </c>
      <c r="B14" s="515" t="s">
        <v>1293</v>
      </c>
      <c r="C14" s="516"/>
      <c r="D14" s="516"/>
      <c r="E14" s="516"/>
      <c r="F14" s="516"/>
      <c r="G14" s="517"/>
      <c r="H14" s="15">
        <v>10</v>
      </c>
      <c r="I14" s="9" t="s">
        <v>1476</v>
      </c>
      <c r="J14" s="9"/>
      <c r="K14" s="16" t="s">
        <v>246</v>
      </c>
      <c r="L14" s="16" t="s">
        <v>246</v>
      </c>
      <c r="M14" s="16" t="s">
        <v>246</v>
      </c>
      <c r="N14" s="16" t="s">
        <v>246</v>
      </c>
      <c r="O14" s="16" t="s">
        <v>246</v>
      </c>
      <c r="P14" s="16" t="s">
        <v>246</v>
      </c>
      <c r="Q14" s="16"/>
      <c r="R14" s="16"/>
      <c r="S14" s="16"/>
      <c r="T14" s="16"/>
      <c r="U14" s="16"/>
      <c r="V14" s="16"/>
      <c r="W14" s="231"/>
      <c r="X14" s="231"/>
      <c r="Y14" s="231"/>
      <c r="Z14" s="451"/>
    </row>
    <row r="15" spans="1:26" s="14" customFormat="1" ht="24">
      <c r="A15" s="23" t="s">
        <v>853</v>
      </c>
      <c r="B15" s="530"/>
      <c r="C15" s="531"/>
      <c r="D15" s="531"/>
      <c r="E15" s="531"/>
      <c r="F15" s="531"/>
      <c r="G15" s="532"/>
      <c r="H15" s="15">
        <v>0</v>
      </c>
      <c r="I15" s="9"/>
      <c r="J15" s="9"/>
      <c r="K15" s="16"/>
      <c r="L15" s="16"/>
      <c r="M15" s="16"/>
      <c r="N15" s="16"/>
      <c r="O15" s="16"/>
      <c r="P15" s="16"/>
      <c r="Q15" s="16"/>
      <c r="R15" s="16"/>
      <c r="S15" s="16"/>
      <c r="T15" s="16"/>
      <c r="U15" s="16"/>
      <c r="V15" s="16"/>
      <c r="W15" s="518"/>
      <c r="X15" s="518"/>
      <c r="Y15" s="518"/>
      <c r="Z15" s="451"/>
    </row>
    <row r="16" spans="1:26" s="14" customFormat="1" ht="24">
      <c r="A16" s="23" t="s">
        <v>892</v>
      </c>
      <c r="B16" s="271"/>
      <c r="C16" s="272"/>
      <c r="D16" s="272"/>
      <c r="E16" s="272"/>
      <c r="F16" s="272"/>
      <c r="G16" s="273"/>
      <c r="H16" s="15">
        <f>SUM(H8:H15)</f>
        <v>100</v>
      </c>
      <c r="I16" s="9"/>
      <c r="J16" s="9"/>
      <c r="K16" s="16"/>
      <c r="L16" s="16"/>
      <c r="M16" s="16"/>
      <c r="N16" s="16"/>
      <c r="O16" s="16"/>
      <c r="P16" s="16"/>
      <c r="Q16" s="16"/>
      <c r="R16" s="16"/>
      <c r="S16" s="16"/>
      <c r="T16" s="16"/>
      <c r="U16" s="16"/>
      <c r="V16" s="16"/>
      <c r="W16" s="25"/>
      <c r="X16" s="26"/>
      <c r="Y16" s="26"/>
      <c r="Z16" s="451"/>
    </row>
    <row r="17" spans="1:26" s="14" customFormat="1" ht="24.75" thickBot="1">
      <c r="A17" s="23" t="s">
        <v>894</v>
      </c>
      <c r="B17" s="551"/>
      <c r="C17" s="551"/>
      <c r="D17" s="551"/>
      <c r="E17" s="551"/>
      <c r="F17" s="551"/>
      <c r="G17" s="551"/>
      <c r="H17" s="15"/>
      <c r="I17" s="9"/>
      <c r="J17" s="9"/>
      <c r="K17" s="232"/>
      <c r="L17" s="232"/>
      <c r="M17" s="232"/>
      <c r="N17" s="232"/>
      <c r="O17" s="232"/>
      <c r="P17" s="232"/>
      <c r="Q17" s="232"/>
      <c r="R17" s="232"/>
      <c r="S17" s="232"/>
      <c r="T17" s="232"/>
      <c r="U17" s="232"/>
      <c r="V17" s="232"/>
      <c r="W17" s="679"/>
      <c r="X17" s="680"/>
      <c r="Y17" s="681"/>
      <c r="Z17" s="451"/>
    </row>
    <row r="18" spans="1:26" ht="30" thickTop="1" thickBot="1">
      <c r="A18" s="519" t="s">
        <v>72</v>
      </c>
      <c r="B18" s="520"/>
      <c r="C18" s="520"/>
      <c r="D18" s="521"/>
      <c r="E18" s="527" t="s">
        <v>73</v>
      </c>
      <c r="F18" s="528"/>
      <c r="G18" s="528"/>
      <c r="H18" s="528"/>
      <c r="I18" s="528"/>
      <c r="J18" s="527" t="s">
        <v>74</v>
      </c>
      <c r="K18" s="528"/>
      <c r="L18" s="528"/>
      <c r="M18" s="529"/>
      <c r="N18" s="543" t="s">
        <v>75</v>
      </c>
      <c r="O18" s="544"/>
      <c r="P18" s="544"/>
      <c r="Q18" s="544"/>
      <c r="R18" s="544"/>
      <c r="S18" s="544"/>
      <c r="T18" s="544"/>
      <c r="U18" s="544"/>
      <c r="V18" s="545"/>
      <c r="W18" s="543" t="s">
        <v>76</v>
      </c>
      <c r="X18" s="544"/>
      <c r="Y18" s="545"/>
      <c r="Z18" s="451"/>
    </row>
    <row r="19" spans="1:26" s="20" customFormat="1" ht="29.25" thickTop="1">
      <c r="A19" s="522"/>
      <c r="B19" s="498"/>
      <c r="C19" s="498"/>
      <c r="D19" s="523"/>
      <c r="E19" s="533"/>
      <c r="F19" s="534"/>
      <c r="G19" s="533"/>
      <c r="H19" s="539"/>
      <c r="I19" s="534"/>
      <c r="J19" s="541" t="s">
        <v>47</v>
      </c>
      <c r="K19" s="539"/>
      <c r="L19" s="539"/>
      <c r="M19" s="534"/>
      <c r="N19" s="546"/>
      <c r="O19" s="481"/>
      <c r="P19" s="481"/>
      <c r="Q19" s="481"/>
      <c r="R19" s="481"/>
      <c r="S19" s="481"/>
      <c r="T19" s="481"/>
      <c r="U19" s="481"/>
      <c r="V19" s="547"/>
      <c r="W19" s="546"/>
      <c r="X19" s="481"/>
      <c r="Y19" s="547"/>
    </row>
    <row r="20" spans="1:26" s="20" customFormat="1" ht="29.25" thickBot="1">
      <c r="A20" s="522"/>
      <c r="B20" s="498"/>
      <c r="C20" s="498"/>
      <c r="D20" s="523"/>
      <c r="E20" s="535"/>
      <c r="F20" s="536"/>
      <c r="G20" s="535"/>
      <c r="H20" s="507"/>
      <c r="I20" s="536"/>
      <c r="J20" s="542"/>
      <c r="K20" s="540"/>
      <c r="L20" s="540"/>
      <c r="M20" s="538"/>
      <c r="N20" s="546"/>
      <c r="O20" s="481"/>
      <c r="P20" s="481"/>
      <c r="Q20" s="481"/>
      <c r="R20" s="481"/>
      <c r="S20" s="481"/>
      <c r="T20" s="481"/>
      <c r="U20" s="481"/>
      <c r="V20" s="547"/>
      <c r="W20" s="546"/>
      <c r="X20" s="481"/>
      <c r="Y20" s="547"/>
    </row>
    <row r="21" spans="1:26" s="20" customFormat="1" ht="29.25" thickTop="1">
      <c r="A21" s="522"/>
      <c r="B21" s="498"/>
      <c r="C21" s="498"/>
      <c r="D21" s="523"/>
      <c r="E21" s="535"/>
      <c r="F21" s="536"/>
      <c r="G21" s="535"/>
      <c r="H21" s="507"/>
      <c r="I21" s="536"/>
      <c r="J21" s="541" t="s">
        <v>48</v>
      </c>
      <c r="K21" s="539"/>
      <c r="L21" s="539"/>
      <c r="M21" s="534"/>
      <c r="N21" s="546"/>
      <c r="O21" s="481"/>
      <c r="P21" s="481"/>
      <c r="Q21" s="481"/>
      <c r="R21" s="481"/>
      <c r="S21" s="481"/>
      <c r="T21" s="481"/>
      <c r="U21" s="481"/>
      <c r="V21" s="547"/>
      <c r="W21" s="546"/>
      <c r="X21" s="481"/>
      <c r="Y21" s="547"/>
    </row>
    <row r="22" spans="1:26" s="20" customFormat="1" ht="29.25" thickBot="1">
      <c r="A22" s="524"/>
      <c r="B22" s="525"/>
      <c r="C22" s="525"/>
      <c r="D22" s="526"/>
      <c r="E22" s="537"/>
      <c r="F22" s="538"/>
      <c r="G22" s="537"/>
      <c r="H22" s="540"/>
      <c r="I22" s="538"/>
      <c r="J22" s="542"/>
      <c r="K22" s="540"/>
      <c r="L22" s="540"/>
      <c r="M22" s="538"/>
      <c r="N22" s="548"/>
      <c r="O22" s="549"/>
      <c r="P22" s="549"/>
      <c r="Q22" s="549"/>
      <c r="R22" s="549"/>
      <c r="S22" s="549"/>
      <c r="T22" s="549"/>
      <c r="U22" s="549"/>
      <c r="V22" s="550"/>
      <c r="W22" s="548"/>
      <c r="X22" s="549"/>
      <c r="Y22" s="550"/>
    </row>
    <row r="23" spans="1:26" ht="18.75" thickTop="1"/>
  </sheetData>
  <mergeCells count="45">
    <mergeCell ref="B15:G15"/>
    <mergeCell ref="W15:Y15"/>
    <mergeCell ref="B17:G17"/>
    <mergeCell ref="W17:Y17"/>
    <mergeCell ref="A18:D22"/>
    <mergeCell ref="E18:I18"/>
    <mergeCell ref="J18:M18"/>
    <mergeCell ref="N18:V22"/>
    <mergeCell ref="W18:Y22"/>
    <mergeCell ref="E19:F22"/>
    <mergeCell ref="G19:I22"/>
    <mergeCell ref="J19:J20"/>
    <mergeCell ref="K19:M20"/>
    <mergeCell ref="J21:J22"/>
    <mergeCell ref="K21:M22"/>
    <mergeCell ref="K6:V6"/>
    <mergeCell ref="W6:Y7"/>
    <mergeCell ref="B14:G14"/>
    <mergeCell ref="B8:G8"/>
    <mergeCell ref="W8:Y8"/>
    <mergeCell ref="B9:G9"/>
    <mergeCell ref="W9:Y9"/>
    <mergeCell ref="B10:G10"/>
    <mergeCell ref="W10:Y10"/>
    <mergeCell ref="B11:G11"/>
    <mergeCell ref="W11:Y11"/>
    <mergeCell ref="B12:G12"/>
    <mergeCell ref="W12:Y12"/>
    <mergeCell ref="B13:G13"/>
    <mergeCell ref="A1:Y1"/>
    <mergeCell ref="Z1:Z18"/>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44B2-3126-4C73-BE90-8E13B56B72BE}">
  <dimension ref="A1:Z20"/>
  <sheetViews>
    <sheetView rightToLeft="1" view="pageBreakPreview" zoomScale="70" zoomScaleNormal="90" zoomScaleSheetLayoutView="70" workbookViewId="0">
      <selection activeCell="B12" sqref="B12:G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1468</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1467</v>
      </c>
      <c r="B5" s="673"/>
      <c r="C5" s="673"/>
      <c r="D5" s="673"/>
      <c r="E5" s="674"/>
      <c r="F5" s="675" t="s">
        <v>56</v>
      </c>
      <c r="G5" s="675"/>
      <c r="H5" s="676" t="s">
        <v>725</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643" t="s">
        <v>1276</v>
      </c>
      <c r="C8" s="551"/>
      <c r="D8" s="551"/>
      <c r="E8" s="551"/>
      <c r="F8" s="551"/>
      <c r="G8" s="551"/>
      <c r="H8" s="15">
        <v>20</v>
      </c>
      <c r="I8" s="9" t="s">
        <v>1466</v>
      </c>
      <c r="J8" s="9"/>
      <c r="K8" s="16"/>
      <c r="L8" s="16" t="s">
        <v>246</v>
      </c>
      <c r="M8" s="16" t="s">
        <v>246</v>
      </c>
      <c r="N8" s="16" t="s">
        <v>246</v>
      </c>
      <c r="O8" s="16" t="s">
        <v>246</v>
      </c>
      <c r="P8" s="16" t="s">
        <v>246</v>
      </c>
      <c r="Q8" s="16"/>
      <c r="R8" s="16"/>
      <c r="S8" s="16"/>
      <c r="T8" s="16"/>
      <c r="U8" s="16"/>
      <c r="V8" s="16"/>
      <c r="W8" s="594"/>
      <c r="X8" s="595"/>
      <c r="Y8" s="596"/>
      <c r="Z8" s="451"/>
    </row>
    <row r="9" spans="1:26" s="14" customFormat="1" ht="45">
      <c r="A9" s="23" t="s">
        <v>66</v>
      </c>
      <c r="B9" s="551" t="s">
        <v>1465</v>
      </c>
      <c r="C9" s="551"/>
      <c r="D9" s="551"/>
      <c r="E9" s="551"/>
      <c r="F9" s="551"/>
      <c r="G9" s="551"/>
      <c r="H9" s="15">
        <v>40</v>
      </c>
      <c r="I9" s="9" t="s">
        <v>1464</v>
      </c>
      <c r="J9" s="9"/>
      <c r="K9" s="16"/>
      <c r="L9" s="16" t="s">
        <v>246</v>
      </c>
      <c r="M9" s="16" t="s">
        <v>246</v>
      </c>
      <c r="N9" s="16" t="s">
        <v>246</v>
      </c>
      <c r="O9" s="16" t="s">
        <v>246</v>
      </c>
      <c r="P9" s="16" t="s">
        <v>246</v>
      </c>
      <c r="Q9" s="16"/>
      <c r="R9" s="16"/>
      <c r="S9" s="16"/>
      <c r="T9" s="16"/>
      <c r="U9" s="16"/>
      <c r="V9" s="16"/>
      <c r="W9" s="597"/>
      <c r="X9" s="597"/>
      <c r="Y9" s="597"/>
      <c r="Z9" s="451"/>
    </row>
    <row r="10" spans="1:26" s="14" customFormat="1" ht="24">
      <c r="A10" s="23" t="s">
        <v>68</v>
      </c>
      <c r="B10" s="551" t="s">
        <v>1279</v>
      </c>
      <c r="C10" s="551"/>
      <c r="D10" s="551"/>
      <c r="E10" s="551"/>
      <c r="F10" s="551"/>
      <c r="G10" s="551"/>
      <c r="H10" s="15">
        <v>40</v>
      </c>
      <c r="I10" s="9" t="s">
        <v>1463</v>
      </c>
      <c r="J10" s="9"/>
      <c r="K10" s="16" t="s">
        <v>246</v>
      </c>
      <c r="L10" s="16" t="s">
        <v>246</v>
      </c>
      <c r="M10" s="16" t="s">
        <v>246</v>
      </c>
      <c r="N10" s="16" t="s">
        <v>246</v>
      </c>
      <c r="O10" s="16" t="s">
        <v>246</v>
      </c>
      <c r="P10" s="16" t="s">
        <v>246</v>
      </c>
      <c r="Q10" s="16"/>
      <c r="R10" s="16"/>
      <c r="S10" s="16"/>
      <c r="T10" s="16"/>
      <c r="U10" s="16"/>
      <c r="V10" s="16"/>
      <c r="W10" s="518"/>
      <c r="X10" s="518"/>
      <c r="Y10" s="518"/>
      <c r="Z10" s="451"/>
    </row>
    <row r="11" spans="1:26" s="14" customFormat="1" ht="24">
      <c r="A11" s="23" t="s">
        <v>70</v>
      </c>
      <c r="B11" s="551"/>
      <c r="C11" s="551"/>
      <c r="D11" s="551"/>
      <c r="E11" s="551"/>
      <c r="F11" s="551"/>
      <c r="G11" s="551"/>
      <c r="H11" s="15"/>
      <c r="I11" s="9"/>
      <c r="J11" s="9"/>
      <c r="K11" s="16"/>
      <c r="L11" s="16"/>
      <c r="M11" s="16"/>
      <c r="N11" s="16"/>
      <c r="O11" s="16"/>
      <c r="P11" s="16"/>
      <c r="Q11" s="16"/>
      <c r="R11" s="16"/>
      <c r="S11" s="16"/>
      <c r="T11" s="16"/>
      <c r="U11" s="16"/>
      <c r="V11" s="16"/>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f>SUM(H8:H13)</f>
        <v>100</v>
      </c>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H5:Y5"/>
    <mergeCell ref="A6:A7"/>
    <mergeCell ref="B6:G7"/>
    <mergeCell ref="H6:H7"/>
    <mergeCell ref="I6:I7"/>
    <mergeCell ref="J6:J7"/>
    <mergeCell ref="K6:V6"/>
    <mergeCell ref="A1:Y1"/>
    <mergeCell ref="Z1:Z15"/>
    <mergeCell ref="A2:Y2"/>
    <mergeCell ref="A3:E3"/>
    <mergeCell ref="F3:G3"/>
    <mergeCell ref="H3:Y4"/>
    <mergeCell ref="A4:E4"/>
    <mergeCell ref="F4:G4"/>
    <mergeCell ref="A5:E5"/>
    <mergeCell ref="F5:G5"/>
    <mergeCell ref="W12:Y12"/>
    <mergeCell ref="W6:Y7"/>
    <mergeCell ref="B8:G8"/>
    <mergeCell ref="W8:Y8"/>
    <mergeCell ref="B9:G9"/>
    <mergeCell ref="W9:Y9"/>
    <mergeCell ref="B10:G10"/>
    <mergeCell ref="W10:Y10"/>
    <mergeCell ref="B11:G11"/>
    <mergeCell ref="W11:Y11"/>
    <mergeCell ref="B12:G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7ADC-91F9-4D80-9F82-48C7A31E6FBF}">
  <dimension ref="A1:Z20"/>
  <sheetViews>
    <sheetView rightToLeft="1" view="pageBreakPreview" zoomScale="70" zoomScaleNormal="90" zoomScaleSheetLayoutView="70" workbookViewId="0">
      <selection activeCell="D25" sqref="D2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66.75" customHeight="1" thickTop="1">
      <c r="A3" s="667" t="s">
        <v>1458</v>
      </c>
      <c r="B3" s="668"/>
      <c r="C3" s="668"/>
      <c r="D3" s="668"/>
      <c r="E3" s="669"/>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280" customFormat="1" ht="52.5" customHeight="1" thickBot="1">
      <c r="A5" s="672" t="s">
        <v>1459</v>
      </c>
      <c r="B5" s="673"/>
      <c r="C5" s="673"/>
      <c r="D5" s="673"/>
      <c r="E5" s="674"/>
      <c r="F5" s="675" t="s">
        <v>56</v>
      </c>
      <c r="G5" s="675"/>
      <c r="H5" s="676" t="s">
        <v>725</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1460</v>
      </c>
      <c r="C8" s="551"/>
      <c r="D8" s="551"/>
      <c r="E8" s="551"/>
      <c r="F8" s="551"/>
      <c r="G8" s="551"/>
      <c r="H8" s="15">
        <v>30</v>
      </c>
      <c r="I8" s="9" t="s">
        <v>1461</v>
      </c>
      <c r="J8" s="9"/>
      <c r="K8" s="16" t="s">
        <v>246</v>
      </c>
      <c r="L8" s="16" t="s">
        <v>246</v>
      </c>
      <c r="M8" s="16" t="s">
        <v>246</v>
      </c>
      <c r="N8" s="16"/>
      <c r="O8" s="16"/>
      <c r="P8" s="16"/>
      <c r="Q8" s="16"/>
      <c r="R8" s="16"/>
      <c r="S8" s="16"/>
      <c r="T8" s="16"/>
      <c r="U8" s="16"/>
      <c r="V8" s="16"/>
      <c r="W8" s="594"/>
      <c r="X8" s="595"/>
      <c r="Y8" s="596"/>
      <c r="Z8" s="451"/>
    </row>
    <row r="9" spans="1:26" s="14" customFormat="1" ht="24">
      <c r="A9" s="23" t="s">
        <v>66</v>
      </c>
      <c r="B9" s="551" t="s">
        <v>1268</v>
      </c>
      <c r="C9" s="551"/>
      <c r="D9" s="551"/>
      <c r="E9" s="551"/>
      <c r="F9" s="551"/>
      <c r="G9" s="551"/>
      <c r="H9" s="15">
        <v>40</v>
      </c>
      <c r="I9" s="9" t="s">
        <v>1462</v>
      </c>
      <c r="J9" s="9"/>
      <c r="K9" s="16"/>
      <c r="L9" s="16"/>
      <c r="M9" s="16" t="s">
        <v>246</v>
      </c>
      <c r="N9" s="16" t="s">
        <v>246</v>
      </c>
      <c r="O9" s="16" t="s">
        <v>246</v>
      </c>
      <c r="P9" s="16" t="s">
        <v>246</v>
      </c>
      <c r="Q9" s="16"/>
      <c r="R9" s="16"/>
      <c r="S9" s="16"/>
      <c r="T9" s="16"/>
      <c r="U9" s="16"/>
      <c r="V9" s="16"/>
      <c r="W9" s="597"/>
      <c r="X9" s="597"/>
      <c r="Y9" s="597"/>
      <c r="Z9" s="451"/>
    </row>
    <row r="10" spans="1:26" s="14" customFormat="1" ht="24">
      <c r="A10" s="23" t="s">
        <v>68</v>
      </c>
      <c r="B10" s="551" t="s">
        <v>1269</v>
      </c>
      <c r="C10" s="551"/>
      <c r="D10" s="551"/>
      <c r="E10" s="551"/>
      <c r="F10" s="551"/>
      <c r="G10" s="551"/>
      <c r="H10" s="15">
        <v>30</v>
      </c>
      <c r="I10" s="9" t="s">
        <v>1462</v>
      </c>
      <c r="J10" s="9"/>
      <c r="K10" s="16"/>
      <c r="L10" s="16"/>
      <c r="M10" s="16" t="s">
        <v>246</v>
      </c>
      <c r="N10" s="16" t="s">
        <v>246</v>
      </c>
      <c r="O10" s="16" t="s">
        <v>246</v>
      </c>
      <c r="P10" s="16" t="s">
        <v>246</v>
      </c>
      <c r="Q10" s="16"/>
      <c r="R10" s="16"/>
      <c r="S10" s="16"/>
      <c r="T10" s="16"/>
      <c r="U10" s="16"/>
      <c r="V10" s="16"/>
      <c r="W10" s="518"/>
      <c r="X10" s="518"/>
      <c r="Y10" s="518"/>
      <c r="Z10" s="451"/>
    </row>
    <row r="11" spans="1:26" s="14" customFormat="1" ht="24">
      <c r="A11" s="23" t="s">
        <v>70</v>
      </c>
      <c r="B11" s="551"/>
      <c r="C11" s="551"/>
      <c r="D11" s="551"/>
      <c r="E11" s="551"/>
      <c r="F11" s="551"/>
      <c r="G11" s="551"/>
      <c r="H11" s="15"/>
      <c r="I11" s="9"/>
      <c r="J11" s="9"/>
      <c r="K11" s="16"/>
      <c r="L11" s="16"/>
      <c r="M11" s="16"/>
      <c r="N11" s="16"/>
      <c r="O11" s="16"/>
      <c r="P11" s="16"/>
      <c r="Q11" s="16"/>
      <c r="R11" s="16"/>
      <c r="S11" s="16"/>
      <c r="T11" s="16"/>
      <c r="U11" s="16"/>
      <c r="V11" s="16"/>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f>SUM(H8:H13)</f>
        <v>100</v>
      </c>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E50F-732A-4CDE-A37F-EA2459586AD9}">
  <dimension ref="A1:Z20"/>
  <sheetViews>
    <sheetView rightToLeft="1" view="pageBreakPreview" zoomScale="80" zoomScaleNormal="90" zoomScaleSheetLayoutView="80" workbookViewId="0">
      <selection activeCell="E16" sqref="E16:F1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1457</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1456</v>
      </c>
      <c r="B5" s="673"/>
      <c r="C5" s="673"/>
      <c r="D5" s="673"/>
      <c r="E5" s="674"/>
      <c r="F5" s="675" t="s">
        <v>56</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1455</v>
      </c>
      <c r="C8" s="551"/>
      <c r="D8" s="551"/>
      <c r="E8" s="551"/>
      <c r="F8" s="551"/>
      <c r="G8" s="551"/>
      <c r="H8" s="15">
        <v>15</v>
      </c>
      <c r="I8" s="9" t="s">
        <v>1450</v>
      </c>
      <c r="J8" s="9"/>
      <c r="K8" s="16"/>
      <c r="L8" s="16" t="s">
        <v>246</v>
      </c>
      <c r="M8" s="16" t="s">
        <v>246</v>
      </c>
      <c r="N8" s="16" t="s">
        <v>246</v>
      </c>
      <c r="O8" s="16" t="s">
        <v>246</v>
      </c>
      <c r="P8" s="16" t="s">
        <v>246</v>
      </c>
      <c r="Q8" s="16" t="s">
        <v>246</v>
      </c>
      <c r="R8" s="16" t="s">
        <v>246</v>
      </c>
      <c r="S8" s="16" t="s">
        <v>246</v>
      </c>
      <c r="T8" s="16" t="s">
        <v>246</v>
      </c>
      <c r="U8" s="16" t="s">
        <v>246</v>
      </c>
      <c r="V8" s="16" t="s">
        <v>246</v>
      </c>
      <c r="W8" s="594"/>
      <c r="X8" s="595"/>
      <c r="Y8" s="596"/>
      <c r="Z8" s="451"/>
    </row>
    <row r="9" spans="1:26" s="14" customFormat="1" ht="45">
      <c r="A9" s="23" t="s">
        <v>66</v>
      </c>
      <c r="B9" s="551" t="s">
        <v>1454</v>
      </c>
      <c r="C9" s="551"/>
      <c r="D9" s="551"/>
      <c r="E9" s="551"/>
      <c r="F9" s="551"/>
      <c r="G9" s="551"/>
      <c r="H9" s="15">
        <v>15</v>
      </c>
      <c r="I9" s="9" t="s">
        <v>1450</v>
      </c>
      <c r="J9" s="9"/>
      <c r="K9" s="16"/>
      <c r="L9" s="16" t="s">
        <v>246</v>
      </c>
      <c r="M9" s="16" t="s">
        <v>246</v>
      </c>
      <c r="N9" s="16" t="s">
        <v>246</v>
      </c>
      <c r="O9" s="16" t="s">
        <v>246</v>
      </c>
      <c r="P9" s="16" t="s">
        <v>246</v>
      </c>
      <c r="Q9" s="16" t="s">
        <v>246</v>
      </c>
      <c r="R9" s="16" t="s">
        <v>246</v>
      </c>
      <c r="S9" s="16" t="s">
        <v>246</v>
      </c>
      <c r="T9" s="16" t="s">
        <v>246</v>
      </c>
      <c r="U9" s="16" t="s">
        <v>246</v>
      </c>
      <c r="V9" s="16" t="s">
        <v>246</v>
      </c>
      <c r="W9" s="597"/>
      <c r="X9" s="597"/>
      <c r="Y9" s="597"/>
      <c r="Z9" s="451"/>
    </row>
    <row r="10" spans="1:26" s="14" customFormat="1" ht="45">
      <c r="A10" s="23" t="s">
        <v>68</v>
      </c>
      <c r="B10" s="551" t="s">
        <v>1453</v>
      </c>
      <c r="C10" s="551"/>
      <c r="D10" s="551"/>
      <c r="E10" s="551"/>
      <c r="F10" s="551"/>
      <c r="G10" s="551"/>
      <c r="H10" s="15">
        <v>15</v>
      </c>
      <c r="I10" s="9" t="s">
        <v>1450</v>
      </c>
      <c r="J10" s="9"/>
      <c r="K10" s="16"/>
      <c r="L10" s="16" t="s">
        <v>246</v>
      </c>
      <c r="M10" s="16" t="s">
        <v>246</v>
      </c>
      <c r="N10" s="16" t="s">
        <v>246</v>
      </c>
      <c r="O10" s="16" t="s">
        <v>246</v>
      </c>
      <c r="P10" s="16" t="s">
        <v>246</v>
      </c>
      <c r="Q10" s="16" t="s">
        <v>246</v>
      </c>
      <c r="R10" s="16" t="s">
        <v>246</v>
      </c>
      <c r="S10" s="16" t="s">
        <v>246</v>
      </c>
      <c r="T10" s="16" t="s">
        <v>246</v>
      </c>
      <c r="U10" s="16" t="s">
        <v>246</v>
      </c>
      <c r="V10" s="16" t="s">
        <v>246</v>
      </c>
      <c r="W10" s="518"/>
      <c r="X10" s="518"/>
      <c r="Y10" s="518"/>
      <c r="Z10" s="451"/>
    </row>
    <row r="11" spans="1:26" s="14" customFormat="1" ht="45">
      <c r="A11" s="23" t="s">
        <v>70</v>
      </c>
      <c r="B11" s="551" t="s">
        <v>1452</v>
      </c>
      <c r="C11" s="551"/>
      <c r="D11" s="551"/>
      <c r="E11" s="551"/>
      <c r="F11" s="551"/>
      <c r="G11" s="551"/>
      <c r="H11" s="15">
        <v>15</v>
      </c>
      <c r="I11" s="9" t="s">
        <v>1450</v>
      </c>
      <c r="J11" s="9"/>
      <c r="K11" s="16" t="s">
        <v>246</v>
      </c>
      <c r="L11" s="16" t="s">
        <v>246</v>
      </c>
      <c r="M11" s="16" t="s">
        <v>246</v>
      </c>
      <c r="N11" s="16" t="s">
        <v>246</v>
      </c>
      <c r="O11" s="16" t="s">
        <v>246</v>
      </c>
      <c r="P11" s="16" t="s">
        <v>246</v>
      </c>
      <c r="Q11" s="16" t="s">
        <v>246</v>
      </c>
      <c r="R11" s="16" t="s">
        <v>246</v>
      </c>
      <c r="S11" s="16" t="s">
        <v>246</v>
      </c>
      <c r="T11" s="16" t="s">
        <v>246</v>
      </c>
      <c r="U11" s="16" t="s">
        <v>246</v>
      </c>
      <c r="V11" s="16" t="s">
        <v>246</v>
      </c>
      <c r="W11" s="518"/>
      <c r="X11" s="518"/>
      <c r="Y11" s="518"/>
      <c r="Z11" s="451"/>
    </row>
    <row r="12" spans="1:26" s="14" customFormat="1" ht="45">
      <c r="A12" s="23" t="s">
        <v>153</v>
      </c>
      <c r="B12" s="551" t="s">
        <v>1451</v>
      </c>
      <c r="C12" s="551"/>
      <c r="D12" s="551"/>
      <c r="E12" s="551"/>
      <c r="F12" s="551"/>
      <c r="G12" s="551"/>
      <c r="H12" s="15">
        <v>40</v>
      </c>
      <c r="I12" s="9" t="s">
        <v>1450</v>
      </c>
      <c r="J12" s="9"/>
      <c r="K12" s="16" t="s">
        <v>246</v>
      </c>
      <c r="L12" s="16" t="s">
        <v>246</v>
      </c>
      <c r="M12" s="16" t="s">
        <v>246</v>
      </c>
      <c r="N12" s="16" t="s">
        <v>246</v>
      </c>
      <c r="O12" s="16" t="s">
        <v>246</v>
      </c>
      <c r="P12" s="16" t="s">
        <v>246</v>
      </c>
      <c r="Q12" s="16" t="s">
        <v>246</v>
      </c>
      <c r="R12" s="16" t="s">
        <v>246</v>
      </c>
      <c r="S12" s="16" t="s">
        <v>246</v>
      </c>
      <c r="T12" s="16" t="s">
        <v>246</v>
      </c>
      <c r="U12" s="16" t="s">
        <v>246</v>
      </c>
      <c r="V12" s="16" t="s">
        <v>246</v>
      </c>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f>SUM(H8:H13)</f>
        <v>100</v>
      </c>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H5:Y5"/>
    <mergeCell ref="A6:A7"/>
    <mergeCell ref="B6:G7"/>
    <mergeCell ref="H6:H7"/>
    <mergeCell ref="I6:I7"/>
    <mergeCell ref="J6:J7"/>
    <mergeCell ref="K6:V6"/>
    <mergeCell ref="A1:Y1"/>
    <mergeCell ref="Z1:Z15"/>
    <mergeCell ref="A2:Y2"/>
    <mergeCell ref="A3:E3"/>
    <mergeCell ref="F3:G3"/>
    <mergeCell ref="H3:Y4"/>
    <mergeCell ref="A4:E4"/>
    <mergeCell ref="F4:G4"/>
    <mergeCell ref="A5:E5"/>
    <mergeCell ref="F5:G5"/>
    <mergeCell ref="W12:Y12"/>
    <mergeCell ref="W6:Y7"/>
    <mergeCell ref="B8:G8"/>
    <mergeCell ref="W8:Y8"/>
    <mergeCell ref="B9:G9"/>
    <mergeCell ref="W9:Y9"/>
    <mergeCell ref="B10:G10"/>
    <mergeCell ref="W10:Y10"/>
    <mergeCell ref="B11:G11"/>
    <mergeCell ref="W11:Y11"/>
    <mergeCell ref="B12:G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AA19-02CC-41F3-B8EA-2EFBCFF5B889}">
  <dimension ref="A1:Z22"/>
  <sheetViews>
    <sheetView rightToLeft="1" view="pageBreakPreview" zoomScale="70" zoomScaleNormal="90" zoomScaleSheetLayoutView="70" workbookViewId="0">
      <selection activeCell="I10" sqref="I10:I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1449</v>
      </c>
      <c r="B3" s="657"/>
      <c r="C3" s="657"/>
      <c r="D3" s="657"/>
      <c r="E3" s="658"/>
      <c r="F3" s="659" t="s">
        <v>178</v>
      </c>
      <c r="G3" s="660"/>
      <c r="H3" s="691" t="s">
        <v>1448</v>
      </c>
      <c r="I3" s="692"/>
      <c r="J3" s="692"/>
      <c r="K3" s="692"/>
      <c r="L3" s="692"/>
      <c r="M3" s="692"/>
      <c r="N3" s="692"/>
      <c r="O3" s="692"/>
      <c r="P3" s="692"/>
      <c r="Q3" s="692"/>
      <c r="R3" s="692"/>
      <c r="S3" s="692"/>
      <c r="T3" s="692"/>
      <c r="U3" s="692"/>
      <c r="V3" s="692"/>
      <c r="W3" s="692"/>
      <c r="X3" s="692"/>
      <c r="Y3" s="693"/>
      <c r="Z3" s="451"/>
    </row>
    <row r="4" spans="1:26" s="3" customFormat="1" ht="28.5">
      <c r="A4" s="667" t="s">
        <v>143</v>
      </c>
      <c r="B4" s="668"/>
      <c r="C4" s="668"/>
      <c r="D4" s="668"/>
      <c r="E4" s="669"/>
      <c r="F4" s="670" t="s">
        <v>281</v>
      </c>
      <c r="G4" s="671"/>
      <c r="H4" s="694"/>
      <c r="I4" s="695"/>
      <c r="J4" s="695"/>
      <c r="K4" s="695"/>
      <c r="L4" s="695"/>
      <c r="M4" s="695"/>
      <c r="N4" s="695"/>
      <c r="O4" s="695"/>
      <c r="P4" s="695"/>
      <c r="Q4" s="695"/>
      <c r="R4" s="695"/>
      <c r="S4" s="695"/>
      <c r="T4" s="695"/>
      <c r="U4" s="695"/>
      <c r="V4" s="695"/>
      <c r="W4" s="695"/>
      <c r="X4" s="695"/>
      <c r="Y4" s="696"/>
      <c r="Z4" s="451"/>
    </row>
    <row r="5" spans="1:26" s="3" customFormat="1" ht="29.25" thickBot="1">
      <c r="A5" s="672" t="s">
        <v>1447</v>
      </c>
      <c r="B5" s="673"/>
      <c r="C5" s="673"/>
      <c r="D5" s="673"/>
      <c r="E5" s="674"/>
      <c r="F5" s="675" t="s">
        <v>56</v>
      </c>
      <c r="G5" s="675"/>
      <c r="H5" s="676" t="s">
        <v>725</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1301</v>
      </c>
      <c r="C8" s="551"/>
      <c r="D8" s="551"/>
      <c r="E8" s="551"/>
      <c r="F8" s="551"/>
      <c r="G8" s="551"/>
      <c r="H8" s="15">
        <v>25</v>
      </c>
      <c r="I8" s="9" t="s">
        <v>1445</v>
      </c>
      <c r="J8" s="9"/>
      <c r="K8" s="16" t="s">
        <v>246</v>
      </c>
      <c r="L8" s="16" t="s">
        <v>246</v>
      </c>
      <c r="M8" s="16" t="s">
        <v>246</v>
      </c>
      <c r="N8" s="16"/>
      <c r="O8" s="16"/>
      <c r="P8" s="16"/>
      <c r="Q8" s="16"/>
      <c r="R8" s="16"/>
      <c r="S8" s="16"/>
      <c r="T8" s="16"/>
      <c r="U8" s="16"/>
      <c r="V8" s="16"/>
      <c r="W8" s="594"/>
      <c r="X8" s="595"/>
      <c r="Y8" s="596"/>
      <c r="Z8" s="451"/>
    </row>
    <row r="9" spans="1:26" s="14" customFormat="1" ht="24">
      <c r="A9" s="23" t="s">
        <v>66</v>
      </c>
      <c r="B9" s="551" t="s">
        <v>1446</v>
      </c>
      <c r="C9" s="551"/>
      <c r="D9" s="551"/>
      <c r="E9" s="551"/>
      <c r="F9" s="551"/>
      <c r="G9" s="551"/>
      <c r="H9" s="15">
        <v>25</v>
      </c>
      <c r="I9" s="9" t="s">
        <v>1445</v>
      </c>
      <c r="J9" s="9"/>
      <c r="K9" s="16"/>
      <c r="L9" s="16"/>
      <c r="M9" s="16" t="s">
        <v>246</v>
      </c>
      <c r="N9" s="16" t="s">
        <v>246</v>
      </c>
      <c r="O9" s="16" t="s">
        <v>246</v>
      </c>
      <c r="P9" s="16" t="s">
        <v>246</v>
      </c>
      <c r="Q9" s="16"/>
      <c r="R9" s="16"/>
      <c r="S9" s="16"/>
      <c r="T9" s="16"/>
      <c r="U9" s="16"/>
      <c r="V9" s="16"/>
      <c r="W9" s="597"/>
      <c r="X9" s="597"/>
      <c r="Y9" s="597"/>
      <c r="Z9" s="451"/>
    </row>
    <row r="10" spans="1:26" s="14" customFormat="1" ht="24">
      <c r="A10" s="23" t="s">
        <v>68</v>
      </c>
      <c r="B10" s="551" t="s">
        <v>1299</v>
      </c>
      <c r="C10" s="551"/>
      <c r="D10" s="551"/>
      <c r="E10" s="551"/>
      <c r="F10" s="551"/>
      <c r="G10" s="551"/>
      <c r="H10" s="15">
        <v>25</v>
      </c>
      <c r="I10" s="9" t="s">
        <v>1444</v>
      </c>
      <c r="J10" s="9"/>
      <c r="K10" s="16" t="s">
        <v>246</v>
      </c>
      <c r="L10" s="16" t="s">
        <v>246</v>
      </c>
      <c r="M10" s="16" t="s">
        <v>246</v>
      </c>
      <c r="N10" s="16" t="s">
        <v>246</v>
      </c>
      <c r="O10" s="16" t="s">
        <v>246</v>
      </c>
      <c r="P10" s="16" t="s">
        <v>246</v>
      </c>
      <c r="Q10" s="16"/>
      <c r="R10" s="16"/>
      <c r="S10" s="16"/>
      <c r="T10" s="16"/>
      <c r="U10" s="16"/>
      <c r="V10" s="16"/>
      <c r="W10" s="518"/>
      <c r="X10" s="518"/>
      <c r="Y10" s="518"/>
      <c r="Z10" s="451"/>
    </row>
    <row r="11" spans="1:26" s="14" customFormat="1" ht="24">
      <c r="A11" s="23" t="s">
        <v>70</v>
      </c>
      <c r="B11" s="551" t="s">
        <v>1298</v>
      </c>
      <c r="C11" s="551"/>
      <c r="D11" s="551"/>
      <c r="E11" s="551"/>
      <c r="F11" s="551"/>
      <c r="G11" s="551"/>
      <c r="H11" s="15">
        <v>25</v>
      </c>
      <c r="I11" s="9" t="s">
        <v>1444</v>
      </c>
      <c r="J11" s="9"/>
      <c r="K11" s="16" t="s">
        <v>246</v>
      </c>
      <c r="L11" s="16" t="s">
        <v>246</v>
      </c>
      <c r="M11" s="16" t="s">
        <v>246</v>
      </c>
      <c r="N11" s="16" t="s">
        <v>246</v>
      </c>
      <c r="O11" s="16" t="s">
        <v>246</v>
      </c>
      <c r="P11" s="16" t="s">
        <v>246</v>
      </c>
      <c r="Q11" s="16"/>
      <c r="R11" s="16"/>
      <c r="S11" s="16"/>
      <c r="T11" s="16"/>
      <c r="U11" s="16"/>
      <c r="V11" s="16"/>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
      <c r="A14" s="23" t="s">
        <v>156</v>
      </c>
      <c r="B14" s="551"/>
      <c r="C14" s="551"/>
      <c r="D14" s="551"/>
      <c r="E14" s="551"/>
      <c r="F14" s="551"/>
      <c r="G14" s="551"/>
      <c r="H14" s="15"/>
      <c r="I14" s="9"/>
      <c r="J14" s="9"/>
      <c r="K14" s="16"/>
      <c r="L14" s="16"/>
      <c r="M14" s="16"/>
      <c r="N14" s="16"/>
      <c r="O14" s="16"/>
      <c r="P14" s="16"/>
      <c r="Q14" s="16"/>
      <c r="R14" s="16"/>
      <c r="S14" s="16"/>
      <c r="T14" s="16"/>
      <c r="U14" s="16"/>
      <c r="V14" s="16"/>
      <c r="W14" s="25"/>
      <c r="X14" s="26"/>
      <c r="Y14" s="26"/>
      <c r="Z14" s="451"/>
    </row>
    <row r="15" spans="1:26" s="14" customFormat="1" ht="24">
      <c r="A15" s="23" t="s">
        <v>853</v>
      </c>
      <c r="B15" s="551"/>
      <c r="C15" s="551"/>
      <c r="D15" s="551"/>
      <c r="E15" s="551"/>
      <c r="F15" s="551"/>
      <c r="G15" s="551"/>
      <c r="H15" s="15"/>
      <c r="I15" s="9"/>
      <c r="J15" s="9"/>
      <c r="K15" s="16"/>
      <c r="L15" s="16"/>
      <c r="M15" s="16"/>
      <c r="N15" s="16"/>
      <c r="O15" s="16"/>
      <c r="P15" s="16"/>
      <c r="Q15" s="16"/>
      <c r="R15" s="16"/>
      <c r="S15" s="16"/>
      <c r="T15" s="16"/>
      <c r="U15" s="16"/>
      <c r="V15" s="16"/>
      <c r="W15" s="25"/>
      <c r="X15" s="26"/>
      <c r="Y15" s="26"/>
      <c r="Z15" s="451"/>
    </row>
    <row r="16" spans="1:26" s="14" customFormat="1" ht="24.75" thickBot="1">
      <c r="A16" s="23"/>
      <c r="B16" s="551"/>
      <c r="C16" s="551"/>
      <c r="D16" s="551"/>
      <c r="E16" s="551"/>
      <c r="F16" s="551"/>
      <c r="G16" s="551"/>
      <c r="H16" s="15">
        <f>SUM(H8:H15)</f>
        <v>100</v>
      </c>
      <c r="I16" s="9"/>
      <c r="J16" s="9"/>
      <c r="K16" s="16"/>
      <c r="L16" s="16"/>
      <c r="M16" s="16"/>
      <c r="N16" s="16"/>
      <c r="O16" s="16"/>
      <c r="P16" s="16"/>
      <c r="Q16" s="16"/>
      <c r="R16" s="16"/>
      <c r="S16" s="16"/>
      <c r="T16" s="16"/>
      <c r="U16" s="16"/>
      <c r="V16" s="16"/>
      <c r="W16" s="679"/>
      <c r="X16" s="680"/>
      <c r="Y16" s="681"/>
      <c r="Z16" s="451"/>
    </row>
    <row r="17" spans="1:26" ht="30" thickTop="1" thickBot="1">
      <c r="A17" s="519" t="s">
        <v>72</v>
      </c>
      <c r="B17" s="520"/>
      <c r="C17" s="520"/>
      <c r="D17" s="521"/>
      <c r="E17" s="527" t="s">
        <v>73</v>
      </c>
      <c r="F17" s="528"/>
      <c r="G17" s="528"/>
      <c r="H17" s="528"/>
      <c r="I17" s="528"/>
      <c r="J17" s="527" t="s">
        <v>74</v>
      </c>
      <c r="K17" s="528"/>
      <c r="L17" s="528"/>
      <c r="M17" s="529"/>
      <c r="N17" s="543" t="s">
        <v>75</v>
      </c>
      <c r="O17" s="544"/>
      <c r="P17" s="544"/>
      <c r="Q17" s="544"/>
      <c r="R17" s="544"/>
      <c r="S17" s="544"/>
      <c r="T17" s="544"/>
      <c r="U17" s="544"/>
      <c r="V17" s="545"/>
      <c r="W17" s="543" t="s">
        <v>76</v>
      </c>
      <c r="X17" s="544"/>
      <c r="Y17" s="545"/>
      <c r="Z17" s="451"/>
    </row>
    <row r="18" spans="1:26" s="20" customFormat="1" ht="29.25" thickTop="1">
      <c r="A18" s="522"/>
      <c r="B18" s="498"/>
      <c r="C18" s="498"/>
      <c r="D18" s="523"/>
      <c r="E18" s="533"/>
      <c r="F18" s="534"/>
      <c r="G18" s="533"/>
      <c r="H18" s="539"/>
      <c r="I18" s="534"/>
      <c r="J18" s="541" t="s">
        <v>47</v>
      </c>
      <c r="K18" s="539"/>
      <c r="L18" s="539"/>
      <c r="M18" s="534"/>
      <c r="N18" s="546"/>
      <c r="O18" s="481"/>
      <c r="P18" s="481"/>
      <c r="Q18" s="481"/>
      <c r="R18" s="481"/>
      <c r="S18" s="481"/>
      <c r="T18" s="481"/>
      <c r="U18" s="481"/>
      <c r="V18" s="547"/>
      <c r="W18" s="546"/>
      <c r="X18" s="481"/>
      <c r="Y18" s="547"/>
    </row>
    <row r="19" spans="1:26" s="20" customFormat="1" ht="29.25" thickBot="1">
      <c r="A19" s="522"/>
      <c r="B19" s="498"/>
      <c r="C19" s="498"/>
      <c r="D19" s="523"/>
      <c r="E19" s="535"/>
      <c r="F19" s="536"/>
      <c r="G19" s="535"/>
      <c r="H19" s="507"/>
      <c r="I19" s="536"/>
      <c r="J19" s="542"/>
      <c r="K19" s="540"/>
      <c r="L19" s="540"/>
      <c r="M19" s="538"/>
      <c r="N19" s="546"/>
      <c r="O19" s="481"/>
      <c r="P19" s="481"/>
      <c r="Q19" s="481"/>
      <c r="R19" s="481"/>
      <c r="S19" s="481"/>
      <c r="T19" s="481"/>
      <c r="U19" s="481"/>
      <c r="V19" s="547"/>
      <c r="W19" s="546"/>
      <c r="X19" s="481"/>
      <c r="Y19" s="547"/>
    </row>
    <row r="20" spans="1:26" s="20" customFormat="1" ht="29.25" thickTop="1">
      <c r="A20" s="522"/>
      <c r="B20" s="498"/>
      <c r="C20" s="498"/>
      <c r="D20" s="523"/>
      <c r="E20" s="535"/>
      <c r="F20" s="536"/>
      <c r="G20" s="535"/>
      <c r="H20" s="507"/>
      <c r="I20" s="536"/>
      <c r="J20" s="541" t="s">
        <v>48</v>
      </c>
      <c r="K20" s="539"/>
      <c r="L20" s="539"/>
      <c r="M20" s="534"/>
      <c r="N20" s="546"/>
      <c r="O20" s="481"/>
      <c r="P20" s="481"/>
      <c r="Q20" s="481"/>
      <c r="R20" s="481"/>
      <c r="S20" s="481"/>
      <c r="T20" s="481"/>
      <c r="U20" s="481"/>
      <c r="V20" s="547"/>
      <c r="W20" s="546"/>
      <c r="X20" s="481"/>
      <c r="Y20" s="547"/>
    </row>
    <row r="21" spans="1:26" s="20" customFormat="1" ht="29.25" thickBot="1">
      <c r="A21" s="524"/>
      <c r="B21" s="525"/>
      <c r="C21" s="525"/>
      <c r="D21" s="526"/>
      <c r="E21" s="537"/>
      <c r="F21" s="538"/>
      <c r="G21" s="537"/>
      <c r="H21" s="540"/>
      <c r="I21" s="538"/>
      <c r="J21" s="542"/>
      <c r="K21" s="540"/>
      <c r="L21" s="540"/>
      <c r="M21" s="538"/>
      <c r="N21" s="548"/>
      <c r="O21" s="549"/>
      <c r="P21" s="549"/>
      <c r="Q21" s="549"/>
      <c r="R21" s="549"/>
      <c r="S21" s="549"/>
      <c r="T21" s="549"/>
      <c r="U21" s="549"/>
      <c r="V21" s="550"/>
      <c r="W21" s="548"/>
      <c r="X21" s="549"/>
      <c r="Y21" s="550"/>
    </row>
    <row r="22" spans="1:26" ht="18.75" thickTop="1"/>
  </sheetData>
  <mergeCells count="45">
    <mergeCell ref="H5:Y5"/>
    <mergeCell ref="A6:A7"/>
    <mergeCell ref="B6:G7"/>
    <mergeCell ref="H6:H7"/>
    <mergeCell ref="I6:I7"/>
    <mergeCell ref="J6:J7"/>
    <mergeCell ref="A1:Y1"/>
    <mergeCell ref="Z1:Z17"/>
    <mergeCell ref="A2:Y2"/>
    <mergeCell ref="A3:E3"/>
    <mergeCell ref="F3:G3"/>
    <mergeCell ref="H3:Y4"/>
    <mergeCell ref="A4:E4"/>
    <mergeCell ref="F4:G4"/>
    <mergeCell ref="A5:E5"/>
    <mergeCell ref="F5:G5"/>
    <mergeCell ref="W6:Y7"/>
    <mergeCell ref="B8:G8"/>
    <mergeCell ref="W8:Y8"/>
    <mergeCell ref="B9:G9"/>
    <mergeCell ref="W9:Y9"/>
    <mergeCell ref="K6:V6"/>
    <mergeCell ref="B14:G14"/>
    <mergeCell ref="B10:G10"/>
    <mergeCell ref="W10:Y10"/>
    <mergeCell ref="B11:G11"/>
    <mergeCell ref="W11:Y11"/>
    <mergeCell ref="B12:G12"/>
    <mergeCell ref="W12:Y12"/>
    <mergeCell ref="B15:G15"/>
    <mergeCell ref="B13:G13"/>
    <mergeCell ref="W13:Y13"/>
    <mergeCell ref="K18:M19"/>
    <mergeCell ref="J20:J21"/>
    <mergeCell ref="K20:M21"/>
    <mergeCell ref="B16:G16"/>
    <mergeCell ref="W16:Y16"/>
    <mergeCell ref="A17:D21"/>
    <mergeCell ref="E17:I17"/>
    <mergeCell ref="J17:M17"/>
    <mergeCell ref="N17:V21"/>
    <mergeCell ref="W17:Y21"/>
    <mergeCell ref="E18:F21"/>
    <mergeCell ref="G18:I21"/>
    <mergeCell ref="J18:J19"/>
  </mergeCells>
  <printOptions horizontalCentered="1" verticalCentered="1"/>
  <pageMargins left="0" right="0" top="0" bottom="0" header="0" footer="0"/>
  <pageSetup scale="4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88AB-9AFF-455F-8BD8-7214F763CF02}">
  <dimension ref="A1:Z20"/>
  <sheetViews>
    <sheetView rightToLeft="1" view="pageBreakPreview" zoomScale="70" zoomScaleNormal="90" zoomScaleSheetLayoutView="70" workbookViewId="0">
      <selection activeCell="P12" sqref="P12:V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37"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1443</v>
      </c>
      <c r="B3" s="657"/>
      <c r="C3" s="657"/>
      <c r="D3" s="657"/>
      <c r="E3" s="658"/>
      <c r="F3" s="659" t="s">
        <v>178</v>
      </c>
      <c r="G3" s="660"/>
      <c r="H3" s="697" t="s">
        <v>1442</v>
      </c>
      <c r="I3" s="662"/>
      <c r="J3" s="662"/>
      <c r="K3" s="662"/>
      <c r="L3" s="662"/>
      <c r="M3" s="662"/>
      <c r="N3" s="662"/>
      <c r="O3" s="662"/>
      <c r="P3" s="662"/>
      <c r="Q3" s="662"/>
      <c r="R3" s="662"/>
      <c r="S3" s="662"/>
      <c r="T3" s="662"/>
      <c r="U3" s="662"/>
      <c r="V3" s="662"/>
      <c r="W3" s="662"/>
      <c r="X3" s="662"/>
      <c r="Y3" s="663"/>
      <c r="Z3" s="451"/>
    </row>
    <row r="4" spans="1:26" s="3" customFormat="1" ht="28.5">
      <c r="A4" s="667" t="s">
        <v>1391</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1441</v>
      </c>
      <c r="B5" s="673"/>
      <c r="C5" s="673"/>
      <c r="D5" s="673"/>
      <c r="E5" s="674"/>
      <c r="F5" s="675" t="s">
        <v>1373</v>
      </c>
      <c r="G5" s="675"/>
      <c r="H5" s="676" t="s">
        <v>1372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1440</v>
      </c>
      <c r="C8" s="551"/>
      <c r="D8" s="551"/>
      <c r="E8" s="551"/>
      <c r="F8" s="551"/>
      <c r="G8" s="551"/>
      <c r="H8" s="15">
        <v>30</v>
      </c>
      <c r="I8" s="9" t="s">
        <v>1388</v>
      </c>
      <c r="J8" s="9"/>
      <c r="K8" s="279"/>
      <c r="L8" s="16"/>
      <c r="M8" s="16"/>
      <c r="N8" s="16"/>
      <c r="O8" s="16"/>
      <c r="P8" s="16"/>
      <c r="Q8" s="16"/>
      <c r="R8" s="16"/>
      <c r="S8" s="16"/>
      <c r="T8" s="16"/>
      <c r="U8" s="16"/>
      <c r="V8" s="16"/>
      <c r="W8" s="594"/>
      <c r="X8" s="595"/>
      <c r="Y8" s="596"/>
      <c r="Z8" s="451"/>
    </row>
    <row r="9" spans="1:26" s="14" customFormat="1" ht="45">
      <c r="A9" s="23" t="s">
        <v>66</v>
      </c>
      <c r="B9" s="551" t="s">
        <v>1439</v>
      </c>
      <c r="C9" s="551"/>
      <c r="D9" s="551"/>
      <c r="E9" s="551"/>
      <c r="F9" s="551"/>
      <c r="G9" s="551"/>
      <c r="H9" s="15">
        <v>20</v>
      </c>
      <c r="I9" s="9" t="s">
        <v>1399</v>
      </c>
      <c r="J9" s="9"/>
      <c r="K9" s="16"/>
      <c r="L9" s="279"/>
      <c r="M9" s="279"/>
      <c r="N9" s="16"/>
      <c r="O9" s="16"/>
      <c r="P9" s="16"/>
      <c r="Q9" s="16"/>
      <c r="R9" s="16"/>
      <c r="S9" s="16"/>
      <c r="T9" s="16"/>
      <c r="U9" s="16"/>
      <c r="V9" s="16"/>
      <c r="W9" s="597"/>
      <c r="X9" s="597"/>
      <c r="Y9" s="597"/>
      <c r="Z9" s="451"/>
    </row>
    <row r="10" spans="1:26" s="14" customFormat="1" ht="45">
      <c r="A10" s="23" t="s">
        <v>68</v>
      </c>
      <c r="B10" s="551" t="s">
        <v>1438</v>
      </c>
      <c r="C10" s="551"/>
      <c r="D10" s="551"/>
      <c r="E10" s="551"/>
      <c r="F10" s="551"/>
      <c r="G10" s="551"/>
      <c r="H10" s="15">
        <v>30</v>
      </c>
      <c r="I10" s="9" t="s">
        <v>1399</v>
      </c>
      <c r="J10" s="9"/>
      <c r="K10" s="16"/>
      <c r="L10" s="16"/>
      <c r="M10" s="16"/>
      <c r="N10" s="279"/>
      <c r="O10" s="16"/>
      <c r="P10" s="16"/>
      <c r="Q10" s="16"/>
      <c r="R10" s="16"/>
      <c r="S10" s="16"/>
      <c r="T10" s="16"/>
      <c r="U10" s="16"/>
      <c r="V10" s="16"/>
      <c r="W10" s="518"/>
      <c r="X10" s="518"/>
      <c r="Y10" s="518"/>
      <c r="Z10" s="451"/>
    </row>
    <row r="11" spans="1:26" s="14" customFormat="1" ht="24">
      <c r="A11" s="23" t="s">
        <v>70</v>
      </c>
      <c r="B11" s="551" t="s">
        <v>1437</v>
      </c>
      <c r="C11" s="551"/>
      <c r="D11" s="551"/>
      <c r="E11" s="551"/>
      <c r="F11" s="551"/>
      <c r="G11" s="551"/>
      <c r="H11" s="15">
        <v>10</v>
      </c>
      <c r="I11" s="9" t="s">
        <v>1403</v>
      </c>
      <c r="J11" s="9"/>
      <c r="K11" s="16"/>
      <c r="L11" s="16"/>
      <c r="M11" s="16"/>
      <c r="N11" s="16"/>
      <c r="O11" s="279"/>
      <c r="P11" s="16"/>
      <c r="Q11" s="16"/>
      <c r="R11" s="16"/>
      <c r="S11" s="16"/>
      <c r="T11" s="16"/>
      <c r="U11" s="16"/>
      <c r="V11" s="16"/>
      <c r="W11" s="518"/>
      <c r="X11" s="518"/>
      <c r="Y11" s="518"/>
      <c r="Z11" s="451"/>
    </row>
    <row r="12" spans="1:26" s="14" customFormat="1" ht="24">
      <c r="A12" s="23" t="s">
        <v>153</v>
      </c>
      <c r="B12" s="530" t="s">
        <v>1436</v>
      </c>
      <c r="C12" s="531"/>
      <c r="D12" s="531"/>
      <c r="E12" s="531"/>
      <c r="F12" s="531"/>
      <c r="G12" s="532"/>
      <c r="H12" s="15">
        <v>10</v>
      </c>
      <c r="I12" s="9" t="s">
        <v>1403</v>
      </c>
      <c r="J12" s="9"/>
      <c r="K12" s="16"/>
      <c r="L12" s="16"/>
      <c r="M12" s="16"/>
      <c r="N12" s="16"/>
      <c r="O12" s="16"/>
      <c r="P12" s="279"/>
      <c r="Q12" s="279"/>
      <c r="R12" s="279"/>
      <c r="S12" s="279"/>
      <c r="T12" s="279"/>
      <c r="U12" s="279"/>
      <c r="V12" s="279"/>
      <c r="W12" s="597"/>
      <c r="X12" s="597"/>
      <c r="Y12" s="597"/>
      <c r="Z12" s="451"/>
    </row>
    <row r="13" spans="1:26" s="14" customFormat="1" ht="24">
      <c r="A13" s="23" t="s">
        <v>155</v>
      </c>
      <c r="B13" s="530"/>
      <c r="C13" s="531"/>
      <c r="D13" s="531"/>
      <c r="E13" s="531"/>
      <c r="F13" s="531"/>
      <c r="G13" s="532"/>
      <c r="H13" s="15" t="s">
        <v>1415</v>
      </c>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5:D19"/>
    <mergeCell ref="E15:I15"/>
    <mergeCell ref="J15:M15"/>
    <mergeCell ref="N15:V19"/>
    <mergeCell ref="W15:Y19"/>
    <mergeCell ref="E16:F19"/>
    <mergeCell ref="G16:I19"/>
    <mergeCell ref="J16:J17"/>
    <mergeCell ref="K16:M17"/>
    <mergeCell ref="J18:J19"/>
    <mergeCell ref="K18:M19"/>
    <mergeCell ref="B12:G12"/>
    <mergeCell ref="W12:Y12"/>
    <mergeCell ref="B13:G13"/>
    <mergeCell ref="W13:Y13"/>
    <mergeCell ref="B14:G14"/>
    <mergeCell ref="W14:Y14"/>
    <mergeCell ref="B9:G9"/>
    <mergeCell ref="W9:Y9"/>
    <mergeCell ref="K6:V6"/>
    <mergeCell ref="B11:G11"/>
    <mergeCell ref="W11:Y11"/>
    <mergeCell ref="I6:I7"/>
    <mergeCell ref="J6:J7"/>
    <mergeCell ref="W6:Y7"/>
    <mergeCell ref="B8:G8"/>
    <mergeCell ref="W8:Y8"/>
    <mergeCell ref="A1:Y1"/>
    <mergeCell ref="Z1:Z15"/>
    <mergeCell ref="A2:Y2"/>
    <mergeCell ref="A3:E3"/>
    <mergeCell ref="F3:G3"/>
    <mergeCell ref="H3:Y4"/>
    <mergeCell ref="A4:E4"/>
    <mergeCell ref="F4:G4"/>
    <mergeCell ref="A5:E5"/>
    <mergeCell ref="F5:G5"/>
    <mergeCell ref="B10:G10"/>
    <mergeCell ref="W10:Y10"/>
    <mergeCell ref="H5:Y5"/>
    <mergeCell ref="A6:A7"/>
    <mergeCell ref="B6:G7"/>
    <mergeCell ref="H6:H7"/>
  </mergeCells>
  <printOptions horizontalCentered="1" verticalCentered="1"/>
  <pageMargins left="0" right="0" top="0" bottom="0" header="0" footer="0"/>
  <pageSetup scale="45"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29E1-B356-45D4-AEF9-E667CFEBB0FA}">
  <dimension ref="A1:Z30"/>
  <sheetViews>
    <sheetView rightToLeft="1" view="pageBreakPreview" zoomScale="80" zoomScaleNormal="90" zoomScaleSheetLayoutView="80" workbookViewId="0">
      <selection activeCell="O12" sqref="O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37"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1424</v>
      </c>
      <c r="B3" s="657"/>
      <c r="C3" s="657"/>
      <c r="D3" s="657"/>
      <c r="E3" s="658"/>
      <c r="F3" s="659" t="s">
        <v>178</v>
      </c>
      <c r="G3" s="660"/>
      <c r="H3" s="697" t="s">
        <v>1425</v>
      </c>
      <c r="I3" s="662"/>
      <c r="J3" s="662"/>
      <c r="K3" s="662"/>
      <c r="L3" s="662"/>
      <c r="M3" s="662"/>
      <c r="N3" s="662"/>
      <c r="O3" s="662"/>
      <c r="P3" s="662"/>
      <c r="Q3" s="662"/>
      <c r="R3" s="662"/>
      <c r="S3" s="662"/>
      <c r="T3" s="662"/>
      <c r="U3" s="662"/>
      <c r="V3" s="662"/>
      <c r="W3" s="662"/>
      <c r="X3" s="662"/>
      <c r="Y3" s="663"/>
      <c r="Z3" s="451"/>
    </row>
    <row r="4" spans="1:26" s="3" customFormat="1" ht="28.5">
      <c r="A4" s="667" t="s">
        <v>1391</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1426</v>
      </c>
      <c r="B5" s="673"/>
      <c r="C5" s="673"/>
      <c r="D5" s="673"/>
      <c r="E5" s="674"/>
      <c r="F5" s="675" t="s">
        <v>1373</v>
      </c>
      <c r="G5" s="675"/>
      <c r="H5" s="676" t="s">
        <v>1372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1427</v>
      </c>
      <c r="C8" s="551"/>
      <c r="D8" s="551"/>
      <c r="E8" s="551"/>
      <c r="F8" s="551"/>
      <c r="G8" s="551"/>
      <c r="H8" s="15">
        <v>35</v>
      </c>
      <c r="I8" s="9" t="s">
        <v>1428</v>
      </c>
      <c r="J8" s="9"/>
      <c r="K8" s="274"/>
      <c r="L8" s="274"/>
      <c r="M8" s="276"/>
      <c r="N8" s="276"/>
      <c r="O8" s="16"/>
      <c r="P8" s="16"/>
      <c r="Q8" s="16"/>
      <c r="R8" s="16"/>
      <c r="S8" s="16"/>
      <c r="T8" s="16"/>
      <c r="U8" s="16"/>
      <c r="V8" s="16"/>
      <c r="W8" s="594"/>
      <c r="X8" s="595"/>
      <c r="Y8" s="596"/>
      <c r="Z8" s="451"/>
    </row>
    <row r="9" spans="1:26" s="14" customFormat="1" ht="24">
      <c r="A9" s="23" t="s">
        <v>66</v>
      </c>
      <c r="B9" s="551" t="s">
        <v>1429</v>
      </c>
      <c r="C9" s="551"/>
      <c r="D9" s="551"/>
      <c r="E9" s="551"/>
      <c r="F9" s="551"/>
      <c r="G9" s="551"/>
      <c r="H9" s="15">
        <v>40</v>
      </c>
      <c r="I9" s="9" t="s">
        <v>1388</v>
      </c>
      <c r="J9" s="9"/>
      <c r="K9" s="276"/>
      <c r="L9" s="276"/>
      <c r="M9" s="276"/>
      <c r="N9" s="276"/>
      <c r="O9" s="16"/>
      <c r="P9" s="16"/>
      <c r="Q9" s="16"/>
      <c r="R9" s="16"/>
      <c r="S9" s="16"/>
      <c r="T9" s="16"/>
      <c r="U9" s="16"/>
      <c r="V9" s="16"/>
      <c r="W9" s="597"/>
      <c r="X9" s="597"/>
      <c r="Y9" s="597"/>
      <c r="Z9" s="451"/>
    </row>
    <row r="10" spans="1:26" s="14" customFormat="1" ht="24">
      <c r="A10" s="23" t="s">
        <v>68</v>
      </c>
      <c r="B10" s="551" t="s">
        <v>1430</v>
      </c>
      <c r="C10" s="551"/>
      <c r="D10" s="551"/>
      <c r="E10" s="551"/>
      <c r="F10" s="551"/>
      <c r="G10" s="551"/>
      <c r="H10" s="15">
        <v>5</v>
      </c>
      <c r="I10" s="9" t="s">
        <v>1431</v>
      </c>
      <c r="J10" s="9"/>
      <c r="K10" s="16"/>
      <c r="L10" s="16"/>
      <c r="M10" s="16"/>
      <c r="N10" s="16"/>
      <c r="O10" s="276"/>
      <c r="P10" s="16"/>
      <c r="Q10" s="16"/>
      <c r="R10" s="16"/>
      <c r="S10" s="16"/>
      <c r="T10" s="16"/>
      <c r="U10" s="16"/>
      <c r="V10" s="16"/>
      <c r="W10" s="518"/>
      <c r="X10" s="518"/>
      <c r="Y10" s="518"/>
      <c r="Z10" s="451"/>
    </row>
    <row r="11" spans="1:26" s="14" customFormat="1" ht="24">
      <c r="A11" s="23" t="s">
        <v>70</v>
      </c>
      <c r="B11" s="530" t="s">
        <v>1432</v>
      </c>
      <c r="C11" s="531"/>
      <c r="D11" s="531"/>
      <c r="E11" s="531"/>
      <c r="F11" s="531"/>
      <c r="G11" s="532"/>
      <c r="H11" s="15">
        <v>10</v>
      </c>
      <c r="I11" s="9" t="s">
        <v>1388</v>
      </c>
      <c r="J11" s="9"/>
      <c r="K11" s="16"/>
      <c r="L11" s="16"/>
      <c r="M11" s="16"/>
      <c r="N11" s="16"/>
      <c r="O11" s="274"/>
      <c r="P11" s="16"/>
      <c r="Q11" s="16"/>
      <c r="R11" s="16"/>
      <c r="S11" s="16"/>
      <c r="T11" s="16"/>
      <c r="U11" s="16"/>
      <c r="V11" s="16"/>
      <c r="W11" s="597"/>
      <c r="X11" s="597"/>
      <c r="Y11" s="597"/>
      <c r="Z11" s="451"/>
    </row>
    <row r="12" spans="1:26" s="14" customFormat="1" ht="24">
      <c r="A12" s="23" t="s">
        <v>153</v>
      </c>
      <c r="B12" s="530" t="s">
        <v>1433</v>
      </c>
      <c r="C12" s="531"/>
      <c r="D12" s="531"/>
      <c r="E12" s="531"/>
      <c r="F12" s="531"/>
      <c r="G12" s="532"/>
      <c r="H12" s="15">
        <v>10</v>
      </c>
      <c r="I12" s="9" t="s">
        <v>1403</v>
      </c>
      <c r="J12" s="9"/>
      <c r="K12" s="16"/>
      <c r="L12" s="16"/>
      <c r="M12" s="16"/>
      <c r="N12" s="16"/>
      <c r="O12" s="16"/>
      <c r="P12" s="274"/>
      <c r="Q12" s="274"/>
      <c r="R12" s="274"/>
      <c r="S12" s="274"/>
      <c r="T12" s="274"/>
      <c r="U12" s="274"/>
      <c r="V12" s="274"/>
      <c r="W12" s="518"/>
      <c r="X12" s="518"/>
      <c r="Y12" s="518"/>
      <c r="Z12" s="451"/>
    </row>
    <row r="13" spans="1:26" s="14" customFormat="1" ht="24.75" thickBot="1">
      <c r="A13" s="23" t="s">
        <v>1434</v>
      </c>
      <c r="B13" s="551"/>
      <c r="C13" s="551"/>
      <c r="D13" s="551"/>
      <c r="E13" s="551"/>
      <c r="F13" s="551"/>
      <c r="G13" s="551"/>
      <c r="H13" s="15"/>
      <c r="I13" s="9"/>
      <c r="J13" s="9"/>
      <c r="K13" s="232"/>
      <c r="L13" s="232"/>
      <c r="M13" s="232"/>
      <c r="N13" s="232"/>
      <c r="O13" s="232"/>
      <c r="P13" s="232"/>
      <c r="Q13" s="232"/>
      <c r="R13" s="232"/>
      <c r="S13" s="232"/>
      <c r="T13" s="232"/>
      <c r="U13" s="232"/>
      <c r="V13" s="232"/>
      <c r="W13" s="679"/>
      <c r="X13" s="680"/>
      <c r="Y13" s="681"/>
      <c r="Z13" s="451"/>
    </row>
    <row r="14" spans="1:26" ht="30" customHeight="1" thickTop="1" thickBot="1">
      <c r="A14" s="519" t="s">
        <v>72</v>
      </c>
      <c r="B14" s="520"/>
      <c r="C14" s="520"/>
      <c r="D14" s="521"/>
      <c r="E14" s="527" t="s">
        <v>73</v>
      </c>
      <c r="F14" s="528"/>
      <c r="G14" s="528"/>
      <c r="H14" s="528"/>
      <c r="I14" s="528"/>
      <c r="J14" s="527" t="s">
        <v>74</v>
      </c>
      <c r="K14" s="528"/>
      <c r="L14" s="528"/>
      <c r="M14" s="529"/>
      <c r="N14" s="543" t="s">
        <v>75</v>
      </c>
      <c r="O14" s="544"/>
      <c r="P14" s="544"/>
      <c r="Q14" s="544"/>
      <c r="R14" s="544"/>
      <c r="S14" s="544"/>
      <c r="T14" s="544"/>
      <c r="U14" s="544"/>
      <c r="V14" s="545"/>
      <c r="W14" s="543" t="s">
        <v>76</v>
      </c>
      <c r="X14" s="544"/>
      <c r="Y14" s="545"/>
      <c r="Z14" s="451"/>
    </row>
    <row r="15" spans="1:26" s="20" customFormat="1" ht="29.25" customHeight="1" thickTop="1">
      <c r="A15" s="522"/>
      <c r="B15" s="498"/>
      <c r="C15" s="498"/>
      <c r="D15" s="523"/>
      <c r="E15" s="533" t="s">
        <v>1428</v>
      </c>
      <c r="F15" s="534"/>
      <c r="G15" s="698" t="s">
        <v>1435</v>
      </c>
      <c r="H15" s="533" t="s">
        <v>565</v>
      </c>
      <c r="I15" s="534"/>
      <c r="J15" s="541" t="s">
        <v>47</v>
      </c>
      <c r="K15" s="539"/>
      <c r="L15" s="539"/>
      <c r="M15" s="534"/>
      <c r="N15" s="546"/>
      <c r="O15" s="481"/>
      <c r="P15" s="481"/>
      <c r="Q15" s="481"/>
      <c r="R15" s="481"/>
      <c r="S15" s="481"/>
      <c r="T15" s="481"/>
      <c r="U15" s="481"/>
      <c r="V15" s="547"/>
      <c r="W15" s="546"/>
      <c r="X15" s="481"/>
      <c r="Y15" s="547"/>
    </row>
    <row r="16" spans="1:26" s="20" customFormat="1" ht="29.25" thickBot="1">
      <c r="A16" s="522"/>
      <c r="B16" s="498"/>
      <c r="C16" s="498"/>
      <c r="D16" s="523"/>
      <c r="E16" s="535"/>
      <c r="F16" s="536"/>
      <c r="G16" s="699"/>
      <c r="H16" s="535"/>
      <c r="I16" s="536"/>
      <c r="J16" s="542"/>
      <c r="K16" s="540"/>
      <c r="L16" s="540"/>
      <c r="M16" s="538"/>
      <c r="N16" s="546"/>
      <c r="O16" s="481"/>
      <c r="P16" s="481"/>
      <c r="Q16" s="481"/>
      <c r="R16" s="481"/>
      <c r="S16" s="481"/>
      <c r="T16" s="481"/>
      <c r="U16" s="481"/>
      <c r="V16" s="547"/>
      <c r="W16" s="546"/>
      <c r="X16" s="481"/>
      <c r="Y16" s="547"/>
    </row>
    <row r="17" spans="1:25" s="20" customFormat="1" ht="29.25" thickTop="1">
      <c r="A17" s="522"/>
      <c r="B17" s="498"/>
      <c r="C17" s="498"/>
      <c r="D17" s="523"/>
      <c r="E17" s="535"/>
      <c r="F17" s="536"/>
      <c r="G17" s="699"/>
      <c r="H17" s="535"/>
      <c r="I17" s="536"/>
      <c r="J17" s="541" t="s">
        <v>48</v>
      </c>
      <c r="K17" s="539"/>
      <c r="L17" s="539"/>
      <c r="M17" s="534"/>
      <c r="N17" s="546"/>
      <c r="O17" s="481"/>
      <c r="P17" s="481"/>
      <c r="Q17" s="481"/>
      <c r="R17" s="481"/>
      <c r="S17" s="481"/>
      <c r="T17" s="481"/>
      <c r="U17" s="481"/>
      <c r="V17" s="547"/>
      <c r="W17" s="546"/>
      <c r="X17" s="481"/>
      <c r="Y17" s="547"/>
    </row>
    <row r="18" spans="1:25" s="20" customFormat="1" ht="29.25" thickBot="1">
      <c r="A18" s="524"/>
      <c r="B18" s="525"/>
      <c r="C18" s="525"/>
      <c r="D18" s="526"/>
      <c r="E18" s="537"/>
      <c r="F18" s="538"/>
      <c r="G18" s="542"/>
      <c r="H18" s="537"/>
      <c r="I18" s="538"/>
      <c r="J18" s="542"/>
      <c r="K18" s="540"/>
      <c r="L18" s="540"/>
      <c r="M18" s="538"/>
      <c r="N18" s="548"/>
      <c r="O18" s="549"/>
      <c r="P18" s="549"/>
      <c r="Q18" s="549"/>
      <c r="R18" s="549"/>
      <c r="S18" s="549"/>
      <c r="T18" s="549"/>
      <c r="U18" s="549"/>
      <c r="V18" s="550"/>
      <c r="W18" s="548"/>
      <c r="X18" s="549"/>
      <c r="Y18" s="550"/>
    </row>
    <row r="19" spans="1:25" ht="18.75" thickTop="1"/>
    <row r="22" spans="1:25" ht="18.75" thickBot="1"/>
    <row r="23" spans="1:25" ht="18.75" thickTop="1">
      <c r="E23" s="278"/>
    </row>
    <row r="29" spans="1:25" ht="18.75" thickBot="1"/>
    <row r="30" spans="1:25" ht="18.75" thickTop="1">
      <c r="G30" s="278"/>
    </row>
  </sheetData>
  <mergeCells count="42">
    <mergeCell ref="B13:G13"/>
    <mergeCell ref="W13:Y13"/>
    <mergeCell ref="N14:V18"/>
    <mergeCell ref="W14:Y18"/>
    <mergeCell ref="E15:F18"/>
    <mergeCell ref="G15:G18"/>
    <mergeCell ref="H15:I18"/>
    <mergeCell ref="J15:J16"/>
    <mergeCell ref="K15:M16"/>
    <mergeCell ref="J17:J18"/>
    <mergeCell ref="K17:M18"/>
    <mergeCell ref="A14:D18"/>
    <mergeCell ref="E14:I14"/>
    <mergeCell ref="J14:M14"/>
    <mergeCell ref="B10:G10"/>
    <mergeCell ref="W10:Y10"/>
    <mergeCell ref="B11:G11"/>
    <mergeCell ref="W11:Y11"/>
    <mergeCell ref="B12:G12"/>
    <mergeCell ref="W12:Y12"/>
    <mergeCell ref="K6:V6"/>
    <mergeCell ref="W6:Y7"/>
    <mergeCell ref="B8:G8"/>
    <mergeCell ref="W8:Y8"/>
    <mergeCell ref="B9:G9"/>
    <mergeCell ref="W9:Y9"/>
    <mergeCell ref="A1:Y1"/>
    <mergeCell ref="Z1:Z14"/>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1DA6-C018-481B-857B-50A228591934}">
  <dimension ref="A1:Z20"/>
  <sheetViews>
    <sheetView rightToLeft="1" view="pageBreakPreview" zoomScale="70" zoomScaleNormal="90" zoomScaleSheetLayoutView="70" workbookViewId="0">
      <selection activeCell="A3" sqref="A3:E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37"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1416</v>
      </c>
      <c r="B3" s="657"/>
      <c r="C3" s="657"/>
      <c r="D3" s="657"/>
      <c r="E3" s="658"/>
      <c r="F3" s="659" t="s">
        <v>178</v>
      </c>
      <c r="G3" s="660"/>
      <c r="H3" s="697" t="s">
        <v>1417</v>
      </c>
      <c r="I3" s="662"/>
      <c r="J3" s="662"/>
      <c r="K3" s="662"/>
      <c r="L3" s="662"/>
      <c r="M3" s="662"/>
      <c r="N3" s="662"/>
      <c r="O3" s="662"/>
      <c r="P3" s="662"/>
      <c r="Q3" s="662"/>
      <c r="R3" s="662"/>
      <c r="S3" s="662"/>
      <c r="T3" s="662"/>
      <c r="U3" s="662"/>
      <c r="V3" s="662"/>
      <c r="W3" s="662"/>
      <c r="X3" s="662"/>
      <c r="Y3" s="663"/>
      <c r="Z3" s="451"/>
    </row>
    <row r="4" spans="1:26" s="3" customFormat="1" ht="28.5">
      <c r="A4" s="667" t="s">
        <v>1391</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1418</v>
      </c>
      <c r="B5" s="673"/>
      <c r="C5" s="673"/>
      <c r="D5" s="673"/>
      <c r="E5" s="674"/>
      <c r="F5" s="675" t="s">
        <v>1373</v>
      </c>
      <c r="G5" s="675"/>
      <c r="H5" s="676" t="s">
        <v>1372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1419</v>
      </c>
      <c r="C8" s="551"/>
      <c r="D8" s="551"/>
      <c r="E8" s="551"/>
      <c r="F8" s="551"/>
      <c r="G8" s="551"/>
      <c r="H8" s="15">
        <v>20</v>
      </c>
      <c r="I8" s="9" t="s">
        <v>1388</v>
      </c>
      <c r="J8" s="9"/>
      <c r="K8" s="274"/>
      <c r="L8" s="274"/>
      <c r="M8" s="274"/>
      <c r="N8" s="274"/>
      <c r="O8" s="274"/>
      <c r="P8" s="274"/>
      <c r="Q8" s="274"/>
      <c r="R8" s="274"/>
      <c r="S8" s="274"/>
      <c r="T8" s="274"/>
      <c r="U8" s="274"/>
      <c r="V8" s="274"/>
      <c r="W8" s="594"/>
      <c r="X8" s="595"/>
      <c r="Y8" s="596"/>
      <c r="Z8" s="451"/>
    </row>
    <row r="9" spans="1:26" s="14" customFormat="1" ht="24">
      <c r="A9" s="23" t="s">
        <v>66</v>
      </c>
      <c r="B9" s="551" t="s">
        <v>1420</v>
      </c>
      <c r="C9" s="551"/>
      <c r="D9" s="551"/>
      <c r="E9" s="551"/>
      <c r="F9" s="551"/>
      <c r="G9" s="551"/>
      <c r="H9" s="15">
        <v>20</v>
      </c>
      <c r="I9" s="9" t="s">
        <v>1388</v>
      </c>
      <c r="J9" s="9"/>
      <c r="K9" s="274"/>
      <c r="L9" s="274"/>
      <c r="M9" s="274"/>
      <c r="N9" s="274"/>
      <c r="O9" s="274"/>
      <c r="P9" s="274"/>
      <c r="Q9" s="274"/>
      <c r="R9" s="274"/>
      <c r="S9" s="274"/>
      <c r="T9" s="274"/>
      <c r="U9" s="274"/>
      <c r="V9" s="274"/>
      <c r="W9" s="597"/>
      <c r="X9" s="597"/>
      <c r="Y9" s="597"/>
      <c r="Z9" s="451"/>
    </row>
    <row r="10" spans="1:26" s="14" customFormat="1" ht="24">
      <c r="A10" s="23" t="s">
        <v>68</v>
      </c>
      <c r="B10" s="551" t="s">
        <v>1421</v>
      </c>
      <c r="C10" s="551"/>
      <c r="D10" s="551"/>
      <c r="E10" s="551"/>
      <c r="F10" s="551"/>
      <c r="G10" s="551"/>
      <c r="H10" s="15">
        <v>10</v>
      </c>
      <c r="I10" s="9" t="s">
        <v>1388</v>
      </c>
      <c r="J10" s="9"/>
      <c r="K10" s="274"/>
      <c r="L10" s="274"/>
      <c r="M10" s="274"/>
      <c r="N10" s="274"/>
      <c r="O10" s="274"/>
      <c r="P10" s="274"/>
      <c r="Q10" s="274"/>
      <c r="R10" s="274"/>
      <c r="S10" s="274"/>
      <c r="T10" s="274"/>
      <c r="U10" s="274"/>
      <c r="V10" s="274"/>
      <c r="W10" s="518"/>
      <c r="X10" s="518"/>
      <c r="Y10" s="518"/>
      <c r="Z10" s="451"/>
    </row>
    <row r="11" spans="1:26" s="14" customFormat="1" ht="24">
      <c r="A11" s="23" t="s">
        <v>70</v>
      </c>
      <c r="B11" s="551" t="s">
        <v>1422</v>
      </c>
      <c r="C11" s="551"/>
      <c r="D11" s="551"/>
      <c r="E11" s="551"/>
      <c r="F11" s="551"/>
      <c r="G11" s="551"/>
      <c r="H11" s="15">
        <v>40</v>
      </c>
      <c r="I11" s="9" t="s">
        <v>1388</v>
      </c>
      <c r="J11" s="9"/>
      <c r="K11" s="274"/>
      <c r="L11" s="274"/>
      <c r="M11" s="274"/>
      <c r="N11" s="274"/>
      <c r="O11" s="274"/>
      <c r="P11" s="274"/>
      <c r="Q11" s="274"/>
      <c r="R11" s="274"/>
      <c r="S11" s="274"/>
      <c r="T11" s="274"/>
      <c r="U11" s="274"/>
      <c r="V11" s="274"/>
      <c r="W11" s="518"/>
      <c r="X11" s="518"/>
      <c r="Y11" s="518"/>
      <c r="Z11" s="451"/>
    </row>
    <row r="12" spans="1:26" s="14" customFormat="1" ht="24">
      <c r="A12" s="23" t="s">
        <v>153</v>
      </c>
      <c r="B12" s="530" t="s">
        <v>1423</v>
      </c>
      <c r="C12" s="531"/>
      <c r="D12" s="531"/>
      <c r="E12" s="531"/>
      <c r="F12" s="531"/>
      <c r="G12" s="532"/>
      <c r="H12" s="15">
        <v>10</v>
      </c>
      <c r="I12" s="9" t="s">
        <v>1388</v>
      </c>
      <c r="J12" s="9"/>
      <c r="K12" s="274"/>
      <c r="L12" s="274"/>
      <c r="M12" s="274"/>
      <c r="N12" s="274"/>
      <c r="O12" s="274"/>
      <c r="P12" s="274"/>
      <c r="Q12" s="274"/>
      <c r="R12" s="274"/>
      <c r="S12" s="274"/>
      <c r="T12" s="274"/>
      <c r="U12" s="274"/>
      <c r="V12" s="274"/>
      <c r="W12" s="597"/>
      <c r="X12" s="597"/>
      <c r="Y12" s="597"/>
      <c r="Z12" s="451"/>
    </row>
    <row r="13" spans="1:26" s="14" customFormat="1" ht="24">
      <c r="A13" s="23" t="s">
        <v>155</v>
      </c>
      <c r="B13" s="530"/>
      <c r="C13" s="531"/>
      <c r="D13" s="531"/>
      <c r="E13" s="531"/>
      <c r="F13" s="531"/>
      <c r="G13" s="532"/>
      <c r="H13" s="15" t="s">
        <v>1415</v>
      </c>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3557C-E6C0-4344-AB01-1C924CA58B93}">
  <dimension ref="A1:Z20"/>
  <sheetViews>
    <sheetView rightToLeft="1" view="pageBreakPreview" zoomScale="70" zoomScaleNormal="90" zoomScaleSheetLayoutView="70" workbookViewId="0">
      <selection activeCell="E16" sqref="E16:F1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37"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1406</v>
      </c>
      <c r="B3" s="657"/>
      <c r="C3" s="657"/>
      <c r="D3" s="657"/>
      <c r="E3" s="658"/>
      <c r="F3" s="659" t="s">
        <v>178</v>
      </c>
      <c r="G3" s="660"/>
      <c r="H3" s="697" t="s">
        <v>1407</v>
      </c>
      <c r="I3" s="662"/>
      <c r="J3" s="662"/>
      <c r="K3" s="662"/>
      <c r="L3" s="662"/>
      <c r="M3" s="662"/>
      <c r="N3" s="662"/>
      <c r="O3" s="662"/>
      <c r="P3" s="662"/>
      <c r="Q3" s="662"/>
      <c r="R3" s="662"/>
      <c r="S3" s="662"/>
      <c r="T3" s="662"/>
      <c r="U3" s="662"/>
      <c r="V3" s="662"/>
      <c r="W3" s="662"/>
      <c r="X3" s="662"/>
      <c r="Y3" s="663"/>
      <c r="Z3" s="451"/>
    </row>
    <row r="4" spans="1:26" s="3" customFormat="1" ht="28.5">
      <c r="A4" s="667" t="s">
        <v>1391</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1408</v>
      </c>
      <c r="B5" s="673"/>
      <c r="C5" s="673"/>
      <c r="D5" s="673"/>
      <c r="E5" s="674"/>
      <c r="F5" s="675" t="s">
        <v>1373</v>
      </c>
      <c r="G5" s="675"/>
      <c r="H5" s="676" t="s">
        <v>1372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2.75" customHeight="1">
      <c r="A8" s="23" t="s">
        <v>28</v>
      </c>
      <c r="B8" s="551" t="s">
        <v>1409</v>
      </c>
      <c r="C8" s="551"/>
      <c r="D8" s="551"/>
      <c r="E8" s="551"/>
      <c r="F8" s="551"/>
      <c r="G8" s="551"/>
      <c r="H8" s="15">
        <v>20</v>
      </c>
      <c r="I8" s="9" t="s">
        <v>1388</v>
      </c>
      <c r="J8" s="9"/>
      <c r="K8" s="274"/>
      <c r="L8" s="274"/>
      <c r="M8" s="16"/>
      <c r="N8" s="16"/>
      <c r="O8" s="16"/>
      <c r="P8" s="16"/>
      <c r="Q8" s="16"/>
      <c r="R8" s="16"/>
      <c r="S8" s="16"/>
      <c r="T8" s="16"/>
      <c r="U8" s="16"/>
      <c r="V8" s="16"/>
      <c r="W8" s="594"/>
      <c r="X8" s="595"/>
      <c r="Y8" s="596"/>
      <c r="Z8" s="451"/>
    </row>
    <row r="9" spans="1:26" s="14" customFormat="1" ht="42.75" customHeight="1">
      <c r="A9" s="23" t="s">
        <v>66</v>
      </c>
      <c r="B9" s="551" t="s">
        <v>1410</v>
      </c>
      <c r="C9" s="551"/>
      <c r="D9" s="551"/>
      <c r="E9" s="551"/>
      <c r="F9" s="551"/>
      <c r="G9" s="551"/>
      <c r="H9" s="15">
        <v>20</v>
      </c>
      <c r="I9" s="9" t="s">
        <v>1411</v>
      </c>
      <c r="J9" s="9"/>
      <c r="K9" s="16"/>
      <c r="L9" s="16"/>
      <c r="M9" s="274"/>
      <c r="N9" s="274"/>
      <c r="O9" s="274"/>
      <c r="P9" s="274"/>
      <c r="Q9" s="274"/>
      <c r="R9" s="274"/>
      <c r="S9" s="274"/>
      <c r="T9" s="274"/>
      <c r="U9" s="274"/>
      <c r="V9" s="274"/>
      <c r="W9" s="597"/>
      <c r="X9" s="597"/>
      <c r="Y9" s="597"/>
      <c r="Z9" s="451"/>
    </row>
    <row r="10" spans="1:26" s="14" customFormat="1" ht="42.75" customHeight="1">
      <c r="A10" s="23" t="s">
        <v>68</v>
      </c>
      <c r="B10" s="551" t="s">
        <v>1412</v>
      </c>
      <c r="C10" s="551"/>
      <c r="D10" s="551"/>
      <c r="E10" s="551"/>
      <c r="F10" s="551"/>
      <c r="G10" s="551"/>
      <c r="H10" s="15">
        <v>40</v>
      </c>
      <c r="I10" s="9" t="s">
        <v>1413</v>
      </c>
      <c r="J10" s="9"/>
      <c r="K10" s="16"/>
      <c r="L10" s="16"/>
      <c r="M10" s="274"/>
      <c r="N10" s="274"/>
      <c r="O10" s="274"/>
      <c r="P10" s="274"/>
      <c r="Q10" s="274"/>
      <c r="R10" s="274"/>
      <c r="S10" s="274"/>
      <c r="T10" s="274"/>
      <c r="U10" s="274"/>
      <c r="V10" s="274"/>
      <c r="W10" s="518"/>
      <c r="X10" s="518"/>
      <c r="Y10" s="518"/>
      <c r="Z10" s="451"/>
    </row>
    <row r="11" spans="1:26" s="14" customFormat="1" ht="42.75" customHeight="1">
      <c r="A11" s="23" t="s">
        <v>70</v>
      </c>
      <c r="B11" s="551" t="s">
        <v>1414</v>
      </c>
      <c r="C11" s="551"/>
      <c r="D11" s="551"/>
      <c r="E11" s="551"/>
      <c r="F11" s="551"/>
      <c r="G11" s="551"/>
      <c r="H11" s="15">
        <v>20</v>
      </c>
      <c r="I11" s="9" t="s">
        <v>1388</v>
      </c>
      <c r="J11" s="9"/>
      <c r="K11" s="16"/>
      <c r="L11" s="16"/>
      <c r="M11" s="274"/>
      <c r="N11" s="274"/>
      <c r="O11" s="274"/>
      <c r="P11" s="274"/>
      <c r="Q11" s="274"/>
      <c r="R11" s="274"/>
      <c r="S11" s="274"/>
      <c r="T11" s="274"/>
      <c r="U11" s="274"/>
      <c r="V11" s="274"/>
      <c r="W11" s="518"/>
      <c r="X11" s="518"/>
      <c r="Y11" s="518"/>
      <c r="Z11" s="451"/>
    </row>
    <row r="12" spans="1:26" s="14" customFormat="1" ht="24">
      <c r="A12" s="23" t="s">
        <v>153</v>
      </c>
      <c r="B12" s="530"/>
      <c r="C12" s="531"/>
      <c r="D12" s="531"/>
      <c r="E12" s="531"/>
      <c r="F12" s="531"/>
      <c r="G12" s="532"/>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t="s">
        <v>1415</v>
      </c>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t="s">
        <v>1294</v>
      </c>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E1F9-56C2-4CB4-B90A-8EEB9F31E58B}">
  <dimension ref="A1:Z35"/>
  <sheetViews>
    <sheetView rightToLeft="1" view="pageBreakPreview" zoomScale="80" zoomScaleNormal="90" zoomScaleSheetLayoutView="80" workbookViewId="0">
      <selection activeCell="G15" sqref="G15:G1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37"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1393</v>
      </c>
      <c r="B3" s="657"/>
      <c r="C3" s="657"/>
      <c r="D3" s="657"/>
      <c r="E3" s="658"/>
      <c r="F3" s="659" t="s">
        <v>178</v>
      </c>
      <c r="G3" s="660"/>
      <c r="H3" s="697" t="s">
        <v>1394</v>
      </c>
      <c r="I3" s="662"/>
      <c r="J3" s="662"/>
      <c r="K3" s="662"/>
      <c r="L3" s="662"/>
      <c r="M3" s="662"/>
      <c r="N3" s="662"/>
      <c r="O3" s="662"/>
      <c r="P3" s="662"/>
      <c r="Q3" s="662"/>
      <c r="R3" s="662"/>
      <c r="S3" s="662"/>
      <c r="T3" s="662"/>
      <c r="U3" s="662"/>
      <c r="V3" s="662"/>
      <c r="W3" s="662"/>
      <c r="X3" s="662"/>
      <c r="Y3" s="663"/>
      <c r="Z3" s="451"/>
    </row>
    <row r="4" spans="1:26" s="3" customFormat="1" ht="28.5">
      <c r="A4" s="667" t="s">
        <v>1391</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1395</v>
      </c>
      <c r="B5" s="673"/>
      <c r="C5" s="673"/>
      <c r="D5" s="673"/>
      <c r="E5" s="674"/>
      <c r="F5" s="675" t="s">
        <v>1373</v>
      </c>
      <c r="G5" s="675"/>
      <c r="H5" s="676" t="s">
        <v>1372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1396</v>
      </c>
      <c r="C8" s="551"/>
      <c r="D8" s="551"/>
      <c r="E8" s="551"/>
      <c r="F8" s="551"/>
      <c r="G8" s="551"/>
      <c r="H8" s="15">
        <v>20</v>
      </c>
      <c r="I8" s="9" t="s">
        <v>1388</v>
      </c>
      <c r="J8" s="9"/>
      <c r="K8" s="274"/>
      <c r="L8" s="274"/>
      <c r="M8" s="276"/>
      <c r="N8" s="276"/>
      <c r="O8" s="16"/>
      <c r="P8" s="16"/>
      <c r="Q8" s="16"/>
      <c r="R8" s="16"/>
      <c r="S8" s="16"/>
      <c r="T8" s="16"/>
      <c r="U8" s="16"/>
      <c r="V8" s="16"/>
      <c r="W8" s="594"/>
      <c r="X8" s="595"/>
      <c r="Y8" s="596"/>
      <c r="Z8" s="451"/>
    </row>
    <row r="9" spans="1:26" s="14" customFormat="1" ht="24">
      <c r="A9" s="23" t="s">
        <v>66</v>
      </c>
      <c r="B9" s="530" t="s">
        <v>1397</v>
      </c>
      <c r="C9" s="531"/>
      <c r="D9" s="531"/>
      <c r="E9" s="531"/>
      <c r="F9" s="531"/>
      <c r="G9" s="532"/>
      <c r="H9" s="15">
        <v>10</v>
      </c>
      <c r="I9" s="9" t="s">
        <v>1388</v>
      </c>
      <c r="J9" s="9"/>
      <c r="K9" s="274"/>
      <c r="L9" s="274"/>
      <c r="M9" s="276"/>
      <c r="N9" s="276"/>
      <c r="O9" s="16"/>
      <c r="P9" s="16"/>
      <c r="Q9" s="16"/>
      <c r="R9" s="16"/>
      <c r="S9" s="16"/>
      <c r="T9" s="16"/>
      <c r="U9" s="16"/>
      <c r="V9" s="16"/>
      <c r="W9" s="228"/>
      <c r="X9" s="229"/>
      <c r="Y9" s="230"/>
      <c r="Z9" s="451"/>
    </row>
    <row r="10" spans="1:26" s="14" customFormat="1" ht="45">
      <c r="A10" s="23" t="s">
        <v>68</v>
      </c>
      <c r="B10" s="551" t="s">
        <v>1398</v>
      </c>
      <c r="C10" s="551"/>
      <c r="D10" s="551"/>
      <c r="E10" s="551"/>
      <c r="F10" s="551"/>
      <c r="G10" s="551"/>
      <c r="H10" s="15">
        <v>30</v>
      </c>
      <c r="I10" s="9" t="s">
        <v>1399</v>
      </c>
      <c r="J10" s="9"/>
      <c r="K10" s="276"/>
      <c r="L10" s="276"/>
      <c r="M10" s="276"/>
      <c r="N10" s="276"/>
      <c r="O10" s="16"/>
      <c r="P10" s="16"/>
      <c r="Q10" s="16"/>
      <c r="R10" s="16"/>
      <c r="S10" s="16"/>
      <c r="T10" s="16"/>
      <c r="U10" s="16"/>
      <c r="V10" s="16"/>
      <c r="W10" s="597"/>
      <c r="X10" s="597"/>
      <c r="Y10" s="597"/>
      <c r="Z10" s="451"/>
    </row>
    <row r="11" spans="1:26" s="14" customFormat="1" ht="24">
      <c r="A11" s="23" t="s">
        <v>70</v>
      </c>
      <c r="B11" s="551" t="s">
        <v>1400</v>
      </c>
      <c r="C11" s="551"/>
      <c r="D11" s="551"/>
      <c r="E11" s="551"/>
      <c r="F11" s="551"/>
      <c r="G11" s="551"/>
      <c r="H11" s="15">
        <v>10</v>
      </c>
      <c r="I11" s="9" t="s">
        <v>1388</v>
      </c>
      <c r="J11" s="9"/>
      <c r="K11" s="16"/>
      <c r="L11" s="16"/>
      <c r="M11" s="16"/>
      <c r="N11" s="16"/>
      <c r="O11" s="276"/>
      <c r="P11" s="276"/>
      <c r="Q11" s="276"/>
      <c r="R11" s="276"/>
      <c r="S11" s="276"/>
      <c r="T11" s="276"/>
      <c r="U11" s="276"/>
      <c r="V11" s="276"/>
      <c r="W11" s="518"/>
      <c r="X11" s="518"/>
      <c r="Y11" s="518"/>
      <c r="Z11" s="451"/>
    </row>
    <row r="12" spans="1:26" s="14" customFormat="1" ht="45">
      <c r="A12" s="23" t="s">
        <v>153</v>
      </c>
      <c r="B12" s="530" t="s">
        <v>1401</v>
      </c>
      <c r="C12" s="531"/>
      <c r="D12" s="531"/>
      <c r="E12" s="531"/>
      <c r="F12" s="531"/>
      <c r="G12" s="532"/>
      <c r="H12" s="15">
        <v>20</v>
      </c>
      <c r="I12" s="9" t="s">
        <v>1399</v>
      </c>
      <c r="J12" s="9"/>
      <c r="K12" s="16"/>
      <c r="L12" s="16"/>
      <c r="M12" s="16"/>
      <c r="N12" s="16"/>
      <c r="O12" s="274"/>
      <c r="P12" s="16"/>
      <c r="Q12" s="16"/>
      <c r="R12" s="16"/>
      <c r="S12" s="16"/>
      <c r="T12" s="16"/>
      <c r="U12" s="16"/>
      <c r="V12" s="16"/>
      <c r="W12" s="594"/>
      <c r="X12" s="595"/>
      <c r="Y12" s="596"/>
      <c r="Z12" s="451"/>
    </row>
    <row r="13" spans="1:26" s="14" customFormat="1" ht="24.75" thickBot="1">
      <c r="A13" s="23" t="s">
        <v>155</v>
      </c>
      <c r="B13" s="551" t="s">
        <v>1402</v>
      </c>
      <c r="C13" s="551"/>
      <c r="D13" s="551"/>
      <c r="E13" s="551"/>
      <c r="F13" s="551"/>
      <c r="G13" s="551"/>
      <c r="H13" s="15">
        <v>10</v>
      </c>
      <c r="I13" s="9" t="s">
        <v>1403</v>
      </c>
      <c r="J13" s="9"/>
      <c r="K13" s="232"/>
      <c r="L13" s="232"/>
      <c r="M13" s="232"/>
      <c r="N13" s="232"/>
      <c r="O13" s="277"/>
      <c r="P13" s="277"/>
      <c r="Q13" s="277"/>
      <c r="R13" s="277"/>
      <c r="S13" s="277"/>
      <c r="T13" s="277"/>
      <c r="U13" s="277"/>
      <c r="V13" s="277"/>
      <c r="W13" s="679"/>
      <c r="X13" s="680"/>
      <c r="Y13" s="681"/>
      <c r="Z13" s="451"/>
    </row>
    <row r="14" spans="1:26" ht="30" customHeight="1" thickTop="1" thickBot="1">
      <c r="A14" s="519" t="s">
        <v>72</v>
      </c>
      <c r="B14" s="520"/>
      <c r="C14" s="520"/>
      <c r="D14" s="521"/>
      <c r="E14" s="527" t="s">
        <v>73</v>
      </c>
      <c r="F14" s="528"/>
      <c r="G14" s="528"/>
      <c r="H14" s="528"/>
      <c r="I14" s="528"/>
      <c r="J14" s="527" t="s">
        <v>74</v>
      </c>
      <c r="K14" s="528"/>
      <c r="L14" s="528"/>
      <c r="M14" s="529"/>
      <c r="N14" s="543" t="s">
        <v>75</v>
      </c>
      <c r="O14" s="544"/>
      <c r="P14" s="544"/>
      <c r="Q14" s="544"/>
      <c r="R14" s="544"/>
      <c r="S14" s="544"/>
      <c r="T14" s="544"/>
      <c r="U14" s="544"/>
      <c r="V14" s="545"/>
      <c r="W14" s="543" t="s">
        <v>76</v>
      </c>
      <c r="X14" s="544"/>
      <c r="Y14" s="545"/>
      <c r="Z14" s="451"/>
    </row>
    <row r="15" spans="1:26" s="20" customFormat="1" ht="29.25" customHeight="1" thickTop="1">
      <c r="A15" s="522"/>
      <c r="B15" s="498"/>
      <c r="C15" s="498"/>
      <c r="D15" s="523"/>
      <c r="E15" s="533" t="s">
        <v>1404</v>
      </c>
      <c r="F15" s="534"/>
      <c r="G15" s="698" t="s">
        <v>1405</v>
      </c>
      <c r="H15" s="533"/>
      <c r="I15" s="534"/>
      <c r="J15" s="541" t="s">
        <v>47</v>
      </c>
      <c r="K15" s="539"/>
      <c r="L15" s="539"/>
      <c r="M15" s="534"/>
      <c r="N15" s="546"/>
      <c r="O15" s="481"/>
      <c r="P15" s="481"/>
      <c r="Q15" s="481"/>
      <c r="R15" s="481"/>
      <c r="S15" s="481"/>
      <c r="T15" s="481"/>
      <c r="U15" s="481"/>
      <c r="V15" s="547"/>
      <c r="W15" s="546"/>
      <c r="X15" s="481"/>
      <c r="Y15" s="547"/>
    </row>
    <row r="16" spans="1:26" s="20" customFormat="1" ht="29.25" thickBot="1">
      <c r="A16" s="522"/>
      <c r="B16" s="498"/>
      <c r="C16" s="498"/>
      <c r="D16" s="523"/>
      <c r="E16" s="535"/>
      <c r="F16" s="536"/>
      <c r="G16" s="699"/>
      <c r="H16" s="535"/>
      <c r="I16" s="536"/>
      <c r="J16" s="542"/>
      <c r="K16" s="540"/>
      <c r="L16" s="540"/>
      <c r="M16" s="538"/>
      <c r="N16" s="546"/>
      <c r="O16" s="481"/>
      <c r="P16" s="481"/>
      <c r="Q16" s="481"/>
      <c r="R16" s="481"/>
      <c r="S16" s="481"/>
      <c r="T16" s="481"/>
      <c r="U16" s="481"/>
      <c r="V16" s="547"/>
      <c r="W16" s="546"/>
      <c r="X16" s="481"/>
      <c r="Y16" s="547"/>
    </row>
    <row r="17" spans="1:25" s="20" customFormat="1" ht="29.25" thickTop="1">
      <c r="A17" s="522"/>
      <c r="B17" s="498"/>
      <c r="C17" s="498"/>
      <c r="D17" s="523"/>
      <c r="E17" s="535"/>
      <c r="F17" s="536"/>
      <c r="G17" s="699"/>
      <c r="H17" s="535"/>
      <c r="I17" s="536"/>
      <c r="J17" s="541" t="s">
        <v>48</v>
      </c>
      <c r="K17" s="539"/>
      <c r="L17" s="539"/>
      <c r="M17" s="534"/>
      <c r="N17" s="546"/>
      <c r="O17" s="481"/>
      <c r="P17" s="481"/>
      <c r="Q17" s="481"/>
      <c r="R17" s="481"/>
      <c r="S17" s="481"/>
      <c r="T17" s="481"/>
      <c r="U17" s="481"/>
      <c r="V17" s="547"/>
      <c r="W17" s="546"/>
      <c r="X17" s="481"/>
      <c r="Y17" s="547"/>
    </row>
    <row r="18" spans="1:25" s="20" customFormat="1" ht="29.25" thickBot="1">
      <c r="A18" s="524"/>
      <c r="B18" s="525"/>
      <c r="C18" s="525"/>
      <c r="D18" s="526"/>
      <c r="E18" s="537"/>
      <c r="F18" s="538"/>
      <c r="G18" s="542"/>
      <c r="H18" s="537"/>
      <c r="I18" s="538"/>
      <c r="J18" s="542"/>
      <c r="K18" s="540"/>
      <c r="L18" s="540"/>
      <c r="M18" s="538"/>
      <c r="N18" s="548"/>
      <c r="O18" s="549"/>
      <c r="P18" s="549"/>
      <c r="Q18" s="549"/>
      <c r="R18" s="549"/>
      <c r="S18" s="549"/>
      <c r="T18" s="549"/>
      <c r="U18" s="549"/>
      <c r="V18" s="550"/>
      <c r="W18" s="548"/>
      <c r="X18" s="549"/>
      <c r="Y18" s="550"/>
    </row>
    <row r="19" spans="1:25" ht="18.75" thickTop="1"/>
    <row r="21" spans="1:25">
      <c r="D21"/>
      <c r="E21"/>
      <c r="F21"/>
      <c r="G21"/>
    </row>
    <row r="22" spans="1:25">
      <c r="D22"/>
      <c r="E22"/>
      <c r="F22"/>
      <c r="G22"/>
    </row>
    <row r="23" spans="1:25">
      <c r="D23"/>
      <c r="E23"/>
      <c r="F23"/>
      <c r="G23"/>
    </row>
    <row r="24" spans="1:25">
      <c r="D24"/>
      <c r="E24"/>
      <c r="F24"/>
      <c r="G24"/>
    </row>
    <row r="25" spans="1:25">
      <c r="D25"/>
      <c r="E25"/>
      <c r="F25"/>
      <c r="G25"/>
    </row>
    <row r="26" spans="1:25">
      <c r="D26"/>
      <c r="E26"/>
      <c r="F26"/>
      <c r="G26"/>
    </row>
    <row r="27" spans="1:25">
      <c r="D27"/>
      <c r="E27"/>
      <c r="F27"/>
      <c r="G27"/>
    </row>
    <row r="28" spans="1:25">
      <c r="D28"/>
      <c r="E28"/>
      <c r="F28"/>
      <c r="G28"/>
    </row>
    <row r="29" spans="1:25">
      <c r="D29"/>
      <c r="E29"/>
      <c r="F29"/>
      <c r="G29"/>
    </row>
    <row r="30" spans="1:25">
      <c r="D30"/>
      <c r="E30"/>
      <c r="F30"/>
      <c r="G30"/>
    </row>
    <row r="31" spans="1:25">
      <c r="D31"/>
      <c r="E31"/>
      <c r="F31"/>
      <c r="G31"/>
    </row>
    <row r="32" spans="1:25">
      <c r="D32"/>
      <c r="E32"/>
      <c r="F32"/>
      <c r="G32"/>
    </row>
    <row r="33" spans="4:7">
      <c r="D33"/>
      <c r="E33"/>
      <c r="F33"/>
      <c r="G33"/>
    </row>
    <row r="34" spans="4:7">
      <c r="D34"/>
      <c r="E34"/>
      <c r="F34"/>
      <c r="G34"/>
    </row>
    <row r="35" spans="4:7">
      <c r="D35"/>
      <c r="E35"/>
      <c r="F35"/>
      <c r="G35"/>
    </row>
  </sheetData>
  <mergeCells count="41">
    <mergeCell ref="B13:G13"/>
    <mergeCell ref="W13:Y13"/>
    <mergeCell ref="A14:D18"/>
    <mergeCell ref="E14:I14"/>
    <mergeCell ref="J14:M14"/>
    <mergeCell ref="N14:V18"/>
    <mergeCell ref="W14:Y18"/>
    <mergeCell ref="E15:F18"/>
    <mergeCell ref="G15:G18"/>
    <mergeCell ref="H15:I18"/>
    <mergeCell ref="J15:J16"/>
    <mergeCell ref="K15:M16"/>
    <mergeCell ref="J17:J18"/>
    <mergeCell ref="K17:M18"/>
    <mergeCell ref="B9:G9"/>
    <mergeCell ref="B10:G10"/>
    <mergeCell ref="W10:Y10"/>
    <mergeCell ref="B12:G12"/>
    <mergeCell ref="W12:Y12"/>
    <mergeCell ref="I6:I7"/>
    <mergeCell ref="J6:J7"/>
    <mergeCell ref="K6:V6"/>
    <mergeCell ref="W6:Y7"/>
    <mergeCell ref="B8:G8"/>
    <mergeCell ref="W8:Y8"/>
    <mergeCell ref="A1:Y1"/>
    <mergeCell ref="Z1:Z14"/>
    <mergeCell ref="A2:Y2"/>
    <mergeCell ref="A3:E3"/>
    <mergeCell ref="F3:G3"/>
    <mergeCell ref="H3:Y4"/>
    <mergeCell ref="A4:E4"/>
    <mergeCell ref="F4:G4"/>
    <mergeCell ref="A5:E5"/>
    <mergeCell ref="F5:G5"/>
    <mergeCell ref="B11:G11"/>
    <mergeCell ref="W11:Y11"/>
    <mergeCell ref="H5:Y5"/>
    <mergeCell ref="A6:A7"/>
    <mergeCell ref="B6:G7"/>
    <mergeCell ref="H6:H7"/>
  </mergeCells>
  <printOptions horizontalCentered="1" verticalCentered="1"/>
  <pageMargins left="0" right="0" top="0" bottom="0" header="0" footer="0"/>
  <pageSetup scale="45"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2927-1AC0-4759-B02A-C937CB1FD6C7}">
  <dimension ref="A1:Z20"/>
  <sheetViews>
    <sheetView rightToLeft="1" view="pageBreakPreview" topLeftCell="A4" zoomScale="90" zoomScaleNormal="90" zoomScaleSheetLayoutView="90" workbookViewId="0">
      <selection activeCell="E16" sqref="E16:F1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37"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1376</v>
      </c>
      <c r="B3" s="657"/>
      <c r="C3" s="657"/>
      <c r="D3" s="657"/>
      <c r="E3" s="658"/>
      <c r="F3" s="659" t="s">
        <v>178</v>
      </c>
      <c r="G3" s="660"/>
      <c r="H3" s="697" t="s">
        <v>1392</v>
      </c>
      <c r="I3" s="662"/>
      <c r="J3" s="662"/>
      <c r="K3" s="662"/>
      <c r="L3" s="662"/>
      <c r="M3" s="662"/>
      <c r="N3" s="662"/>
      <c r="O3" s="662"/>
      <c r="P3" s="662"/>
      <c r="Q3" s="662"/>
      <c r="R3" s="662"/>
      <c r="S3" s="662"/>
      <c r="T3" s="662"/>
      <c r="U3" s="662"/>
      <c r="V3" s="662"/>
      <c r="W3" s="662"/>
      <c r="X3" s="662"/>
      <c r="Y3" s="663"/>
      <c r="Z3" s="451"/>
    </row>
    <row r="4" spans="1:26" s="3" customFormat="1" ht="28.5">
      <c r="A4" s="667" t="s">
        <v>1391</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1374</v>
      </c>
      <c r="B5" s="673"/>
      <c r="C5" s="673"/>
      <c r="D5" s="673"/>
      <c r="E5" s="674"/>
      <c r="F5" s="675" t="s">
        <v>1373</v>
      </c>
      <c r="G5" s="675"/>
      <c r="H5" s="676" t="s">
        <v>1372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1390</v>
      </c>
      <c r="C8" s="551"/>
      <c r="D8" s="551"/>
      <c r="E8" s="551"/>
      <c r="F8" s="551"/>
      <c r="G8" s="551"/>
      <c r="H8" s="15">
        <v>20</v>
      </c>
      <c r="I8" s="9" t="s">
        <v>1387</v>
      </c>
      <c r="J8" s="9"/>
      <c r="K8" s="274"/>
      <c r="L8" s="274"/>
      <c r="M8" s="274"/>
      <c r="N8" s="16"/>
      <c r="O8" s="16"/>
      <c r="P8" s="16"/>
      <c r="Q8" s="16"/>
      <c r="R8" s="16"/>
      <c r="S8" s="16"/>
      <c r="T8" s="16"/>
      <c r="U8" s="16"/>
      <c r="V8" s="16"/>
      <c r="W8" s="594"/>
      <c r="X8" s="595"/>
      <c r="Y8" s="596"/>
      <c r="Z8" s="451"/>
    </row>
    <row r="9" spans="1:26" s="14" customFormat="1" ht="45">
      <c r="A9" s="23" t="s">
        <v>66</v>
      </c>
      <c r="B9" s="551" t="s">
        <v>1389</v>
      </c>
      <c r="C9" s="551"/>
      <c r="D9" s="551"/>
      <c r="E9" s="551"/>
      <c r="F9" s="551"/>
      <c r="G9" s="551"/>
      <c r="H9" s="15">
        <v>15</v>
      </c>
      <c r="I9" s="9" t="s">
        <v>1387</v>
      </c>
      <c r="J9" s="9"/>
      <c r="K9" s="16"/>
      <c r="L9" s="16"/>
      <c r="M9" s="16"/>
      <c r="N9" s="274"/>
      <c r="O9" s="274"/>
      <c r="P9" s="274"/>
      <c r="Q9" s="274"/>
      <c r="R9" s="274"/>
      <c r="S9" s="274"/>
      <c r="T9" s="274"/>
      <c r="U9" s="16"/>
      <c r="V9" s="16"/>
      <c r="W9" s="597"/>
      <c r="X9" s="597"/>
      <c r="Y9" s="597"/>
      <c r="Z9" s="451"/>
    </row>
    <row r="10" spans="1:26" s="14" customFormat="1" ht="24">
      <c r="A10" s="23" t="s">
        <v>68</v>
      </c>
      <c r="B10" s="551" t="s">
        <v>1368</v>
      </c>
      <c r="C10" s="551"/>
      <c r="D10" s="551"/>
      <c r="E10" s="551"/>
      <c r="F10" s="551"/>
      <c r="G10" s="551"/>
      <c r="H10" s="15">
        <v>10</v>
      </c>
      <c r="I10" s="9" t="s">
        <v>1388</v>
      </c>
      <c r="J10" s="9"/>
      <c r="K10" s="16"/>
      <c r="L10" s="16"/>
      <c r="M10" s="16"/>
      <c r="N10" s="274"/>
      <c r="O10" s="274"/>
      <c r="P10" s="16"/>
      <c r="Q10" s="16"/>
      <c r="R10" s="16"/>
      <c r="S10" s="16"/>
      <c r="T10" s="16"/>
      <c r="U10" s="16"/>
      <c r="V10" s="16"/>
      <c r="W10" s="518"/>
      <c r="X10" s="518"/>
      <c r="Y10" s="518"/>
      <c r="Z10" s="451"/>
    </row>
    <row r="11" spans="1:26" s="14" customFormat="1" ht="45">
      <c r="A11" s="23" t="s">
        <v>70</v>
      </c>
      <c r="B11" s="551" t="s">
        <v>1366</v>
      </c>
      <c r="C11" s="551"/>
      <c r="D11" s="551"/>
      <c r="E11" s="551"/>
      <c r="F11" s="551"/>
      <c r="G11" s="551"/>
      <c r="H11" s="15">
        <v>20</v>
      </c>
      <c r="I11" s="9" t="s">
        <v>1387</v>
      </c>
      <c r="J11" s="9"/>
      <c r="K11" s="16"/>
      <c r="L11" s="16"/>
      <c r="M11" s="16"/>
      <c r="N11" s="274"/>
      <c r="O11" s="274"/>
      <c r="P11" s="274"/>
      <c r="Q11" s="274"/>
      <c r="R11" s="274"/>
      <c r="S11" s="274"/>
      <c r="T11" s="274"/>
      <c r="U11" s="16"/>
      <c r="V11" s="16"/>
      <c r="W11" s="518"/>
      <c r="X11" s="518"/>
      <c r="Y11" s="518"/>
      <c r="Z11" s="451"/>
    </row>
    <row r="12" spans="1:26" s="14" customFormat="1" ht="45">
      <c r="A12" s="23" t="s">
        <v>153</v>
      </c>
      <c r="B12" s="551" t="s">
        <v>1365</v>
      </c>
      <c r="C12" s="551"/>
      <c r="D12" s="551"/>
      <c r="E12" s="551"/>
      <c r="F12" s="551"/>
      <c r="G12" s="551"/>
      <c r="H12" s="15">
        <v>20</v>
      </c>
      <c r="I12" s="9" t="s">
        <v>1387</v>
      </c>
      <c r="J12" s="9"/>
      <c r="K12" s="16"/>
      <c r="L12" s="16"/>
      <c r="M12" s="16"/>
      <c r="N12" s="274"/>
      <c r="O12" s="274"/>
      <c r="P12" s="274"/>
      <c r="Q12" s="274"/>
      <c r="R12" s="274"/>
      <c r="S12" s="274"/>
      <c r="T12" s="274"/>
      <c r="U12" s="16"/>
      <c r="V12" s="16"/>
      <c r="W12" s="597"/>
      <c r="X12" s="597"/>
      <c r="Y12" s="597"/>
      <c r="Z12" s="451"/>
    </row>
    <row r="13" spans="1:26" s="14" customFormat="1" ht="24">
      <c r="A13" s="23" t="s">
        <v>155</v>
      </c>
      <c r="B13" s="530" t="s">
        <v>1364</v>
      </c>
      <c r="C13" s="531"/>
      <c r="D13" s="531"/>
      <c r="E13" s="531"/>
      <c r="F13" s="531"/>
      <c r="G13" s="532"/>
      <c r="H13" s="15">
        <v>5</v>
      </c>
      <c r="I13" s="9" t="s">
        <v>1388</v>
      </c>
      <c r="J13" s="9"/>
      <c r="K13" s="274"/>
      <c r="L13" s="16"/>
      <c r="M13" s="16"/>
      <c r="N13" s="16"/>
      <c r="O13" s="16"/>
      <c r="P13" s="16"/>
      <c r="Q13" s="16"/>
      <c r="R13" s="16"/>
      <c r="S13" s="16"/>
      <c r="T13" s="16"/>
      <c r="U13" s="16"/>
      <c r="V13" s="16"/>
      <c r="W13" s="518"/>
      <c r="X13" s="518"/>
      <c r="Y13" s="518"/>
      <c r="Z13" s="451"/>
    </row>
    <row r="14" spans="1:26" s="14" customFormat="1" ht="45.75" thickBot="1">
      <c r="A14" s="23" t="s">
        <v>156</v>
      </c>
      <c r="B14" s="551" t="s">
        <v>1293</v>
      </c>
      <c r="C14" s="551"/>
      <c r="D14" s="551"/>
      <c r="E14" s="551"/>
      <c r="F14" s="551"/>
      <c r="G14" s="551"/>
      <c r="H14" s="15">
        <v>10</v>
      </c>
      <c r="I14" s="9" t="s">
        <v>1387</v>
      </c>
      <c r="J14" s="9"/>
      <c r="K14" s="232"/>
      <c r="L14" s="232"/>
      <c r="M14" s="232"/>
      <c r="N14" s="232"/>
      <c r="O14" s="232"/>
      <c r="P14" s="232"/>
      <c r="Q14" s="232"/>
      <c r="R14" s="232"/>
      <c r="S14" s="232"/>
      <c r="T14" s="232"/>
      <c r="U14" s="275"/>
      <c r="V14" s="275"/>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t="s">
        <v>1294</v>
      </c>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5:D19"/>
    <mergeCell ref="E15:I15"/>
    <mergeCell ref="J15:M15"/>
    <mergeCell ref="N15:V19"/>
    <mergeCell ref="W15:Y19"/>
    <mergeCell ref="E16:F19"/>
    <mergeCell ref="G16:I19"/>
    <mergeCell ref="J16:J17"/>
    <mergeCell ref="K16:M17"/>
    <mergeCell ref="J18:J19"/>
    <mergeCell ref="K18:M19"/>
    <mergeCell ref="B12:G12"/>
    <mergeCell ref="W12:Y12"/>
    <mergeCell ref="B13:G13"/>
    <mergeCell ref="W13:Y13"/>
    <mergeCell ref="B14:G14"/>
    <mergeCell ref="W14:Y14"/>
    <mergeCell ref="B9:G9"/>
    <mergeCell ref="W9:Y9"/>
    <mergeCell ref="K6:V6"/>
    <mergeCell ref="B11:G11"/>
    <mergeCell ref="W11:Y11"/>
    <mergeCell ref="I6:I7"/>
    <mergeCell ref="J6:J7"/>
    <mergeCell ref="W6:Y7"/>
    <mergeCell ref="B8:G8"/>
    <mergeCell ref="W8:Y8"/>
    <mergeCell ref="A1:Y1"/>
    <mergeCell ref="Z1:Z15"/>
    <mergeCell ref="A2:Y2"/>
    <mergeCell ref="A3:E3"/>
    <mergeCell ref="F3:G3"/>
    <mergeCell ref="H3:Y4"/>
    <mergeCell ref="A4:E4"/>
    <mergeCell ref="F4:G4"/>
    <mergeCell ref="A5:E5"/>
    <mergeCell ref="F5:G5"/>
    <mergeCell ref="B10:G10"/>
    <mergeCell ref="W10:Y10"/>
    <mergeCell ref="H5:Y5"/>
    <mergeCell ref="A6:A7"/>
    <mergeCell ref="B6:G7"/>
    <mergeCell ref="H6:H7"/>
  </mergeCells>
  <printOptions horizontalCentered="1" verticalCentered="1"/>
  <pageMargins left="0" right="0" top="0" bottom="0" header="0" footer="0"/>
  <pageSetup scale="45"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EB794-08C5-4B9F-9B7A-3ED2BF4978D6}">
  <dimension ref="A1:Z20"/>
  <sheetViews>
    <sheetView rightToLeft="1" view="pageBreakPreview" topLeftCell="A4" zoomScale="90" zoomScaleNormal="90" zoomScaleSheetLayoutView="90" workbookViewId="0">
      <selection activeCell="U12" sqref="U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1377</v>
      </c>
      <c r="B3" s="657"/>
      <c r="C3" s="657"/>
      <c r="D3" s="657"/>
      <c r="E3" s="658"/>
      <c r="F3" s="659" t="s">
        <v>178</v>
      </c>
      <c r="G3" s="660"/>
      <c r="H3" s="661" t="s">
        <v>1378</v>
      </c>
      <c r="I3" s="662"/>
      <c r="J3" s="662"/>
      <c r="K3" s="662"/>
      <c r="L3" s="662"/>
      <c r="M3" s="662"/>
      <c r="N3" s="662"/>
      <c r="O3" s="662"/>
      <c r="P3" s="662"/>
      <c r="Q3" s="662"/>
      <c r="R3" s="662"/>
      <c r="S3" s="662"/>
      <c r="T3" s="662"/>
      <c r="U3" s="662"/>
      <c r="V3" s="662"/>
      <c r="W3" s="662"/>
      <c r="X3" s="662"/>
      <c r="Y3" s="663"/>
      <c r="Z3" s="451"/>
    </row>
    <row r="4" spans="1:26" s="3" customFormat="1" ht="28.5">
      <c r="A4" s="667" t="s">
        <v>1345</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1379</v>
      </c>
      <c r="B5" s="673"/>
      <c r="C5" s="673"/>
      <c r="D5" s="673"/>
      <c r="E5" s="674"/>
      <c r="F5" s="675" t="s">
        <v>825</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643" t="s">
        <v>1380</v>
      </c>
      <c r="C8" s="551"/>
      <c r="D8" s="551"/>
      <c r="E8" s="551"/>
      <c r="F8" s="551"/>
      <c r="G8" s="551"/>
      <c r="H8" s="15">
        <v>20</v>
      </c>
      <c r="I8" s="9" t="s">
        <v>1341</v>
      </c>
      <c r="J8" s="9"/>
      <c r="K8" s="16"/>
      <c r="L8" s="16" t="s">
        <v>246</v>
      </c>
      <c r="M8" s="16"/>
      <c r="N8" s="16"/>
      <c r="O8" s="16"/>
      <c r="P8" s="16"/>
      <c r="Q8" s="16"/>
      <c r="R8" s="16"/>
      <c r="S8" s="16"/>
      <c r="T8" s="16"/>
      <c r="U8" s="16"/>
      <c r="V8" s="16"/>
      <c r="W8" s="594"/>
      <c r="X8" s="595"/>
      <c r="Y8" s="596"/>
      <c r="Z8" s="451"/>
    </row>
    <row r="9" spans="1:26" s="14" customFormat="1" ht="45">
      <c r="A9" s="23" t="s">
        <v>66</v>
      </c>
      <c r="B9" s="643" t="s">
        <v>1381</v>
      </c>
      <c r="C9" s="551"/>
      <c r="D9" s="551"/>
      <c r="E9" s="551"/>
      <c r="F9" s="551"/>
      <c r="G9" s="551"/>
      <c r="H9" s="15">
        <v>25</v>
      </c>
      <c r="I9" s="9" t="s">
        <v>1382</v>
      </c>
      <c r="J9" s="9"/>
      <c r="K9" s="16"/>
      <c r="L9" s="16"/>
      <c r="M9" s="16" t="s">
        <v>246</v>
      </c>
      <c r="N9" s="16" t="s">
        <v>246</v>
      </c>
      <c r="O9" s="16"/>
      <c r="P9" s="16"/>
      <c r="Q9" s="16"/>
      <c r="R9" s="16"/>
      <c r="S9" s="16"/>
      <c r="T9" s="16"/>
      <c r="U9" s="16"/>
      <c r="V9" s="16"/>
      <c r="W9" s="597"/>
      <c r="X9" s="597"/>
      <c r="Y9" s="597"/>
      <c r="Z9" s="451"/>
    </row>
    <row r="10" spans="1:26" s="14" customFormat="1" ht="24">
      <c r="A10" s="23" t="s">
        <v>68</v>
      </c>
      <c r="B10" s="643" t="s">
        <v>1383</v>
      </c>
      <c r="C10" s="551"/>
      <c r="D10" s="551"/>
      <c r="E10" s="551"/>
      <c r="F10" s="551"/>
      <c r="G10" s="551"/>
      <c r="H10" s="15">
        <v>20</v>
      </c>
      <c r="I10" s="9" t="s">
        <v>1341</v>
      </c>
      <c r="J10" s="9"/>
      <c r="K10" s="16"/>
      <c r="L10" s="16"/>
      <c r="M10" s="16"/>
      <c r="N10" s="16"/>
      <c r="O10" s="16" t="s">
        <v>246</v>
      </c>
      <c r="P10" s="16" t="s">
        <v>246</v>
      </c>
      <c r="Q10" s="16"/>
      <c r="R10" s="16"/>
      <c r="S10" s="16"/>
      <c r="T10" s="16"/>
      <c r="U10" s="16"/>
      <c r="V10" s="16"/>
      <c r="W10" s="518"/>
      <c r="X10" s="518"/>
      <c r="Y10" s="518"/>
      <c r="Z10" s="451"/>
    </row>
    <row r="11" spans="1:26" s="14" customFormat="1" ht="24">
      <c r="A11" s="23" t="s">
        <v>70</v>
      </c>
      <c r="B11" s="643" t="s">
        <v>1384</v>
      </c>
      <c r="C11" s="551"/>
      <c r="D11" s="551"/>
      <c r="E11" s="551"/>
      <c r="F11" s="551"/>
      <c r="G11" s="551"/>
      <c r="H11" s="15">
        <v>15</v>
      </c>
      <c r="I11" s="9" t="s">
        <v>275</v>
      </c>
      <c r="J11" s="9"/>
      <c r="K11" s="16"/>
      <c r="L11" s="16"/>
      <c r="M11" s="16"/>
      <c r="N11" s="16"/>
      <c r="O11" s="16"/>
      <c r="P11" s="16" t="s">
        <v>246</v>
      </c>
      <c r="Q11" s="16" t="s">
        <v>246</v>
      </c>
      <c r="R11" s="16"/>
      <c r="S11" s="16"/>
      <c r="T11" s="16"/>
      <c r="U11" s="16"/>
      <c r="V11" s="16"/>
      <c r="W11" s="518"/>
      <c r="X11" s="518"/>
      <c r="Y11" s="518"/>
      <c r="Z11" s="451"/>
    </row>
    <row r="12" spans="1:26" s="14" customFormat="1" ht="45">
      <c r="A12" s="23" t="s">
        <v>153</v>
      </c>
      <c r="B12" s="551" t="s">
        <v>1385</v>
      </c>
      <c r="C12" s="551"/>
      <c r="D12" s="551"/>
      <c r="E12" s="551"/>
      <c r="F12" s="551"/>
      <c r="G12" s="551"/>
      <c r="H12" s="15">
        <v>20</v>
      </c>
      <c r="I12" s="9" t="s">
        <v>1386</v>
      </c>
      <c r="J12" s="9"/>
      <c r="K12" s="16"/>
      <c r="L12" s="16"/>
      <c r="M12" s="16"/>
      <c r="N12" s="16"/>
      <c r="O12" s="16"/>
      <c r="P12" s="16"/>
      <c r="Q12" s="16"/>
      <c r="R12" s="16" t="s">
        <v>246</v>
      </c>
      <c r="S12" s="16" t="s">
        <v>246</v>
      </c>
      <c r="T12" s="16" t="s">
        <v>246</v>
      </c>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F7F8-91B5-4276-8189-871889B61D86}">
  <dimension ref="A1:Z20"/>
  <sheetViews>
    <sheetView rightToLeft="1" view="pageBreakPreview" topLeftCell="A3" zoomScale="90" zoomScaleNormal="90" zoomScaleSheetLayoutView="90" workbookViewId="0">
      <selection activeCell="B14" sqref="B14:G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37"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1376</v>
      </c>
      <c r="B3" s="657"/>
      <c r="C3" s="657"/>
      <c r="D3" s="657"/>
      <c r="E3" s="658"/>
      <c r="F3" s="659" t="s">
        <v>178</v>
      </c>
      <c r="G3" s="660"/>
      <c r="H3" s="697" t="s">
        <v>1375</v>
      </c>
      <c r="I3" s="662"/>
      <c r="J3" s="662"/>
      <c r="K3" s="662"/>
      <c r="L3" s="662"/>
      <c r="M3" s="662"/>
      <c r="N3" s="662"/>
      <c r="O3" s="662"/>
      <c r="P3" s="662"/>
      <c r="Q3" s="662"/>
      <c r="R3" s="662"/>
      <c r="S3" s="662"/>
      <c r="T3" s="662"/>
      <c r="U3" s="662"/>
      <c r="V3" s="662"/>
      <c r="W3" s="662"/>
      <c r="X3" s="662"/>
      <c r="Y3" s="663"/>
      <c r="Z3" s="451"/>
    </row>
    <row r="4" spans="1:26" s="3" customFormat="1" ht="28.5">
      <c r="A4" s="667" t="s">
        <v>1345</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1374</v>
      </c>
      <c r="B5" s="673"/>
      <c r="C5" s="673"/>
      <c r="D5" s="673"/>
      <c r="E5" s="674"/>
      <c r="F5" s="675" t="s">
        <v>1373</v>
      </c>
      <c r="G5" s="675"/>
      <c r="H5" s="676" t="s">
        <v>1372</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1371</v>
      </c>
      <c r="C8" s="551"/>
      <c r="D8" s="551"/>
      <c r="E8" s="551"/>
      <c r="F8" s="551"/>
      <c r="G8" s="551"/>
      <c r="H8" s="15">
        <v>10</v>
      </c>
      <c r="I8" s="9" t="s">
        <v>1361</v>
      </c>
      <c r="J8" s="9"/>
      <c r="K8" s="16"/>
      <c r="L8" s="16"/>
      <c r="M8" s="16" t="s">
        <v>246</v>
      </c>
      <c r="N8" s="16" t="s">
        <v>246</v>
      </c>
      <c r="O8" s="16"/>
      <c r="P8" s="16"/>
      <c r="Q8" s="16"/>
      <c r="R8" s="16"/>
      <c r="S8" s="16"/>
      <c r="T8" s="16"/>
      <c r="U8" s="16"/>
      <c r="V8" s="16"/>
      <c r="W8" s="594"/>
      <c r="X8" s="595"/>
      <c r="Y8" s="596"/>
      <c r="Z8" s="451"/>
    </row>
    <row r="9" spans="1:26" s="14" customFormat="1" ht="67.5">
      <c r="A9" s="23" t="s">
        <v>66</v>
      </c>
      <c r="B9" s="551" t="s">
        <v>1370</v>
      </c>
      <c r="C9" s="551"/>
      <c r="D9" s="551"/>
      <c r="E9" s="551"/>
      <c r="F9" s="551"/>
      <c r="G9" s="551"/>
      <c r="H9" s="15">
        <v>20</v>
      </c>
      <c r="I9" s="9" t="s">
        <v>1369</v>
      </c>
      <c r="J9" s="9"/>
      <c r="K9" s="16"/>
      <c r="L9" s="16"/>
      <c r="M9" s="16"/>
      <c r="N9" s="16" t="s">
        <v>246</v>
      </c>
      <c r="O9" s="16" t="s">
        <v>246</v>
      </c>
      <c r="P9" s="16"/>
      <c r="Q9" s="16"/>
      <c r="R9" s="16"/>
      <c r="S9" s="16"/>
      <c r="T9" s="16"/>
      <c r="U9" s="16"/>
      <c r="V9" s="16"/>
      <c r="W9" s="597"/>
      <c r="X9" s="597"/>
      <c r="Y9" s="597"/>
      <c r="Z9" s="451"/>
    </row>
    <row r="10" spans="1:26" s="14" customFormat="1" ht="90">
      <c r="A10" s="23" t="s">
        <v>68</v>
      </c>
      <c r="B10" s="551" t="s">
        <v>1368</v>
      </c>
      <c r="C10" s="551"/>
      <c r="D10" s="551"/>
      <c r="E10" s="551"/>
      <c r="F10" s="551"/>
      <c r="G10" s="551"/>
      <c r="H10" s="15">
        <v>20</v>
      </c>
      <c r="I10" s="9" t="s">
        <v>1367</v>
      </c>
      <c r="J10" s="9"/>
      <c r="K10" s="16"/>
      <c r="L10" s="16"/>
      <c r="M10" s="16"/>
      <c r="N10" s="16"/>
      <c r="O10" s="16" t="s">
        <v>246</v>
      </c>
      <c r="P10" s="16" t="s">
        <v>246</v>
      </c>
      <c r="Q10" s="16"/>
      <c r="R10" s="16"/>
      <c r="S10" s="16"/>
      <c r="T10" s="16"/>
      <c r="U10" s="16"/>
      <c r="V10" s="16"/>
      <c r="W10" s="518"/>
      <c r="X10" s="518"/>
      <c r="Y10" s="518"/>
      <c r="Z10" s="451"/>
    </row>
    <row r="11" spans="1:26" s="14" customFormat="1" ht="45">
      <c r="A11" s="23" t="s">
        <v>70</v>
      </c>
      <c r="B11" s="551" t="s">
        <v>1366</v>
      </c>
      <c r="C11" s="551"/>
      <c r="D11" s="551"/>
      <c r="E11" s="551"/>
      <c r="F11" s="551"/>
      <c r="G11" s="551"/>
      <c r="H11" s="15">
        <v>15</v>
      </c>
      <c r="I11" s="9" t="s">
        <v>1361</v>
      </c>
      <c r="J11" s="9"/>
      <c r="K11" s="16"/>
      <c r="L11" s="16"/>
      <c r="M11" s="16"/>
      <c r="N11" s="16"/>
      <c r="O11" s="16"/>
      <c r="P11" s="16"/>
      <c r="Q11" s="16" t="s">
        <v>246</v>
      </c>
      <c r="R11" s="16" t="s">
        <v>246</v>
      </c>
      <c r="S11" s="16"/>
      <c r="T11" s="16"/>
      <c r="U11" s="16"/>
      <c r="V11" s="16"/>
      <c r="W11" s="518"/>
      <c r="X11" s="518"/>
      <c r="Y11" s="518"/>
      <c r="Z11" s="451"/>
    </row>
    <row r="12" spans="1:26" s="14" customFormat="1" ht="45">
      <c r="A12" s="23" t="s">
        <v>153</v>
      </c>
      <c r="B12" s="551" t="s">
        <v>1365</v>
      </c>
      <c r="C12" s="551"/>
      <c r="D12" s="551"/>
      <c r="E12" s="551"/>
      <c r="F12" s="551"/>
      <c r="G12" s="551"/>
      <c r="H12" s="15">
        <v>15</v>
      </c>
      <c r="I12" s="9" t="s">
        <v>1361</v>
      </c>
      <c r="J12" s="9"/>
      <c r="K12" s="16"/>
      <c r="L12" s="16"/>
      <c r="M12" s="16"/>
      <c r="N12" s="16"/>
      <c r="O12" s="16"/>
      <c r="P12" s="16"/>
      <c r="Q12" s="16"/>
      <c r="R12" s="16" t="s">
        <v>246</v>
      </c>
      <c r="S12" s="16" t="s">
        <v>246</v>
      </c>
      <c r="T12" s="16"/>
      <c r="U12" s="16"/>
      <c r="V12" s="16"/>
      <c r="W12" s="597"/>
      <c r="X12" s="597"/>
      <c r="Y12" s="597"/>
      <c r="Z12" s="451"/>
    </row>
    <row r="13" spans="1:26" s="14" customFormat="1" ht="24">
      <c r="A13" s="23" t="s">
        <v>155</v>
      </c>
      <c r="B13" s="530" t="s">
        <v>1364</v>
      </c>
      <c r="C13" s="531"/>
      <c r="D13" s="531"/>
      <c r="E13" s="531"/>
      <c r="F13" s="531"/>
      <c r="G13" s="532"/>
      <c r="H13" s="15">
        <v>5</v>
      </c>
      <c r="I13" s="9" t="s">
        <v>1363</v>
      </c>
      <c r="J13" s="9"/>
      <c r="K13" s="16"/>
      <c r="L13" s="16"/>
      <c r="M13" s="16"/>
      <c r="N13" s="16" t="s">
        <v>246</v>
      </c>
      <c r="O13" s="16"/>
      <c r="P13" s="16"/>
      <c r="Q13" s="16"/>
      <c r="R13" s="16"/>
      <c r="S13" s="16"/>
      <c r="T13" s="16"/>
      <c r="U13" s="16"/>
      <c r="V13" s="16"/>
      <c r="W13" s="518"/>
      <c r="X13" s="518"/>
      <c r="Y13" s="518"/>
      <c r="Z13" s="451"/>
    </row>
    <row r="14" spans="1:26" s="14" customFormat="1" ht="45.75" thickBot="1">
      <c r="A14" s="23" t="s">
        <v>156</v>
      </c>
      <c r="B14" s="551" t="s">
        <v>1362</v>
      </c>
      <c r="C14" s="551"/>
      <c r="D14" s="551"/>
      <c r="E14" s="551"/>
      <c r="F14" s="551"/>
      <c r="G14" s="551"/>
      <c r="H14" s="15">
        <v>15</v>
      </c>
      <c r="I14" s="9" t="s">
        <v>1361</v>
      </c>
      <c r="J14" s="9"/>
      <c r="K14" s="232"/>
      <c r="L14" s="232"/>
      <c r="M14" s="232"/>
      <c r="N14" s="232"/>
      <c r="O14" s="232"/>
      <c r="P14" s="232"/>
      <c r="Q14" s="232"/>
      <c r="R14" s="232"/>
      <c r="S14" s="232"/>
      <c r="T14" s="232" t="s">
        <v>246</v>
      </c>
      <c r="U14" s="232" t="s">
        <v>246</v>
      </c>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H5:Y5"/>
    <mergeCell ref="A6:A7"/>
    <mergeCell ref="B6:G7"/>
    <mergeCell ref="H6:H7"/>
    <mergeCell ref="I6:I7"/>
    <mergeCell ref="J6:J7"/>
    <mergeCell ref="K6:V6"/>
    <mergeCell ref="A1:Y1"/>
    <mergeCell ref="Z1:Z15"/>
    <mergeCell ref="A2:Y2"/>
    <mergeCell ref="A3:E3"/>
    <mergeCell ref="F3:G3"/>
    <mergeCell ref="H3:Y4"/>
    <mergeCell ref="A4:E4"/>
    <mergeCell ref="F4:G4"/>
    <mergeCell ref="A5:E5"/>
    <mergeCell ref="F5:G5"/>
    <mergeCell ref="W12:Y12"/>
    <mergeCell ref="W6:Y7"/>
    <mergeCell ref="B8:G8"/>
    <mergeCell ref="W8:Y8"/>
    <mergeCell ref="B9:G9"/>
    <mergeCell ref="W9:Y9"/>
    <mergeCell ref="B10:G10"/>
    <mergeCell ref="W10:Y10"/>
    <mergeCell ref="B11:G11"/>
    <mergeCell ref="W11:Y11"/>
    <mergeCell ref="B12:G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7F84-4F0C-4001-91E3-F62C619AD830}">
  <dimension ref="A1:Z20"/>
  <sheetViews>
    <sheetView rightToLeft="1" view="pageBreakPreview" zoomScale="90" zoomScaleNormal="90" zoomScaleSheetLayoutView="90" workbookViewId="0">
      <selection activeCell="B8" sqref="B8:G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1354</v>
      </c>
      <c r="B3" s="657"/>
      <c r="C3" s="657"/>
      <c r="D3" s="657"/>
      <c r="E3" s="658"/>
      <c r="F3" s="659" t="s">
        <v>178</v>
      </c>
      <c r="G3" s="660"/>
      <c r="H3" s="661" t="s">
        <v>1355</v>
      </c>
      <c r="I3" s="662"/>
      <c r="J3" s="662"/>
      <c r="K3" s="662"/>
      <c r="L3" s="662"/>
      <c r="M3" s="662"/>
      <c r="N3" s="662"/>
      <c r="O3" s="662"/>
      <c r="P3" s="662"/>
      <c r="Q3" s="662"/>
      <c r="R3" s="662"/>
      <c r="S3" s="662"/>
      <c r="T3" s="662"/>
      <c r="U3" s="662"/>
      <c r="V3" s="662"/>
      <c r="W3" s="662"/>
      <c r="X3" s="662"/>
      <c r="Y3" s="663"/>
      <c r="Z3" s="451"/>
    </row>
    <row r="4" spans="1:26" s="3" customFormat="1" ht="28.5">
      <c r="A4" s="667" t="s">
        <v>1350</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1356</v>
      </c>
      <c r="B5" s="673"/>
      <c r="C5" s="673"/>
      <c r="D5" s="673"/>
      <c r="E5" s="674"/>
      <c r="F5" s="675" t="s">
        <v>998</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1357</v>
      </c>
      <c r="C8" s="551"/>
      <c r="D8" s="551"/>
      <c r="E8" s="551"/>
      <c r="F8" s="551"/>
      <c r="G8" s="551"/>
      <c r="H8" s="15">
        <v>35</v>
      </c>
      <c r="I8" s="9" t="s">
        <v>1341</v>
      </c>
      <c r="J8" s="9"/>
      <c r="K8" s="16"/>
      <c r="L8" s="16" t="s">
        <v>246</v>
      </c>
      <c r="M8" s="16" t="s">
        <v>246</v>
      </c>
      <c r="N8" s="16"/>
      <c r="O8" s="16"/>
      <c r="P8" s="16"/>
      <c r="Q8" s="16"/>
      <c r="R8" s="16"/>
      <c r="S8" s="16"/>
      <c r="T8" s="16"/>
      <c r="U8" s="16"/>
      <c r="V8" s="16"/>
      <c r="W8" s="594"/>
      <c r="X8" s="595"/>
      <c r="Y8" s="596"/>
      <c r="Z8" s="451"/>
    </row>
    <row r="9" spans="1:26" s="14" customFormat="1" ht="24">
      <c r="A9" s="23" t="s">
        <v>66</v>
      </c>
      <c r="B9" s="551" t="s">
        <v>1358</v>
      </c>
      <c r="C9" s="551"/>
      <c r="D9" s="551"/>
      <c r="E9" s="551"/>
      <c r="F9" s="551"/>
      <c r="G9" s="551"/>
      <c r="H9" s="15">
        <v>35</v>
      </c>
      <c r="I9" s="9" t="s">
        <v>1341</v>
      </c>
      <c r="J9" s="9"/>
      <c r="K9" s="16"/>
      <c r="L9" s="16"/>
      <c r="M9" s="16"/>
      <c r="N9" s="16" t="s">
        <v>246</v>
      </c>
      <c r="O9" s="16" t="s">
        <v>246</v>
      </c>
      <c r="P9" s="16" t="s">
        <v>246</v>
      </c>
      <c r="Q9" s="16" t="s">
        <v>246</v>
      </c>
      <c r="R9" s="16" t="s">
        <v>246</v>
      </c>
      <c r="S9" s="16"/>
      <c r="T9" s="16"/>
      <c r="U9" s="16"/>
      <c r="V9" s="16"/>
      <c r="W9" s="597"/>
      <c r="X9" s="597"/>
      <c r="Y9" s="597"/>
      <c r="Z9" s="451"/>
    </row>
    <row r="10" spans="1:26" s="14" customFormat="1" ht="24">
      <c r="A10" s="23" t="s">
        <v>68</v>
      </c>
      <c r="B10" s="551" t="s">
        <v>1359</v>
      </c>
      <c r="C10" s="551"/>
      <c r="D10" s="551"/>
      <c r="E10" s="551"/>
      <c r="F10" s="551"/>
      <c r="G10" s="551"/>
      <c r="H10" s="15">
        <v>30</v>
      </c>
      <c r="I10" s="9" t="s">
        <v>1360</v>
      </c>
      <c r="J10" s="9"/>
      <c r="K10" s="16"/>
      <c r="L10" s="16"/>
      <c r="M10" s="16"/>
      <c r="N10" s="16"/>
      <c r="O10" s="16"/>
      <c r="P10" s="16" t="s">
        <v>246</v>
      </c>
      <c r="Q10" s="16" t="s">
        <v>246</v>
      </c>
      <c r="R10" s="16" t="s">
        <v>246</v>
      </c>
      <c r="S10" s="16" t="s">
        <v>246</v>
      </c>
      <c r="T10" s="16" t="s">
        <v>246</v>
      </c>
      <c r="U10" s="16" t="s">
        <v>246</v>
      </c>
      <c r="V10" s="16" t="s">
        <v>246</v>
      </c>
      <c r="W10" s="518"/>
      <c r="X10" s="518"/>
      <c r="Y10" s="518"/>
      <c r="Z10" s="451"/>
    </row>
    <row r="11" spans="1:26" s="14" customFormat="1" ht="24">
      <c r="A11" s="23" t="s">
        <v>70</v>
      </c>
      <c r="B11" s="643"/>
      <c r="C11" s="551"/>
      <c r="D11" s="551"/>
      <c r="E11" s="551"/>
      <c r="F11" s="551"/>
      <c r="G11" s="551"/>
      <c r="H11" s="15"/>
      <c r="I11" s="9"/>
      <c r="J11" s="9"/>
      <c r="K11" s="16"/>
      <c r="L11" s="16"/>
      <c r="M11" s="16"/>
      <c r="N11" s="16"/>
      <c r="O11" s="16"/>
      <c r="P11" s="16"/>
      <c r="Q11" s="16"/>
      <c r="R11" s="16"/>
      <c r="S11" s="16"/>
      <c r="T11" s="16"/>
      <c r="U11" s="16"/>
      <c r="V11" s="16"/>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08D9-F340-4E1E-8EC5-82248B63A418}">
  <dimension ref="A1:Z20"/>
  <sheetViews>
    <sheetView rightToLeft="1" view="pageBreakPreview" zoomScale="90" zoomScaleNormal="90" zoomScaleSheetLayoutView="90" workbookViewId="0">
      <selection activeCell="I10" sqref="I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1348</v>
      </c>
      <c r="B3" s="657"/>
      <c r="C3" s="657"/>
      <c r="D3" s="657"/>
      <c r="E3" s="658"/>
      <c r="F3" s="659" t="s">
        <v>178</v>
      </c>
      <c r="G3" s="660"/>
      <c r="H3" s="661" t="s">
        <v>1349</v>
      </c>
      <c r="I3" s="662"/>
      <c r="J3" s="662"/>
      <c r="K3" s="662"/>
      <c r="L3" s="662"/>
      <c r="M3" s="662"/>
      <c r="N3" s="662"/>
      <c r="O3" s="662"/>
      <c r="P3" s="662"/>
      <c r="Q3" s="662"/>
      <c r="R3" s="662"/>
      <c r="S3" s="662"/>
      <c r="T3" s="662"/>
      <c r="U3" s="662"/>
      <c r="V3" s="662"/>
      <c r="W3" s="662"/>
      <c r="X3" s="662"/>
      <c r="Y3" s="663"/>
      <c r="Z3" s="451"/>
    </row>
    <row r="4" spans="1:26" s="3" customFormat="1" ht="28.5">
      <c r="A4" s="667" t="s">
        <v>1350</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1351</v>
      </c>
      <c r="B5" s="673"/>
      <c r="C5" s="673"/>
      <c r="D5" s="673"/>
      <c r="E5" s="674"/>
      <c r="F5" s="675" t="s">
        <v>998</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1352</v>
      </c>
      <c r="C8" s="551"/>
      <c r="D8" s="551"/>
      <c r="E8" s="551"/>
      <c r="F8" s="551"/>
      <c r="G8" s="551"/>
      <c r="H8" s="15">
        <v>15</v>
      </c>
      <c r="I8" s="9" t="s">
        <v>1341</v>
      </c>
      <c r="J8" s="9"/>
      <c r="K8" s="16" t="s">
        <v>246</v>
      </c>
      <c r="L8" s="16" t="s">
        <v>246</v>
      </c>
      <c r="M8" s="16"/>
      <c r="N8" s="16"/>
      <c r="O8" s="16"/>
      <c r="P8" s="16"/>
      <c r="Q8" s="16"/>
      <c r="R8" s="16"/>
      <c r="S8" s="16"/>
      <c r="T8" s="16"/>
      <c r="U8" s="16"/>
      <c r="V8" s="16"/>
      <c r="W8" s="594"/>
      <c r="X8" s="595"/>
      <c r="Y8" s="596"/>
      <c r="Z8" s="451"/>
    </row>
    <row r="9" spans="1:26" s="14" customFormat="1" ht="45">
      <c r="A9" s="23" t="s">
        <v>66</v>
      </c>
      <c r="B9" s="551" t="s">
        <v>1353</v>
      </c>
      <c r="C9" s="551"/>
      <c r="D9" s="551"/>
      <c r="E9" s="551"/>
      <c r="F9" s="551"/>
      <c r="G9" s="551"/>
      <c r="H9" s="15">
        <v>40</v>
      </c>
      <c r="I9" s="9" t="s">
        <v>1337</v>
      </c>
      <c r="J9" s="9"/>
      <c r="K9" s="16"/>
      <c r="L9" s="16"/>
      <c r="M9" s="16"/>
      <c r="N9" s="16" t="s">
        <v>246</v>
      </c>
      <c r="O9" s="16" t="s">
        <v>246</v>
      </c>
      <c r="P9" s="16" t="s">
        <v>246</v>
      </c>
      <c r="Q9" s="16"/>
      <c r="R9" s="16"/>
      <c r="S9" s="16"/>
      <c r="T9" s="16"/>
      <c r="U9" s="16"/>
      <c r="V9" s="16"/>
      <c r="W9" s="597"/>
      <c r="X9" s="597"/>
      <c r="Y9" s="597"/>
      <c r="Z9" s="451"/>
    </row>
    <row r="10" spans="1:26" s="14" customFormat="1" ht="45">
      <c r="A10" s="23" t="s">
        <v>68</v>
      </c>
      <c r="B10" s="551" t="s">
        <v>1269</v>
      </c>
      <c r="C10" s="551"/>
      <c r="D10" s="551"/>
      <c r="E10" s="551"/>
      <c r="F10" s="551"/>
      <c r="G10" s="551"/>
      <c r="H10" s="15">
        <v>45</v>
      </c>
      <c r="I10" s="9" t="s">
        <v>1337</v>
      </c>
      <c r="J10" s="9"/>
      <c r="K10" s="16"/>
      <c r="L10" s="16"/>
      <c r="M10" s="16"/>
      <c r="N10" s="16"/>
      <c r="O10" s="16"/>
      <c r="P10" s="16"/>
      <c r="Q10" s="16" t="s">
        <v>246</v>
      </c>
      <c r="R10" s="16" t="s">
        <v>246</v>
      </c>
      <c r="S10" s="16" t="s">
        <v>246</v>
      </c>
      <c r="T10" s="16" t="s">
        <v>246</v>
      </c>
      <c r="U10" s="16" t="s">
        <v>246</v>
      </c>
      <c r="V10" s="16" t="s">
        <v>246</v>
      </c>
      <c r="W10" s="518"/>
      <c r="X10" s="518"/>
      <c r="Y10" s="518"/>
      <c r="Z10" s="451"/>
    </row>
    <row r="11" spans="1:26" s="14" customFormat="1" ht="24">
      <c r="A11" s="23" t="s">
        <v>70</v>
      </c>
      <c r="B11" s="551"/>
      <c r="C11" s="551"/>
      <c r="D11" s="551"/>
      <c r="E11" s="551"/>
      <c r="F11" s="551"/>
      <c r="G11" s="551"/>
      <c r="H11" s="15"/>
      <c r="I11" s="9"/>
      <c r="J11" s="9"/>
      <c r="K11" s="16"/>
      <c r="L11" s="16"/>
      <c r="M11" s="16"/>
      <c r="N11" s="16"/>
      <c r="O11" s="16"/>
      <c r="P11" s="16"/>
      <c r="Q11" s="16"/>
      <c r="R11" s="16"/>
      <c r="S11" s="16"/>
      <c r="T11" s="16"/>
      <c r="U11" s="16"/>
      <c r="V11" s="16"/>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4E22A-A71C-4B55-AED5-4C778F675819}">
  <dimension ref="A1:Z20"/>
  <sheetViews>
    <sheetView rightToLeft="1" view="pageBreakPreview" topLeftCell="E2" zoomScaleNormal="90" zoomScaleSheetLayoutView="100" workbookViewId="0">
      <selection activeCell="N13" sqref="N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34"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1347</v>
      </c>
      <c r="B3" s="657"/>
      <c r="C3" s="657"/>
      <c r="D3" s="657"/>
      <c r="E3" s="658"/>
      <c r="F3" s="659" t="s">
        <v>178</v>
      </c>
      <c r="G3" s="660"/>
      <c r="H3" s="661" t="s">
        <v>1346</v>
      </c>
      <c r="I3" s="662"/>
      <c r="J3" s="662"/>
      <c r="K3" s="662"/>
      <c r="L3" s="662"/>
      <c r="M3" s="662"/>
      <c r="N3" s="662"/>
      <c r="O3" s="662"/>
      <c r="P3" s="662"/>
      <c r="Q3" s="662"/>
      <c r="R3" s="662"/>
      <c r="S3" s="662"/>
      <c r="T3" s="662"/>
      <c r="U3" s="662"/>
      <c r="V3" s="662"/>
      <c r="W3" s="662"/>
      <c r="X3" s="662"/>
      <c r="Y3" s="663"/>
      <c r="Z3" s="451"/>
    </row>
    <row r="4" spans="1:26" s="3" customFormat="1" ht="28.5">
      <c r="A4" s="667" t="s">
        <v>1345</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1344</v>
      </c>
      <c r="B5" s="673"/>
      <c r="C5" s="673"/>
      <c r="D5" s="673"/>
      <c r="E5" s="674"/>
      <c r="F5" s="675" t="s">
        <v>825</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1343</v>
      </c>
      <c r="C8" s="551"/>
      <c r="D8" s="551"/>
      <c r="E8" s="551"/>
      <c r="F8" s="551"/>
      <c r="G8" s="551"/>
      <c r="H8" s="15">
        <v>15</v>
      </c>
      <c r="I8" s="9" t="s">
        <v>1341</v>
      </c>
      <c r="J8" s="9"/>
      <c r="K8" s="16" t="s">
        <v>246</v>
      </c>
      <c r="L8" s="16"/>
      <c r="M8" s="16"/>
      <c r="N8" s="16"/>
      <c r="O8" s="16"/>
      <c r="P8" s="16"/>
      <c r="Q8" s="16"/>
      <c r="R8" s="16"/>
      <c r="S8" s="16"/>
      <c r="T8" s="16"/>
      <c r="U8" s="16"/>
      <c r="V8" s="16"/>
      <c r="W8" s="594"/>
      <c r="X8" s="595"/>
      <c r="Y8" s="596"/>
      <c r="Z8" s="451"/>
    </row>
    <row r="9" spans="1:26" s="14" customFormat="1" ht="24">
      <c r="A9" s="23" t="s">
        <v>66</v>
      </c>
      <c r="B9" s="551" t="s">
        <v>1342</v>
      </c>
      <c r="C9" s="551"/>
      <c r="D9" s="551"/>
      <c r="E9" s="551"/>
      <c r="F9" s="551"/>
      <c r="G9" s="551"/>
      <c r="H9" s="15">
        <v>15</v>
      </c>
      <c r="I9" s="9" t="s">
        <v>1341</v>
      </c>
      <c r="J9" s="9"/>
      <c r="K9" s="16"/>
      <c r="L9" s="16" t="s">
        <v>246</v>
      </c>
      <c r="M9" s="16"/>
      <c r="N9" s="16"/>
      <c r="O9" s="16"/>
      <c r="P9" s="16"/>
      <c r="Q9" s="16"/>
      <c r="R9" s="16"/>
      <c r="S9" s="16"/>
      <c r="T9" s="16"/>
      <c r="U9" s="16"/>
      <c r="V9" s="16"/>
      <c r="W9" s="597"/>
      <c r="X9" s="597"/>
      <c r="Y9" s="597"/>
      <c r="Z9" s="451"/>
    </row>
    <row r="10" spans="1:26" s="14" customFormat="1" ht="24">
      <c r="A10" s="23" t="s">
        <v>68</v>
      </c>
      <c r="B10" s="551" t="s">
        <v>1340</v>
      </c>
      <c r="C10" s="551"/>
      <c r="D10" s="551"/>
      <c r="E10" s="551"/>
      <c r="F10" s="551"/>
      <c r="G10" s="551"/>
      <c r="H10" s="15">
        <v>30</v>
      </c>
      <c r="I10" s="9" t="s">
        <v>1339</v>
      </c>
      <c r="J10" s="9"/>
      <c r="K10" s="16"/>
      <c r="L10" s="16" t="s">
        <v>246</v>
      </c>
      <c r="M10" s="16" t="s">
        <v>246</v>
      </c>
      <c r="N10" s="16" t="s">
        <v>246</v>
      </c>
      <c r="O10" s="16"/>
      <c r="P10" s="16"/>
      <c r="Q10" s="16"/>
      <c r="R10" s="16"/>
      <c r="S10" s="16"/>
      <c r="T10" s="16"/>
      <c r="U10" s="16"/>
      <c r="V10" s="16"/>
      <c r="W10" s="518"/>
      <c r="X10" s="518"/>
      <c r="Y10" s="518"/>
      <c r="Z10" s="451"/>
    </row>
    <row r="11" spans="1:26" s="14" customFormat="1" ht="43.5" customHeight="1">
      <c r="A11" s="23" t="s">
        <v>70</v>
      </c>
      <c r="B11" s="551" t="s">
        <v>1338</v>
      </c>
      <c r="C11" s="551"/>
      <c r="D11" s="551"/>
      <c r="E11" s="551"/>
      <c r="F11" s="551"/>
      <c r="G11" s="551"/>
      <c r="H11" s="15">
        <v>40</v>
      </c>
      <c r="I11" s="9" t="s">
        <v>1337</v>
      </c>
      <c r="J11" s="9"/>
      <c r="K11" s="16"/>
      <c r="L11" s="16"/>
      <c r="M11" s="16"/>
      <c r="N11" s="16" t="s">
        <v>246</v>
      </c>
      <c r="O11" s="16" t="s">
        <v>246</v>
      </c>
      <c r="P11" s="16" t="s">
        <v>246</v>
      </c>
      <c r="Q11" s="16" t="s">
        <v>246</v>
      </c>
      <c r="R11" s="16" t="s">
        <v>246</v>
      </c>
      <c r="S11" s="16" t="s">
        <v>246</v>
      </c>
      <c r="T11" s="16" t="s">
        <v>246</v>
      </c>
      <c r="U11" s="16" t="s">
        <v>246</v>
      </c>
      <c r="V11" s="16" t="s">
        <v>246</v>
      </c>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H5:Y5"/>
    <mergeCell ref="A6:A7"/>
    <mergeCell ref="B6:G7"/>
    <mergeCell ref="H6:H7"/>
    <mergeCell ref="I6:I7"/>
    <mergeCell ref="J6:J7"/>
    <mergeCell ref="K6:V6"/>
    <mergeCell ref="A1:Y1"/>
    <mergeCell ref="Z1:Z15"/>
    <mergeCell ref="A2:Y2"/>
    <mergeCell ref="A3:E3"/>
    <mergeCell ref="F3:G3"/>
    <mergeCell ref="H3:Y4"/>
    <mergeCell ref="A4:E4"/>
    <mergeCell ref="F4:G4"/>
    <mergeCell ref="A5:E5"/>
    <mergeCell ref="F5:G5"/>
    <mergeCell ref="W12:Y12"/>
    <mergeCell ref="W6:Y7"/>
    <mergeCell ref="B8:G8"/>
    <mergeCell ref="W8:Y8"/>
    <mergeCell ref="B9:G9"/>
    <mergeCell ref="W9:Y9"/>
    <mergeCell ref="B10:G10"/>
    <mergeCell ref="W10:Y10"/>
    <mergeCell ref="B11:G11"/>
    <mergeCell ref="W11:Y11"/>
    <mergeCell ref="B12:G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54A8-F640-4C04-96A4-B0CEBF99A666}">
  <dimension ref="A1:AA20"/>
  <sheetViews>
    <sheetView rightToLeft="1" tabSelected="1" view="pageBreakPreview" topLeftCell="B1" zoomScale="70" zoomScaleNormal="90" zoomScaleSheetLayoutView="70" workbookViewId="0">
      <selection activeCell="K16" sqref="K16:K17"/>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1331</v>
      </c>
      <c r="B3" s="456"/>
      <c r="C3" s="456"/>
      <c r="D3" s="456"/>
      <c r="E3" s="456"/>
      <c r="F3" s="456"/>
      <c r="G3" s="457" t="s">
        <v>3</v>
      </c>
      <c r="H3" s="457"/>
      <c r="I3" s="458" t="s">
        <v>1332</v>
      </c>
      <c r="J3" s="458"/>
      <c r="K3" s="458"/>
      <c r="L3" s="458"/>
      <c r="M3" s="458"/>
      <c r="N3" s="458"/>
      <c r="O3" s="458"/>
      <c r="P3" s="458"/>
      <c r="Q3" s="458"/>
      <c r="R3" s="458"/>
      <c r="S3" s="458"/>
      <c r="T3" s="458"/>
      <c r="U3" s="458"/>
      <c r="V3" s="458"/>
      <c r="W3" s="458"/>
      <c r="X3" s="458"/>
      <c r="Y3" s="458"/>
      <c r="Z3" s="459"/>
      <c r="AA3" s="451"/>
    </row>
    <row r="4" spans="1:27" s="3" customFormat="1" ht="28.5" customHeight="1">
      <c r="A4" s="460" t="s">
        <v>1307</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1318</v>
      </c>
      <c r="H5" s="456"/>
      <c r="I5" s="456" t="s">
        <v>1309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1333</v>
      </c>
      <c r="C8" s="647"/>
      <c r="D8" s="647"/>
      <c r="E8" s="647"/>
      <c r="F8" s="647"/>
      <c r="G8" s="647"/>
      <c r="H8" s="647"/>
      <c r="I8" s="132">
        <v>30</v>
      </c>
      <c r="J8" s="133" t="s">
        <v>1320</v>
      </c>
      <c r="K8" s="10"/>
      <c r="L8" s="30"/>
      <c r="M8" s="30"/>
      <c r="N8" s="191"/>
      <c r="O8" s="191"/>
      <c r="P8" s="191"/>
      <c r="Q8" s="191"/>
      <c r="R8" s="30"/>
      <c r="S8" s="30"/>
      <c r="T8" s="30"/>
      <c r="U8" s="30"/>
      <c r="V8" s="30"/>
      <c r="W8" s="30"/>
      <c r="X8" s="475"/>
      <c r="Y8" s="475"/>
      <c r="Z8" s="476"/>
      <c r="AA8" s="451"/>
    </row>
    <row r="9" spans="1:27" s="14" customFormat="1" ht="24">
      <c r="A9" s="7" t="s">
        <v>66</v>
      </c>
      <c r="B9" s="647" t="s">
        <v>1334</v>
      </c>
      <c r="C9" s="647"/>
      <c r="D9" s="647"/>
      <c r="E9" s="647"/>
      <c r="F9" s="647"/>
      <c r="G9" s="647"/>
      <c r="H9" s="647"/>
      <c r="I9" s="132">
        <v>25</v>
      </c>
      <c r="J9" s="133" t="s">
        <v>1320</v>
      </c>
      <c r="K9" s="10"/>
      <c r="L9" s="30"/>
      <c r="M9" s="30"/>
      <c r="N9" s="30"/>
      <c r="O9" s="30"/>
      <c r="P9" s="30"/>
      <c r="Q9" s="191"/>
      <c r="R9" s="191"/>
      <c r="S9" s="191"/>
      <c r="T9" s="191"/>
      <c r="U9" s="30"/>
      <c r="V9" s="30"/>
      <c r="W9" s="30"/>
      <c r="X9" s="475"/>
      <c r="Y9" s="475"/>
      <c r="Z9" s="476"/>
      <c r="AA9" s="451"/>
    </row>
    <row r="10" spans="1:27" s="14" customFormat="1" ht="24">
      <c r="A10" s="7" t="s">
        <v>68</v>
      </c>
      <c r="B10" s="647" t="s">
        <v>1335</v>
      </c>
      <c r="C10" s="647"/>
      <c r="D10" s="647"/>
      <c r="E10" s="647"/>
      <c r="F10" s="647"/>
      <c r="G10" s="647"/>
      <c r="H10" s="647"/>
      <c r="I10" s="132">
        <v>20</v>
      </c>
      <c r="J10" s="133" t="s">
        <v>1319</v>
      </c>
      <c r="K10" s="10"/>
      <c r="L10" s="30"/>
      <c r="M10" s="30"/>
      <c r="N10" s="30"/>
      <c r="O10" s="30"/>
      <c r="P10" s="30"/>
      <c r="Q10" s="30"/>
      <c r="R10" s="30"/>
      <c r="S10" s="30"/>
      <c r="T10" s="191"/>
      <c r="U10" s="191"/>
      <c r="V10" s="30"/>
      <c r="W10" s="30"/>
      <c r="X10" s="468"/>
      <c r="Y10" s="468"/>
      <c r="Z10" s="469"/>
      <c r="AA10" s="451"/>
    </row>
    <row r="11" spans="1:27" s="14" customFormat="1" ht="24">
      <c r="A11" s="7" t="s">
        <v>70</v>
      </c>
      <c r="B11" s="647" t="s">
        <v>1336</v>
      </c>
      <c r="C11" s="647"/>
      <c r="D11" s="647"/>
      <c r="E11" s="647"/>
      <c r="F11" s="647"/>
      <c r="G11" s="647"/>
      <c r="H11" s="647"/>
      <c r="I11" s="132">
        <v>25</v>
      </c>
      <c r="J11" s="133" t="s">
        <v>1320</v>
      </c>
      <c r="K11" s="10"/>
      <c r="L11" s="30"/>
      <c r="M11" s="30"/>
      <c r="N11" s="30"/>
      <c r="O11" s="30"/>
      <c r="P11" s="30"/>
      <c r="Q11" s="30"/>
      <c r="R11" s="30"/>
      <c r="S11" s="30"/>
      <c r="T11" s="30"/>
      <c r="U11" s="30"/>
      <c r="V11" s="191"/>
      <c r="W11" s="191"/>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3D9F-9128-4825-BE04-2C4B23356894}">
  <dimension ref="A1:Z23"/>
  <sheetViews>
    <sheetView rightToLeft="1" view="pageBreakPreview" zoomScale="70" zoomScaleNormal="90" zoomScaleSheetLayoutView="70" workbookViewId="0">
      <selection activeCell="L15" sqref="L1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1321</v>
      </c>
      <c r="B3" s="657"/>
      <c r="C3" s="657"/>
      <c r="D3" s="657"/>
      <c r="E3" s="658"/>
      <c r="F3" s="659" t="s">
        <v>178</v>
      </c>
      <c r="G3" s="660"/>
      <c r="H3" s="661" t="s">
        <v>1322</v>
      </c>
      <c r="I3" s="662"/>
      <c r="J3" s="662"/>
      <c r="K3" s="662"/>
      <c r="L3" s="662"/>
      <c r="M3" s="662"/>
      <c r="N3" s="662"/>
      <c r="O3" s="662"/>
      <c r="P3" s="662"/>
      <c r="Q3" s="662"/>
      <c r="R3" s="662"/>
      <c r="S3" s="662"/>
      <c r="T3" s="662"/>
      <c r="U3" s="662"/>
      <c r="V3" s="662"/>
      <c r="W3" s="662"/>
      <c r="X3" s="662"/>
      <c r="Y3" s="663"/>
      <c r="Z3" s="451"/>
    </row>
    <row r="4" spans="1:26" s="3" customFormat="1" ht="28.5">
      <c r="A4" s="667" t="s">
        <v>1323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1324</v>
      </c>
      <c r="B5" s="673"/>
      <c r="C5" s="673"/>
      <c r="D5" s="673"/>
      <c r="E5" s="674"/>
      <c r="F5" s="675" t="s">
        <v>1325</v>
      </c>
      <c r="G5" s="675"/>
      <c r="H5" s="676" t="s">
        <v>284</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33.75">
      <c r="A8" s="23" t="s">
        <v>28</v>
      </c>
      <c r="B8" s="726" t="s">
        <v>1326</v>
      </c>
      <c r="C8" s="727"/>
      <c r="D8" s="727"/>
      <c r="E8" s="727"/>
      <c r="F8" s="727"/>
      <c r="G8" s="728"/>
      <c r="H8" s="15">
        <v>40</v>
      </c>
      <c r="I8" s="9" t="s">
        <v>1327</v>
      </c>
      <c r="J8" s="9"/>
      <c r="K8" s="16"/>
      <c r="L8" s="16"/>
      <c r="M8" s="274"/>
      <c r="N8" s="274"/>
      <c r="O8" s="274"/>
      <c r="P8" s="274"/>
      <c r="Q8" s="274"/>
      <c r="R8" s="274"/>
      <c r="S8" s="274"/>
      <c r="T8" s="274"/>
      <c r="U8" s="274"/>
      <c r="V8" s="274"/>
      <c r="W8" s="594"/>
      <c r="X8" s="595"/>
      <c r="Y8" s="596"/>
      <c r="Z8" s="451"/>
    </row>
    <row r="9" spans="1:26" s="14" customFormat="1" ht="33.75">
      <c r="A9" s="23" t="s">
        <v>66</v>
      </c>
      <c r="B9" s="726" t="s">
        <v>1328</v>
      </c>
      <c r="C9" s="727"/>
      <c r="D9" s="727"/>
      <c r="E9" s="727"/>
      <c r="F9" s="727"/>
      <c r="G9" s="728"/>
      <c r="H9" s="15">
        <v>30</v>
      </c>
      <c r="I9" s="9" t="s">
        <v>1329</v>
      </c>
      <c r="J9" s="9"/>
      <c r="K9" s="274"/>
      <c r="L9" s="274"/>
      <c r="M9" s="274"/>
      <c r="N9" s="274"/>
      <c r="O9" s="274"/>
      <c r="P9" s="274"/>
      <c r="Q9" s="274"/>
      <c r="R9" s="274"/>
      <c r="S9" s="274"/>
      <c r="T9" s="274"/>
      <c r="U9" s="274"/>
      <c r="V9" s="274"/>
      <c r="W9" s="597"/>
      <c r="X9" s="597"/>
      <c r="Y9" s="597"/>
      <c r="Z9" s="451"/>
    </row>
    <row r="10" spans="1:26" s="14" customFormat="1" ht="33.75">
      <c r="A10" s="23" t="s">
        <v>68</v>
      </c>
      <c r="B10" s="726" t="s">
        <v>1330</v>
      </c>
      <c r="C10" s="727"/>
      <c r="D10" s="727"/>
      <c r="E10" s="727"/>
      <c r="F10" s="727"/>
      <c r="G10" s="728"/>
      <c r="H10" s="15">
        <v>30</v>
      </c>
      <c r="I10" s="9" t="s">
        <v>1319</v>
      </c>
      <c r="J10" s="9"/>
      <c r="K10" s="16"/>
      <c r="L10" s="16"/>
      <c r="M10" s="274"/>
      <c r="N10" s="274"/>
      <c r="O10" s="274"/>
      <c r="P10" s="274"/>
      <c r="Q10" s="274"/>
      <c r="R10" s="274"/>
      <c r="S10" s="274"/>
      <c r="T10" s="274"/>
      <c r="U10" s="274"/>
      <c r="V10" s="274"/>
      <c r="W10" s="518"/>
      <c r="X10" s="518"/>
      <c r="Y10" s="518"/>
      <c r="Z10" s="451"/>
    </row>
    <row r="11" spans="1:26" s="14" customFormat="1" ht="33.75">
      <c r="A11" s="23" t="s">
        <v>70</v>
      </c>
      <c r="B11" s="726"/>
      <c r="C11" s="727"/>
      <c r="D11" s="727"/>
      <c r="E11" s="727"/>
      <c r="F11" s="727"/>
      <c r="G11" s="728"/>
      <c r="H11" s="15"/>
      <c r="I11" s="9"/>
      <c r="J11" s="9"/>
      <c r="K11" s="16"/>
      <c r="L11" s="16"/>
      <c r="M11" s="16"/>
      <c r="N11" s="16"/>
      <c r="O11" s="16"/>
      <c r="P11" s="16"/>
      <c r="Q11" s="16"/>
      <c r="R11" s="16"/>
      <c r="S11" s="16"/>
      <c r="T11" s="16"/>
      <c r="U11" s="16"/>
      <c r="V11" s="16"/>
      <c r="W11" s="518"/>
      <c r="X11" s="518"/>
      <c r="Y11" s="518"/>
      <c r="Z11" s="451"/>
    </row>
    <row r="12" spans="1:26" s="14" customFormat="1" ht="33.75">
      <c r="A12" s="23" t="s">
        <v>153</v>
      </c>
      <c r="B12" s="729"/>
      <c r="C12" s="729"/>
      <c r="D12" s="729"/>
      <c r="E12" s="729"/>
      <c r="F12" s="729"/>
      <c r="G12" s="729"/>
      <c r="H12" s="15"/>
      <c r="I12" s="9"/>
      <c r="J12" s="9"/>
      <c r="K12" s="16"/>
      <c r="L12" s="16"/>
      <c r="M12" s="16"/>
      <c r="N12" s="16"/>
      <c r="O12" s="16"/>
      <c r="P12" s="16"/>
      <c r="Q12" s="16"/>
      <c r="R12" s="16"/>
      <c r="S12" s="16"/>
      <c r="T12" s="16"/>
      <c r="U12" s="16"/>
      <c r="V12" s="16"/>
      <c r="W12" s="597"/>
      <c r="X12" s="597"/>
      <c r="Y12" s="597"/>
      <c r="Z12" s="451"/>
    </row>
    <row r="13" spans="1:26" s="14" customFormat="1" ht="33.75">
      <c r="A13" s="23" t="s">
        <v>155</v>
      </c>
      <c r="B13" s="726"/>
      <c r="C13" s="727"/>
      <c r="D13" s="727"/>
      <c r="E13" s="727"/>
      <c r="F13" s="727"/>
      <c r="G13" s="728"/>
      <c r="H13" s="15"/>
      <c r="I13" s="9"/>
      <c r="J13" s="9"/>
      <c r="K13" s="16"/>
      <c r="L13" s="16"/>
      <c r="M13" s="16"/>
      <c r="N13" s="16"/>
      <c r="O13" s="16"/>
      <c r="P13" s="16"/>
      <c r="Q13" s="16"/>
      <c r="R13" s="16"/>
      <c r="S13" s="16"/>
      <c r="T13" s="16"/>
      <c r="U13" s="16"/>
      <c r="V13" s="16"/>
      <c r="W13" s="594"/>
      <c r="X13" s="595"/>
      <c r="Y13" s="596"/>
      <c r="Z13" s="451"/>
    </row>
    <row r="14" spans="1:26" s="14" customFormat="1" ht="33.75">
      <c r="A14" s="23" t="s">
        <v>156</v>
      </c>
      <c r="B14" s="726"/>
      <c r="C14" s="727"/>
      <c r="D14" s="727"/>
      <c r="E14" s="727"/>
      <c r="F14" s="727"/>
      <c r="G14" s="728"/>
      <c r="H14" s="15"/>
      <c r="I14" s="9"/>
      <c r="J14" s="9"/>
      <c r="K14" s="16"/>
      <c r="L14" s="16"/>
      <c r="M14" s="16"/>
      <c r="N14" s="16"/>
      <c r="O14" s="16"/>
      <c r="P14" s="16"/>
      <c r="Q14" s="16"/>
      <c r="R14" s="16"/>
      <c r="S14" s="16"/>
      <c r="T14" s="16"/>
      <c r="U14" s="16"/>
      <c r="V14" s="16"/>
      <c r="W14" s="594"/>
      <c r="X14" s="595"/>
      <c r="Y14" s="596"/>
      <c r="Z14" s="451"/>
    </row>
    <row r="15" spans="1:26" s="14" customFormat="1" ht="33.75">
      <c r="A15" s="23" t="s">
        <v>853</v>
      </c>
      <c r="B15" s="726"/>
      <c r="C15" s="727"/>
      <c r="D15" s="727"/>
      <c r="E15" s="727"/>
      <c r="F15" s="727"/>
      <c r="G15" s="728"/>
      <c r="H15" s="15"/>
      <c r="I15" s="9"/>
      <c r="J15" s="9"/>
      <c r="K15" s="16"/>
      <c r="L15" s="16"/>
      <c r="M15" s="16"/>
      <c r="N15" s="16"/>
      <c r="O15" s="16"/>
      <c r="P15" s="16"/>
      <c r="Q15" s="16"/>
      <c r="R15" s="16"/>
      <c r="S15" s="16"/>
      <c r="T15" s="16"/>
      <c r="U15" s="16"/>
      <c r="V15" s="16"/>
      <c r="W15" s="594"/>
      <c r="X15" s="595"/>
      <c r="Y15" s="596"/>
      <c r="Z15" s="451"/>
    </row>
    <row r="16" spans="1:26" s="14" customFormat="1" ht="33.75">
      <c r="A16" s="23" t="s">
        <v>892</v>
      </c>
      <c r="B16" s="726"/>
      <c r="C16" s="727"/>
      <c r="D16" s="727"/>
      <c r="E16" s="727"/>
      <c r="F16" s="727"/>
      <c r="G16" s="728"/>
      <c r="H16" s="15"/>
      <c r="I16" s="9"/>
      <c r="J16" s="9"/>
      <c r="K16" s="16"/>
      <c r="L16" s="16"/>
      <c r="M16" s="16"/>
      <c r="N16" s="16"/>
      <c r="O16" s="16"/>
      <c r="P16" s="16"/>
      <c r="Q16" s="16"/>
      <c r="R16" s="16"/>
      <c r="S16" s="16"/>
      <c r="T16" s="16"/>
      <c r="U16" s="16"/>
      <c r="V16" s="16"/>
      <c r="W16" s="594"/>
      <c r="X16" s="595"/>
      <c r="Y16" s="596"/>
      <c r="Z16" s="451"/>
    </row>
    <row r="17" spans="1:26" s="14" customFormat="1" ht="34.5" thickBot="1">
      <c r="A17" s="23" t="s">
        <v>894</v>
      </c>
      <c r="B17" s="726"/>
      <c r="C17" s="727"/>
      <c r="D17" s="727"/>
      <c r="E17" s="727"/>
      <c r="F17" s="727"/>
      <c r="G17" s="728"/>
      <c r="H17" s="15"/>
      <c r="I17" s="9"/>
      <c r="J17" s="9"/>
      <c r="K17" s="16"/>
      <c r="L17" s="16"/>
      <c r="M17" s="16"/>
      <c r="N17" s="16"/>
      <c r="O17" s="16"/>
      <c r="P17" s="16"/>
      <c r="Q17" s="16"/>
      <c r="R17" s="16"/>
      <c r="S17" s="16"/>
      <c r="T17" s="16"/>
      <c r="U17" s="16"/>
      <c r="V17" s="16"/>
      <c r="W17" s="518"/>
      <c r="X17" s="518"/>
      <c r="Y17" s="518"/>
      <c r="Z17" s="451"/>
    </row>
    <row r="18" spans="1:26" ht="30" thickTop="1" thickBot="1">
      <c r="A18" s="519" t="s">
        <v>72</v>
      </c>
      <c r="B18" s="520"/>
      <c r="C18" s="520"/>
      <c r="D18" s="521"/>
      <c r="E18" s="527" t="s">
        <v>73</v>
      </c>
      <c r="F18" s="528"/>
      <c r="G18" s="528"/>
      <c r="H18" s="528"/>
      <c r="I18" s="528"/>
      <c r="J18" s="527" t="s">
        <v>74</v>
      </c>
      <c r="K18" s="528"/>
      <c r="L18" s="528"/>
      <c r="M18" s="529"/>
      <c r="N18" s="543" t="s">
        <v>75</v>
      </c>
      <c r="O18" s="544"/>
      <c r="P18" s="544"/>
      <c r="Q18" s="544"/>
      <c r="R18" s="544"/>
      <c r="S18" s="544"/>
      <c r="T18" s="544"/>
      <c r="U18" s="544"/>
      <c r="V18" s="545"/>
      <c r="W18" s="543" t="s">
        <v>76</v>
      </c>
      <c r="X18" s="544"/>
      <c r="Y18" s="545"/>
      <c r="Z18" s="451"/>
    </row>
    <row r="19" spans="1:26" s="20" customFormat="1" ht="29.25" thickTop="1">
      <c r="A19" s="522"/>
      <c r="B19" s="498"/>
      <c r="C19" s="498"/>
      <c r="D19" s="523"/>
      <c r="E19" s="533"/>
      <c r="F19" s="534"/>
      <c r="G19" s="533"/>
      <c r="H19" s="539"/>
      <c r="I19" s="534"/>
      <c r="J19" s="541" t="s">
        <v>47</v>
      </c>
      <c r="K19" s="539"/>
      <c r="L19" s="539"/>
      <c r="M19" s="534"/>
      <c r="N19" s="546"/>
      <c r="O19" s="481"/>
      <c r="P19" s="481"/>
      <c r="Q19" s="481"/>
      <c r="R19" s="481"/>
      <c r="S19" s="481"/>
      <c r="T19" s="481"/>
      <c r="U19" s="481"/>
      <c r="V19" s="547"/>
      <c r="W19" s="546"/>
      <c r="X19" s="481"/>
      <c r="Y19" s="547"/>
    </row>
    <row r="20" spans="1:26" s="20" customFormat="1" ht="29.25" thickBot="1">
      <c r="A20" s="522"/>
      <c r="B20" s="498"/>
      <c r="C20" s="498"/>
      <c r="D20" s="523"/>
      <c r="E20" s="535"/>
      <c r="F20" s="536"/>
      <c r="G20" s="535"/>
      <c r="H20" s="507"/>
      <c r="I20" s="536"/>
      <c r="J20" s="542"/>
      <c r="K20" s="540"/>
      <c r="L20" s="540"/>
      <c r="M20" s="538"/>
      <c r="N20" s="546"/>
      <c r="O20" s="481"/>
      <c r="P20" s="481"/>
      <c r="Q20" s="481"/>
      <c r="R20" s="481"/>
      <c r="S20" s="481"/>
      <c r="T20" s="481"/>
      <c r="U20" s="481"/>
      <c r="V20" s="547"/>
      <c r="W20" s="546"/>
      <c r="X20" s="481"/>
      <c r="Y20" s="547"/>
    </row>
    <row r="21" spans="1:26" s="20" customFormat="1" ht="29.25" thickTop="1">
      <c r="A21" s="522"/>
      <c r="B21" s="498"/>
      <c r="C21" s="498"/>
      <c r="D21" s="523"/>
      <c r="E21" s="535"/>
      <c r="F21" s="536"/>
      <c r="G21" s="535"/>
      <c r="H21" s="507"/>
      <c r="I21" s="536"/>
      <c r="J21" s="541" t="s">
        <v>48</v>
      </c>
      <c r="K21" s="539"/>
      <c r="L21" s="539"/>
      <c r="M21" s="534"/>
      <c r="N21" s="546"/>
      <c r="O21" s="481"/>
      <c r="P21" s="481"/>
      <c r="Q21" s="481"/>
      <c r="R21" s="481"/>
      <c r="S21" s="481"/>
      <c r="T21" s="481"/>
      <c r="U21" s="481"/>
      <c r="V21" s="547"/>
      <c r="W21" s="546"/>
      <c r="X21" s="481"/>
      <c r="Y21" s="547"/>
    </row>
    <row r="22" spans="1:26" s="20" customFormat="1" ht="29.25" thickBot="1">
      <c r="A22" s="524"/>
      <c r="B22" s="525"/>
      <c r="C22" s="525"/>
      <c r="D22" s="526"/>
      <c r="E22" s="537"/>
      <c r="F22" s="538"/>
      <c r="G22" s="537"/>
      <c r="H22" s="540"/>
      <c r="I22" s="538"/>
      <c r="J22" s="542"/>
      <c r="K22" s="540"/>
      <c r="L22" s="540"/>
      <c r="M22" s="538"/>
      <c r="N22" s="548"/>
      <c r="O22" s="549"/>
      <c r="P22" s="549"/>
      <c r="Q22" s="549"/>
      <c r="R22" s="549"/>
      <c r="S22" s="549"/>
      <c r="T22" s="549"/>
      <c r="U22" s="549"/>
      <c r="V22" s="550"/>
      <c r="W22" s="548"/>
      <c r="X22" s="549"/>
      <c r="Y22" s="550"/>
    </row>
    <row r="23" spans="1:26" ht="18.75" thickTop="1"/>
  </sheetData>
  <mergeCells count="49">
    <mergeCell ref="A1:Y1"/>
    <mergeCell ref="Z1:Z18"/>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B14:G14"/>
    <mergeCell ref="W14:Y14"/>
    <mergeCell ref="B15:G15"/>
    <mergeCell ref="W15:Y15"/>
    <mergeCell ref="B16:G16"/>
    <mergeCell ref="W16:Y16"/>
    <mergeCell ref="K19:M20"/>
    <mergeCell ref="J21:J22"/>
    <mergeCell ref="K21:M22"/>
    <mergeCell ref="B17:G17"/>
    <mergeCell ref="W17:Y17"/>
    <mergeCell ref="A18:D22"/>
    <mergeCell ref="E18:I18"/>
    <mergeCell ref="J18:M18"/>
    <mergeCell ref="N18:V22"/>
    <mergeCell ref="W18:Y22"/>
    <mergeCell ref="E19:F22"/>
    <mergeCell ref="G19:I22"/>
    <mergeCell ref="J19:J20"/>
  </mergeCells>
  <printOptions horizontalCentered="1" verticalCentered="1"/>
  <pageMargins left="0" right="0" top="0" bottom="0" header="0" footer="0"/>
  <pageSetup scale="45"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20"/>
  <sheetViews>
    <sheetView rightToLeft="1" view="pageBreakPreview" topLeftCell="A2" zoomScale="80" zoomScaleNormal="90" zoomScaleSheetLayoutView="80" workbookViewId="0">
      <selection activeCell="K13" sqref="K13"/>
    </sheetView>
  </sheetViews>
  <sheetFormatPr defaultRowHeight="15"/>
  <cols>
    <col min="1" max="1" width="6.7109375" bestFit="1" customWidth="1"/>
    <col min="7" max="7" width="16.140625" customWidth="1"/>
    <col min="8" max="8" width="25.5703125" customWidth="1"/>
    <col min="9" max="9" width="19.28515625" bestFit="1" customWidth="1"/>
    <col min="10" max="10" width="22.28515625" bestFit="1" customWidth="1"/>
    <col min="11" max="11" width="29.7109375" bestFit="1" customWidth="1"/>
    <col min="12" max="23" width="6.7109375" bestFit="1" customWidth="1"/>
    <col min="26" max="26" width="34.140625" bestFit="1" customWidth="1"/>
  </cols>
  <sheetData>
    <row r="1" spans="1:26"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row>
    <row r="2" spans="1:26" ht="18">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row>
    <row r="3" spans="1:26" ht="28.5">
      <c r="A3" s="455" t="s">
        <v>2621</v>
      </c>
      <c r="B3" s="456"/>
      <c r="C3" s="456"/>
      <c r="D3" s="456"/>
      <c r="E3" s="456"/>
      <c r="F3" s="456"/>
      <c r="G3" s="457" t="s">
        <v>3</v>
      </c>
      <c r="H3" s="457"/>
      <c r="I3" s="458" t="s">
        <v>2622</v>
      </c>
      <c r="J3" s="458"/>
      <c r="K3" s="458"/>
      <c r="L3" s="458"/>
      <c r="M3" s="458"/>
      <c r="N3" s="458"/>
      <c r="O3" s="458"/>
      <c r="P3" s="458"/>
      <c r="Q3" s="458"/>
      <c r="R3" s="458"/>
      <c r="S3" s="458"/>
      <c r="T3" s="458"/>
      <c r="U3" s="458"/>
      <c r="V3" s="458"/>
      <c r="W3" s="458"/>
      <c r="X3" s="458"/>
      <c r="Y3" s="458"/>
      <c r="Z3" s="459"/>
    </row>
    <row r="4" spans="1:26" ht="28.5">
      <c r="A4" s="460" t="s">
        <v>1307</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row>
    <row r="5" spans="1:26" ht="28.5">
      <c r="A5" s="463"/>
      <c r="B5" s="464"/>
      <c r="C5" s="464"/>
      <c r="D5" s="464"/>
      <c r="E5" s="464"/>
      <c r="F5" s="465"/>
      <c r="G5" s="456" t="s">
        <v>1318</v>
      </c>
      <c r="H5" s="456"/>
      <c r="I5" s="456" t="s">
        <v>1309</v>
      </c>
      <c r="J5" s="456"/>
      <c r="K5" s="456"/>
      <c r="L5" s="456"/>
      <c r="M5" s="456"/>
      <c r="N5" s="456"/>
      <c r="O5" s="456"/>
      <c r="P5" s="456"/>
      <c r="Q5" s="456"/>
      <c r="R5" s="456"/>
      <c r="S5" s="456"/>
      <c r="T5" s="456"/>
      <c r="U5" s="456"/>
      <c r="V5" s="456"/>
      <c r="W5" s="456"/>
      <c r="X5" s="456"/>
      <c r="Y5" s="456"/>
      <c r="Z5" s="466"/>
    </row>
    <row r="6" spans="1:26"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row>
    <row r="7" spans="1:26"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row>
    <row r="8" spans="1:26" ht="24">
      <c r="A8" s="7" t="s">
        <v>28</v>
      </c>
      <c r="B8" s="647" t="s">
        <v>2623</v>
      </c>
      <c r="C8" s="647"/>
      <c r="D8" s="647"/>
      <c r="E8" s="647"/>
      <c r="F8" s="647"/>
      <c r="G8" s="647"/>
      <c r="H8" s="647"/>
      <c r="I8" s="132">
        <v>30</v>
      </c>
      <c r="J8" s="133" t="s">
        <v>2624</v>
      </c>
      <c r="K8" s="10"/>
      <c r="L8" s="447"/>
      <c r="M8" s="447"/>
      <c r="N8" s="447"/>
      <c r="O8" s="447"/>
      <c r="P8" s="30"/>
      <c r="Q8" s="30"/>
      <c r="R8" s="30"/>
      <c r="S8" s="30"/>
      <c r="T8" s="30"/>
      <c r="U8" s="30"/>
      <c r="V8" s="30"/>
      <c r="W8" s="30"/>
      <c r="X8" s="475"/>
      <c r="Y8" s="475"/>
      <c r="Z8" s="476"/>
    </row>
    <row r="9" spans="1:26" ht="24">
      <c r="A9" s="7" t="s">
        <v>66</v>
      </c>
      <c r="B9" s="647" t="s">
        <v>1299</v>
      </c>
      <c r="C9" s="647"/>
      <c r="D9" s="647"/>
      <c r="E9" s="647"/>
      <c r="F9" s="647"/>
      <c r="G9" s="647"/>
      <c r="H9" s="647"/>
      <c r="I9" s="132">
        <v>30</v>
      </c>
      <c r="J9" s="133" t="s">
        <v>1319</v>
      </c>
      <c r="K9" s="10"/>
      <c r="L9" s="30"/>
      <c r="M9" s="30"/>
      <c r="N9" s="30"/>
      <c r="O9" s="30"/>
      <c r="P9" s="183"/>
      <c r="Q9" s="183"/>
      <c r="R9" s="183"/>
      <c r="S9" s="183"/>
      <c r="T9" s="30"/>
      <c r="U9" s="30"/>
      <c r="V9" s="30"/>
      <c r="W9" s="30"/>
      <c r="X9" s="475"/>
      <c r="Y9" s="475"/>
      <c r="Z9" s="476"/>
    </row>
    <row r="10" spans="1:26" ht="24">
      <c r="A10" s="7" t="s">
        <v>68</v>
      </c>
      <c r="B10" s="647" t="s">
        <v>1298</v>
      </c>
      <c r="C10" s="647"/>
      <c r="D10" s="647"/>
      <c r="E10" s="647"/>
      <c r="F10" s="647"/>
      <c r="G10" s="647"/>
      <c r="H10" s="647"/>
      <c r="I10" s="132">
        <v>40</v>
      </c>
      <c r="J10" s="133" t="s">
        <v>1320</v>
      </c>
      <c r="K10" s="10"/>
      <c r="L10" s="30"/>
      <c r="M10" s="30"/>
      <c r="N10" s="30"/>
      <c r="O10" s="30"/>
      <c r="P10" s="30"/>
      <c r="Q10" s="30"/>
      <c r="R10" s="30"/>
      <c r="S10" s="30"/>
      <c r="T10" s="183"/>
      <c r="U10" s="183"/>
      <c r="V10" s="183"/>
      <c r="W10" s="183"/>
      <c r="X10" s="468"/>
      <c r="Y10" s="468"/>
      <c r="Z10" s="469"/>
    </row>
    <row r="11" spans="1:26" ht="24">
      <c r="A11" s="7" t="s">
        <v>70</v>
      </c>
      <c r="B11" s="647"/>
      <c r="C11" s="647"/>
      <c r="D11" s="647"/>
      <c r="E11" s="647"/>
      <c r="F11" s="647"/>
      <c r="G11" s="647"/>
      <c r="H11" s="647"/>
      <c r="I11" s="132"/>
      <c r="J11" s="133"/>
      <c r="K11" s="10"/>
      <c r="L11" s="30"/>
      <c r="M11" s="30"/>
      <c r="N11" s="30"/>
      <c r="O11" s="30"/>
      <c r="P11" s="30"/>
      <c r="Q11" s="30"/>
      <c r="R11" s="30"/>
      <c r="S11" s="30"/>
      <c r="T11" s="30"/>
      <c r="U11" s="30"/>
      <c r="V11" s="30"/>
      <c r="W11" s="30"/>
      <c r="X11" s="468"/>
      <c r="Y11" s="468"/>
      <c r="Z11" s="469"/>
    </row>
    <row r="12" spans="1:26"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row>
    <row r="13" spans="1:26"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row>
    <row r="14" spans="1:26"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row>
    <row r="15" spans="1:26" ht="28.5">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row>
    <row r="16" spans="1:26">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ht="15.7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5.75" thickTop="1"/>
  </sheetData>
  <mergeCells count="43">
    <mergeCell ref="A1:Y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B11:H11"/>
    <mergeCell ref="X11:Z11"/>
    <mergeCell ref="B12:H12"/>
    <mergeCell ref="X12:Z12"/>
    <mergeCell ref="B13:H13"/>
    <mergeCell ref="X13:Z13"/>
    <mergeCell ref="X16:Z19"/>
    <mergeCell ref="K18:K19"/>
    <mergeCell ref="L18:N19"/>
    <mergeCell ref="B14:H14"/>
    <mergeCell ref="X14:Z14"/>
    <mergeCell ref="A15:E15"/>
    <mergeCell ref="F15:J15"/>
    <mergeCell ref="K15:N15"/>
    <mergeCell ref="O15:W15"/>
    <mergeCell ref="X15:Z15"/>
    <mergeCell ref="A16:E19"/>
    <mergeCell ref="F16:J19"/>
    <mergeCell ref="K16:K17"/>
    <mergeCell ref="L16:N17"/>
    <mergeCell ref="O16:W19"/>
  </mergeCells>
  <pageMargins left="0.7" right="0.7" top="0.75" bottom="0.75" header="0.3" footer="0.3"/>
  <pageSetup scale="3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3515E-06DF-43B9-BB06-4B0F4D468972}">
  <dimension ref="A1:AA20"/>
  <sheetViews>
    <sheetView rightToLeft="1" view="pageBreakPreview" zoomScale="70" zoomScaleNormal="90" zoomScaleSheetLayoutView="70" workbookViewId="0">
      <selection activeCell="D28" sqref="D2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1305</v>
      </c>
      <c r="B3" s="456"/>
      <c r="C3" s="456"/>
      <c r="D3" s="456"/>
      <c r="E3" s="456"/>
      <c r="F3" s="456"/>
      <c r="G3" s="457" t="s">
        <v>3</v>
      </c>
      <c r="H3" s="457"/>
      <c r="I3" s="458" t="s">
        <v>1306</v>
      </c>
      <c r="J3" s="458"/>
      <c r="K3" s="458"/>
      <c r="L3" s="458"/>
      <c r="M3" s="458"/>
      <c r="N3" s="458"/>
      <c r="O3" s="458"/>
      <c r="P3" s="458"/>
      <c r="Q3" s="458"/>
      <c r="R3" s="458"/>
      <c r="S3" s="458"/>
      <c r="T3" s="458"/>
      <c r="U3" s="458"/>
      <c r="V3" s="458"/>
      <c r="W3" s="458"/>
      <c r="X3" s="458"/>
      <c r="Y3" s="458"/>
      <c r="Z3" s="459"/>
      <c r="AA3" s="451"/>
    </row>
    <row r="4" spans="1:27" s="3" customFormat="1" ht="28.5" customHeight="1">
      <c r="A4" s="460" t="s">
        <v>1307</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1308</v>
      </c>
      <c r="H5" s="456"/>
      <c r="I5" s="456" t="s">
        <v>1309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1310</v>
      </c>
      <c r="C8" s="647"/>
      <c r="D8" s="647"/>
      <c r="E8" s="647"/>
      <c r="F8" s="647"/>
      <c r="G8" s="647"/>
      <c r="H8" s="647"/>
      <c r="I8" s="132">
        <v>10</v>
      </c>
      <c r="J8" s="133" t="s">
        <v>1311</v>
      </c>
      <c r="K8" s="10"/>
      <c r="L8" s="30"/>
      <c r="M8" s="30"/>
      <c r="N8" s="183"/>
      <c r="O8" s="183"/>
      <c r="P8" s="183"/>
      <c r="Q8" s="183"/>
      <c r="R8" s="30"/>
      <c r="S8" s="30"/>
      <c r="T8" s="30"/>
      <c r="U8" s="30"/>
      <c r="V8" s="30"/>
      <c r="W8" s="30"/>
      <c r="X8" s="475"/>
      <c r="Y8" s="475"/>
      <c r="Z8" s="476"/>
      <c r="AA8" s="451"/>
    </row>
    <row r="9" spans="1:27" s="14" customFormat="1" ht="24">
      <c r="A9" s="7" t="s">
        <v>66</v>
      </c>
      <c r="B9" s="647" t="s">
        <v>1312</v>
      </c>
      <c r="C9" s="647"/>
      <c r="D9" s="647"/>
      <c r="E9" s="647"/>
      <c r="F9" s="647"/>
      <c r="G9" s="647"/>
      <c r="H9" s="647"/>
      <c r="I9" s="132">
        <v>10</v>
      </c>
      <c r="J9" s="133" t="s">
        <v>1311</v>
      </c>
      <c r="K9" s="10"/>
      <c r="L9" s="30"/>
      <c r="M9" s="30"/>
      <c r="N9" s="183"/>
      <c r="O9" s="183"/>
      <c r="P9" s="183"/>
      <c r="Q9" s="183"/>
      <c r="R9" s="30"/>
      <c r="S9" s="30"/>
      <c r="T9" s="30"/>
      <c r="U9" s="30"/>
      <c r="V9" s="30"/>
      <c r="W9" s="30"/>
      <c r="X9" s="475"/>
      <c r="Y9" s="475"/>
      <c r="Z9" s="476"/>
      <c r="AA9" s="451"/>
    </row>
    <row r="10" spans="1:27" s="14" customFormat="1" ht="24">
      <c r="A10" s="7" t="s">
        <v>68</v>
      </c>
      <c r="B10" s="647" t="s">
        <v>1313</v>
      </c>
      <c r="C10" s="647"/>
      <c r="D10" s="647"/>
      <c r="E10" s="647"/>
      <c r="F10" s="647"/>
      <c r="G10" s="647"/>
      <c r="H10" s="647"/>
      <c r="I10" s="132">
        <v>15</v>
      </c>
      <c r="J10" s="133" t="s">
        <v>1311</v>
      </c>
      <c r="K10" s="10"/>
      <c r="L10" s="30"/>
      <c r="M10" s="30"/>
      <c r="N10" s="30"/>
      <c r="O10" s="30"/>
      <c r="P10" s="30"/>
      <c r="R10" s="269"/>
      <c r="S10" s="183"/>
      <c r="T10" s="30"/>
      <c r="U10" s="30"/>
      <c r="V10" s="30"/>
      <c r="W10" s="30"/>
      <c r="X10" s="468"/>
      <c r="Y10" s="468"/>
      <c r="Z10" s="469"/>
      <c r="AA10" s="451"/>
    </row>
    <row r="11" spans="1:27" s="14" customFormat="1" ht="45">
      <c r="A11" s="7" t="s">
        <v>70</v>
      </c>
      <c r="B11" s="647" t="s">
        <v>1314</v>
      </c>
      <c r="C11" s="647"/>
      <c r="D11" s="647"/>
      <c r="E11" s="647"/>
      <c r="F11" s="647"/>
      <c r="G11" s="647"/>
      <c r="H11" s="647"/>
      <c r="I11" s="132">
        <v>20</v>
      </c>
      <c r="J11" s="133" t="s">
        <v>1315</v>
      </c>
      <c r="K11" s="10"/>
      <c r="L11" s="30"/>
      <c r="M11" s="30"/>
      <c r="N11" s="30"/>
      <c r="O11" s="30"/>
      <c r="P11" s="30"/>
      <c r="Q11" s="30"/>
      <c r="R11" s="30"/>
      <c r="S11" s="183"/>
      <c r="T11" s="30"/>
      <c r="U11" s="30"/>
      <c r="V11" s="30"/>
      <c r="W11" s="30"/>
      <c r="X11" s="468"/>
      <c r="Y11" s="468"/>
      <c r="Z11" s="469"/>
      <c r="AA11" s="451"/>
    </row>
    <row r="12" spans="1:27" s="14" customFormat="1" ht="24">
      <c r="A12" s="7" t="s">
        <v>153</v>
      </c>
      <c r="B12" s="647" t="s">
        <v>1316</v>
      </c>
      <c r="C12" s="647"/>
      <c r="D12" s="647"/>
      <c r="E12" s="647"/>
      <c r="F12" s="647"/>
      <c r="G12" s="647"/>
      <c r="H12" s="647"/>
      <c r="I12" s="132">
        <v>10</v>
      </c>
      <c r="J12" s="133" t="s">
        <v>1311</v>
      </c>
      <c r="K12" s="10"/>
      <c r="L12" s="30"/>
      <c r="M12" s="30"/>
      <c r="N12" s="30"/>
      <c r="O12" s="30"/>
      <c r="P12" s="30"/>
      <c r="Q12" s="30"/>
      <c r="R12" s="30"/>
      <c r="S12" s="183"/>
      <c r="T12" s="183"/>
      <c r="U12" s="30"/>
      <c r="V12" s="30"/>
      <c r="W12" s="30"/>
      <c r="X12" s="475"/>
      <c r="Y12" s="475"/>
      <c r="Z12" s="476"/>
      <c r="AA12" s="451"/>
    </row>
    <row r="13" spans="1:27" s="14" customFormat="1" ht="24">
      <c r="A13" s="7" t="s">
        <v>155</v>
      </c>
      <c r="B13" s="647" t="s">
        <v>1291</v>
      </c>
      <c r="C13" s="647"/>
      <c r="D13" s="647"/>
      <c r="E13" s="647"/>
      <c r="F13" s="647"/>
      <c r="G13" s="647"/>
      <c r="H13" s="647"/>
      <c r="I13" s="132">
        <v>15</v>
      </c>
      <c r="J13" s="133" t="s">
        <v>1311</v>
      </c>
      <c r="K13" s="10"/>
      <c r="L13" s="30"/>
      <c r="M13" s="30"/>
      <c r="N13" s="30"/>
      <c r="O13" s="30"/>
      <c r="P13" s="30"/>
      <c r="Q13" s="30"/>
      <c r="R13" s="30"/>
      <c r="S13" s="30"/>
      <c r="T13" s="30"/>
      <c r="U13" s="183"/>
      <c r="V13" s="183"/>
      <c r="W13" s="30"/>
      <c r="X13" s="468"/>
      <c r="Y13" s="468"/>
      <c r="Z13" s="469"/>
      <c r="AA13" s="451"/>
    </row>
    <row r="14" spans="1:27" s="14" customFormat="1" ht="24">
      <c r="A14" s="7" t="s">
        <v>156</v>
      </c>
      <c r="B14" s="647" t="s">
        <v>1317</v>
      </c>
      <c r="C14" s="647"/>
      <c r="D14" s="647"/>
      <c r="E14" s="647"/>
      <c r="F14" s="647"/>
      <c r="G14" s="647"/>
      <c r="H14" s="647"/>
      <c r="I14" s="132">
        <v>20</v>
      </c>
      <c r="J14" s="133" t="s">
        <v>1311</v>
      </c>
      <c r="K14" s="10"/>
      <c r="L14" s="134"/>
      <c r="M14" s="134"/>
      <c r="N14" s="134"/>
      <c r="O14" s="134"/>
      <c r="P14" s="134"/>
      <c r="Q14" s="134"/>
      <c r="R14" s="134"/>
      <c r="S14" s="134"/>
      <c r="T14" s="134"/>
      <c r="U14" s="134"/>
      <c r="V14" s="134"/>
      <c r="W14" s="270"/>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1F72C-99F2-426B-BF82-FD1D9CF1D3C0}">
  <dimension ref="A1:X17"/>
  <sheetViews>
    <sheetView rightToLeft="1" view="pageBreakPreview" zoomScale="90" zoomScaleNormal="90" zoomScaleSheetLayoutView="90" workbookViewId="0">
      <selection activeCell="G20" sqref="G2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1" width="5.140625" style="21" customWidth="1"/>
    <col min="12" max="20" width="4.7109375" style="21" customWidth="1"/>
    <col min="21" max="21" width="4.42578125" style="21" bestFit="1" customWidth="1"/>
    <col min="22" max="22" width="7.140625" style="21" customWidth="1"/>
    <col min="23" max="23" width="26.85546875" style="21" customWidth="1"/>
    <col min="24" max="24" width="3.140625" style="2" customWidth="1"/>
    <col min="25" max="25" width="4.140625" style="2" customWidth="1"/>
    <col min="26" max="16384" width="9.140625" style="2"/>
  </cols>
  <sheetData>
    <row r="1" spans="1:24"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4"/>
      <c r="X1" s="451"/>
    </row>
    <row r="2" spans="1:24" ht="19.5" thickTop="1" thickBot="1">
      <c r="A2" s="555"/>
      <c r="B2" s="555"/>
      <c r="C2" s="555"/>
      <c r="D2" s="555"/>
      <c r="E2" s="555"/>
      <c r="F2" s="555"/>
      <c r="G2" s="555"/>
      <c r="H2" s="555"/>
      <c r="I2" s="555"/>
      <c r="J2" s="555"/>
      <c r="K2" s="555"/>
      <c r="L2" s="555"/>
      <c r="M2" s="555"/>
      <c r="N2" s="555"/>
      <c r="O2" s="555"/>
      <c r="P2" s="555"/>
      <c r="Q2" s="555"/>
      <c r="R2" s="555"/>
      <c r="S2" s="555"/>
      <c r="T2" s="555"/>
      <c r="U2" s="555"/>
      <c r="V2" s="555"/>
      <c r="W2" s="556"/>
      <c r="X2" s="451"/>
    </row>
    <row r="3" spans="1:24" s="3" customFormat="1" ht="29.25" thickTop="1">
      <c r="A3" s="656" t="s">
        <v>1304</v>
      </c>
      <c r="B3" s="657"/>
      <c r="C3" s="657"/>
      <c r="D3" s="657"/>
      <c r="E3" s="658"/>
      <c r="F3" s="659" t="s">
        <v>178</v>
      </c>
      <c r="G3" s="660"/>
      <c r="H3" s="661" t="s">
        <v>1303</v>
      </c>
      <c r="I3" s="662"/>
      <c r="J3" s="662"/>
      <c r="K3" s="662"/>
      <c r="L3" s="662"/>
      <c r="M3" s="662"/>
      <c r="N3" s="662"/>
      <c r="O3" s="662"/>
      <c r="P3" s="662"/>
      <c r="Q3" s="662"/>
      <c r="R3" s="662"/>
      <c r="S3" s="662"/>
      <c r="T3" s="662"/>
      <c r="U3" s="662"/>
      <c r="V3" s="662"/>
      <c r="W3" s="663"/>
      <c r="X3" s="451"/>
    </row>
    <row r="4" spans="1:24" s="3" customFormat="1" ht="28.5">
      <c r="A4" s="667" t="s">
        <v>1224</v>
      </c>
      <c r="B4" s="668"/>
      <c r="C4" s="668"/>
      <c r="D4" s="668"/>
      <c r="E4" s="669"/>
      <c r="F4" s="670" t="s">
        <v>968</v>
      </c>
      <c r="G4" s="671"/>
      <c r="H4" s="664"/>
      <c r="I4" s="665"/>
      <c r="J4" s="665"/>
      <c r="K4" s="665"/>
      <c r="L4" s="665"/>
      <c r="M4" s="665"/>
      <c r="N4" s="665"/>
      <c r="O4" s="665"/>
      <c r="P4" s="665"/>
      <c r="Q4" s="665"/>
      <c r="R4" s="665"/>
      <c r="S4" s="665"/>
      <c r="T4" s="665"/>
      <c r="U4" s="665"/>
      <c r="V4" s="665"/>
      <c r="W4" s="666"/>
      <c r="X4" s="451"/>
    </row>
    <row r="5" spans="1:24" s="3" customFormat="1" ht="29.25" thickBot="1">
      <c r="A5" s="672" t="s">
        <v>1302</v>
      </c>
      <c r="B5" s="673"/>
      <c r="C5" s="673"/>
      <c r="D5" s="673"/>
      <c r="E5" s="674"/>
      <c r="F5" s="675" t="s">
        <v>1275</v>
      </c>
      <c r="G5" s="675"/>
      <c r="H5" s="676" t="s">
        <v>57</v>
      </c>
      <c r="I5" s="677"/>
      <c r="J5" s="677"/>
      <c r="K5" s="677"/>
      <c r="L5" s="677"/>
      <c r="M5" s="677"/>
      <c r="N5" s="677"/>
      <c r="O5" s="677"/>
      <c r="P5" s="677"/>
      <c r="Q5" s="677"/>
      <c r="R5" s="677"/>
      <c r="S5" s="677"/>
      <c r="T5" s="677"/>
      <c r="U5" s="677"/>
      <c r="V5" s="677"/>
      <c r="W5" s="678"/>
      <c r="X5" s="451"/>
    </row>
    <row r="6" spans="1:24" ht="28.5">
      <c r="A6" s="580" t="s">
        <v>9</v>
      </c>
      <c r="B6" s="582" t="s">
        <v>58</v>
      </c>
      <c r="C6" s="583"/>
      <c r="D6" s="583"/>
      <c r="E6" s="583"/>
      <c r="F6" s="583"/>
      <c r="G6" s="584"/>
      <c r="H6" s="587" t="s">
        <v>59</v>
      </c>
      <c r="I6" s="589" t="s">
        <v>60</v>
      </c>
      <c r="J6" s="587" t="s">
        <v>61</v>
      </c>
      <c r="K6" s="592"/>
      <c r="L6" s="592"/>
      <c r="M6" s="592"/>
      <c r="N6" s="592"/>
      <c r="O6" s="592"/>
      <c r="P6" s="592"/>
      <c r="Q6" s="592"/>
      <c r="R6" s="592"/>
      <c r="S6" s="592"/>
      <c r="T6" s="593"/>
      <c r="U6" s="582" t="s">
        <v>63</v>
      </c>
      <c r="V6" s="583"/>
      <c r="W6" s="590"/>
      <c r="X6" s="451"/>
    </row>
    <row r="7" spans="1:24" ht="42.75">
      <c r="A7" s="581"/>
      <c r="B7" s="585"/>
      <c r="C7" s="498"/>
      <c r="D7" s="498"/>
      <c r="E7" s="498"/>
      <c r="F7" s="498"/>
      <c r="G7" s="586"/>
      <c r="H7" s="588"/>
      <c r="I7" s="588"/>
      <c r="J7" s="588"/>
      <c r="K7" s="22" t="s">
        <v>18</v>
      </c>
      <c r="L7" s="22" t="s">
        <v>19</v>
      </c>
      <c r="M7" s="22" t="s">
        <v>20</v>
      </c>
      <c r="N7" s="22" t="s">
        <v>21</v>
      </c>
      <c r="O7" s="22" t="s">
        <v>22</v>
      </c>
      <c r="P7" s="22" t="s">
        <v>23</v>
      </c>
      <c r="Q7" s="22" t="s">
        <v>24</v>
      </c>
      <c r="R7" s="22" t="s">
        <v>25</v>
      </c>
      <c r="S7" s="22" t="s">
        <v>26</v>
      </c>
      <c r="T7" s="22" t="s">
        <v>27</v>
      </c>
      <c r="U7" s="585"/>
      <c r="V7" s="498"/>
      <c r="W7" s="523"/>
      <c r="X7" s="451"/>
    </row>
    <row r="8" spans="1:24" s="14" customFormat="1" ht="45">
      <c r="A8" s="23" t="s">
        <v>28</v>
      </c>
      <c r="B8" s="551" t="s">
        <v>1301</v>
      </c>
      <c r="C8" s="551"/>
      <c r="D8" s="551"/>
      <c r="E8" s="551"/>
      <c r="F8" s="551"/>
      <c r="G8" s="551"/>
      <c r="H8" s="15">
        <v>15</v>
      </c>
      <c r="I8" s="9" t="s">
        <v>1242</v>
      </c>
      <c r="J8" s="9"/>
      <c r="K8" s="16" t="s">
        <v>246</v>
      </c>
      <c r="L8" s="16" t="s">
        <v>246</v>
      </c>
      <c r="M8" s="16" t="s">
        <v>246</v>
      </c>
      <c r="N8" s="16"/>
      <c r="O8" s="16"/>
      <c r="P8" s="16"/>
      <c r="Q8" s="16"/>
      <c r="R8" s="16"/>
      <c r="S8" s="16"/>
      <c r="T8" s="16"/>
      <c r="U8" s="594"/>
      <c r="V8" s="595"/>
      <c r="W8" s="596"/>
      <c r="X8" s="451"/>
    </row>
    <row r="9" spans="1:24" s="14" customFormat="1" ht="45">
      <c r="A9" s="23" t="s">
        <v>66</v>
      </c>
      <c r="B9" s="551" t="s">
        <v>1300</v>
      </c>
      <c r="C9" s="551"/>
      <c r="D9" s="551"/>
      <c r="E9" s="551"/>
      <c r="F9" s="551"/>
      <c r="G9" s="551"/>
      <c r="H9" s="15">
        <v>15</v>
      </c>
      <c r="I9" s="9" t="s">
        <v>1242</v>
      </c>
      <c r="J9" s="9"/>
      <c r="K9" s="16" t="s">
        <v>246</v>
      </c>
      <c r="L9" s="16" t="s">
        <v>246</v>
      </c>
      <c r="M9" s="16" t="s">
        <v>246</v>
      </c>
      <c r="N9" s="16"/>
      <c r="O9" s="16"/>
      <c r="P9" s="16"/>
      <c r="Q9" s="16"/>
      <c r="R9" s="16"/>
      <c r="S9" s="16"/>
      <c r="T9" s="16"/>
      <c r="U9" s="597"/>
      <c r="V9" s="597"/>
      <c r="W9" s="597"/>
      <c r="X9" s="451"/>
    </row>
    <row r="10" spans="1:24" s="14" customFormat="1" ht="67.5">
      <c r="A10" s="23" t="s">
        <v>68</v>
      </c>
      <c r="B10" s="551" t="s">
        <v>1299</v>
      </c>
      <c r="C10" s="551"/>
      <c r="D10" s="551"/>
      <c r="E10" s="551"/>
      <c r="F10" s="551"/>
      <c r="G10" s="551"/>
      <c r="H10" s="15">
        <v>30</v>
      </c>
      <c r="I10" s="9" t="s">
        <v>1288</v>
      </c>
      <c r="J10" s="9"/>
      <c r="K10" s="16"/>
      <c r="L10" s="16"/>
      <c r="M10" s="16" t="s">
        <v>246</v>
      </c>
      <c r="N10" s="16" t="s">
        <v>246</v>
      </c>
      <c r="O10" s="16" t="s">
        <v>246</v>
      </c>
      <c r="P10" s="16"/>
      <c r="Q10" s="16"/>
      <c r="R10" s="16"/>
      <c r="S10" s="16"/>
      <c r="T10" s="16"/>
      <c r="U10" s="518"/>
      <c r="V10" s="518"/>
      <c r="W10" s="518"/>
      <c r="X10" s="451"/>
    </row>
    <row r="11" spans="1:24" s="14" customFormat="1" ht="45.75" thickBot="1">
      <c r="A11" s="23" t="s">
        <v>70</v>
      </c>
      <c r="B11" s="551" t="s">
        <v>1298</v>
      </c>
      <c r="C11" s="551"/>
      <c r="D11" s="551"/>
      <c r="E11" s="551"/>
      <c r="F11" s="551"/>
      <c r="G11" s="551"/>
      <c r="H11" s="15">
        <v>40</v>
      </c>
      <c r="I11" s="9" t="s">
        <v>1297</v>
      </c>
      <c r="J11" s="9"/>
      <c r="K11" s="16"/>
      <c r="L11" s="16"/>
      <c r="M11" s="16" t="s">
        <v>246</v>
      </c>
      <c r="N11" s="16" t="s">
        <v>246</v>
      </c>
      <c r="O11" s="16" t="s">
        <v>246</v>
      </c>
      <c r="P11" s="16" t="s">
        <v>246</v>
      </c>
      <c r="Q11" s="16" t="s">
        <v>246</v>
      </c>
      <c r="R11" s="16" t="s">
        <v>246</v>
      </c>
      <c r="S11" s="16" t="s">
        <v>246</v>
      </c>
      <c r="T11" s="16" t="s">
        <v>246</v>
      </c>
      <c r="U11" s="518"/>
      <c r="V11" s="518"/>
      <c r="W11" s="518"/>
      <c r="X11" s="451"/>
    </row>
    <row r="12" spans="1:24" ht="30" thickTop="1" thickBot="1">
      <c r="A12" s="519" t="s">
        <v>72</v>
      </c>
      <c r="B12" s="520"/>
      <c r="C12" s="520"/>
      <c r="D12" s="521"/>
      <c r="E12" s="527" t="s">
        <v>73</v>
      </c>
      <c r="F12" s="528"/>
      <c r="G12" s="528"/>
      <c r="H12" s="528"/>
      <c r="I12" s="528"/>
      <c r="J12" s="527" t="s">
        <v>74</v>
      </c>
      <c r="K12" s="529"/>
      <c r="L12" s="543" t="s">
        <v>75</v>
      </c>
      <c r="M12" s="544"/>
      <c r="N12" s="544"/>
      <c r="O12" s="544"/>
      <c r="P12" s="544"/>
      <c r="Q12" s="544"/>
      <c r="R12" s="544"/>
      <c r="S12" s="544"/>
      <c r="T12" s="545"/>
      <c r="U12" s="543" t="s">
        <v>76</v>
      </c>
      <c r="V12" s="544"/>
      <c r="W12" s="545"/>
      <c r="X12" s="451"/>
    </row>
    <row r="13" spans="1:24" s="20" customFormat="1" ht="29.25" thickTop="1">
      <c r="A13" s="522"/>
      <c r="B13" s="498"/>
      <c r="C13" s="498"/>
      <c r="D13" s="523"/>
      <c r="E13" s="533" t="s">
        <v>1295</v>
      </c>
      <c r="F13" s="534"/>
      <c r="G13" s="533" t="s">
        <v>259</v>
      </c>
      <c r="H13" s="539"/>
      <c r="I13" s="534"/>
      <c r="J13" s="541" t="s">
        <v>47</v>
      </c>
      <c r="K13" s="534"/>
      <c r="L13" s="546"/>
      <c r="M13" s="481"/>
      <c r="N13" s="481"/>
      <c r="O13" s="481"/>
      <c r="P13" s="481"/>
      <c r="Q13" s="481"/>
      <c r="R13" s="481"/>
      <c r="S13" s="481"/>
      <c r="T13" s="547"/>
      <c r="U13" s="546"/>
      <c r="V13" s="481"/>
      <c r="W13" s="547"/>
    </row>
    <row r="14" spans="1:24" s="20" customFormat="1" ht="29.25" thickBot="1">
      <c r="A14" s="522"/>
      <c r="B14" s="498"/>
      <c r="C14" s="498"/>
      <c r="D14" s="523"/>
      <c r="E14" s="535"/>
      <c r="F14" s="536"/>
      <c r="G14" s="535"/>
      <c r="H14" s="507"/>
      <c r="I14" s="536"/>
      <c r="J14" s="542"/>
      <c r="K14" s="538"/>
      <c r="L14" s="546"/>
      <c r="M14" s="481"/>
      <c r="N14" s="481"/>
      <c r="O14" s="481"/>
      <c r="P14" s="481"/>
      <c r="Q14" s="481"/>
      <c r="R14" s="481"/>
      <c r="S14" s="481"/>
      <c r="T14" s="547"/>
      <c r="U14" s="546"/>
      <c r="V14" s="481"/>
      <c r="W14" s="547"/>
    </row>
    <row r="15" spans="1:24" s="20" customFormat="1" ht="29.25" thickTop="1">
      <c r="A15" s="522"/>
      <c r="B15" s="498"/>
      <c r="C15" s="498"/>
      <c r="D15" s="523"/>
      <c r="E15" s="535"/>
      <c r="F15" s="536"/>
      <c r="G15" s="535"/>
      <c r="H15" s="507"/>
      <c r="I15" s="536"/>
      <c r="J15" s="541" t="s">
        <v>48</v>
      </c>
      <c r="K15" s="534"/>
      <c r="L15" s="546"/>
      <c r="M15" s="481"/>
      <c r="N15" s="481"/>
      <c r="O15" s="481"/>
      <c r="P15" s="481"/>
      <c r="Q15" s="481"/>
      <c r="R15" s="481"/>
      <c r="S15" s="481"/>
      <c r="T15" s="547"/>
      <c r="U15" s="546"/>
      <c r="V15" s="481"/>
      <c r="W15" s="547"/>
    </row>
    <row r="16" spans="1:24" s="20" customFormat="1" ht="29.25" thickBot="1">
      <c r="A16" s="524"/>
      <c r="B16" s="525"/>
      <c r="C16" s="525"/>
      <c r="D16" s="526"/>
      <c r="E16" s="537"/>
      <c r="F16" s="538"/>
      <c r="G16" s="537"/>
      <c r="H16" s="540"/>
      <c r="I16" s="538"/>
      <c r="J16" s="542"/>
      <c r="K16" s="538"/>
      <c r="L16" s="548"/>
      <c r="M16" s="549"/>
      <c r="N16" s="549"/>
      <c r="O16" s="549"/>
      <c r="P16" s="549"/>
      <c r="Q16" s="549"/>
      <c r="R16" s="549"/>
      <c r="S16" s="549"/>
      <c r="T16" s="550"/>
      <c r="U16" s="548"/>
      <c r="V16" s="549"/>
      <c r="W16" s="550"/>
    </row>
    <row r="17" ht="18.75" thickTop="1"/>
  </sheetData>
  <mergeCells count="37">
    <mergeCell ref="A1:W1"/>
    <mergeCell ref="X1:X12"/>
    <mergeCell ref="A2:W2"/>
    <mergeCell ref="A3:E3"/>
    <mergeCell ref="F3:G3"/>
    <mergeCell ref="H3:W4"/>
    <mergeCell ref="A4:E4"/>
    <mergeCell ref="F4:G4"/>
    <mergeCell ref="A5:E5"/>
    <mergeCell ref="E12:I12"/>
    <mergeCell ref="J12:K12"/>
    <mergeCell ref="F5:G5"/>
    <mergeCell ref="H5:W5"/>
    <mergeCell ref="A6:A7"/>
    <mergeCell ref="B6:G7"/>
    <mergeCell ref="H6:H7"/>
    <mergeCell ref="B10:G10"/>
    <mergeCell ref="U10:W10"/>
    <mergeCell ref="B11:G11"/>
    <mergeCell ref="U11:W11"/>
    <mergeCell ref="K13:K14"/>
    <mergeCell ref="L12:T16"/>
    <mergeCell ref="U12:W16"/>
    <mergeCell ref="J15:J16"/>
    <mergeCell ref="K15:K16"/>
    <mergeCell ref="A12:D16"/>
    <mergeCell ref="E13:F16"/>
    <mergeCell ref="G13:I16"/>
    <mergeCell ref="J13:J14"/>
    <mergeCell ref="U6:W7"/>
    <mergeCell ref="B8:G8"/>
    <mergeCell ref="U8:W8"/>
    <mergeCell ref="B9:G9"/>
    <mergeCell ref="U9:W9"/>
    <mergeCell ref="I6:I7"/>
    <mergeCell ref="J6:J7"/>
    <mergeCell ref="K6:T6"/>
  </mergeCells>
  <printOptions horizontalCentered="1" verticalCentered="1"/>
  <pageMargins left="0" right="0" top="0" bottom="0" header="0" footer="0"/>
  <pageSetup scale="45"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7781-A4A1-4F29-A805-A70A88B5A462}">
  <dimension ref="A1:Z20"/>
  <sheetViews>
    <sheetView rightToLeft="1" view="pageBreakPreview" zoomScale="90" zoomScaleNormal="90" zoomScaleSheetLayoutView="90" workbookViewId="0">
      <selection activeCell="B9" sqref="B9:G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3.85546875" style="21" customWidth="1"/>
    <col min="8" max="8" width="18.7109375" style="21" customWidth="1"/>
    <col min="9" max="9" width="27"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1280</v>
      </c>
      <c r="B3" s="657"/>
      <c r="C3" s="657"/>
      <c r="D3" s="657"/>
      <c r="E3" s="658"/>
      <c r="F3" s="659" t="s">
        <v>178</v>
      </c>
      <c r="G3" s="660"/>
      <c r="H3" s="661" t="s">
        <v>1281</v>
      </c>
      <c r="I3" s="662"/>
      <c r="J3" s="662"/>
      <c r="K3" s="662"/>
      <c r="L3" s="662"/>
      <c r="M3" s="662"/>
      <c r="N3" s="662"/>
      <c r="O3" s="662"/>
      <c r="P3" s="662"/>
      <c r="Q3" s="662"/>
      <c r="R3" s="662"/>
      <c r="S3" s="662"/>
      <c r="T3" s="662"/>
      <c r="U3" s="662"/>
      <c r="V3" s="662"/>
      <c r="W3" s="662"/>
      <c r="X3" s="662"/>
      <c r="Y3" s="663"/>
      <c r="Z3" s="451"/>
    </row>
    <row r="4" spans="1:26" s="3" customFormat="1" ht="28.5">
      <c r="A4" s="667" t="s">
        <v>1224</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1282</v>
      </c>
      <c r="B5" s="673"/>
      <c r="C5" s="673"/>
      <c r="D5" s="673"/>
      <c r="E5" s="674"/>
      <c r="F5" s="675" t="s">
        <v>1226</v>
      </c>
      <c r="G5" s="675"/>
      <c r="H5" s="676" t="s">
        <v>1227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1283</v>
      </c>
      <c r="C8" s="551"/>
      <c r="D8" s="551"/>
      <c r="E8" s="551"/>
      <c r="F8" s="551"/>
      <c r="G8" s="551"/>
      <c r="H8" s="15">
        <v>10</v>
      </c>
      <c r="I8" s="9" t="s">
        <v>1284</v>
      </c>
      <c r="J8" s="9"/>
      <c r="K8" s="16"/>
      <c r="L8" s="16"/>
      <c r="M8" s="16" t="s">
        <v>246</v>
      </c>
      <c r="N8" s="16" t="s">
        <v>246</v>
      </c>
      <c r="O8" s="16" t="s">
        <v>246</v>
      </c>
      <c r="P8" s="16" t="s">
        <v>246</v>
      </c>
      <c r="Q8" s="16" t="s">
        <v>246</v>
      </c>
      <c r="R8" s="16" t="s">
        <v>246</v>
      </c>
      <c r="S8" s="16" t="s">
        <v>246</v>
      </c>
      <c r="T8" s="16" t="s">
        <v>246</v>
      </c>
      <c r="U8" s="16" t="s">
        <v>246</v>
      </c>
      <c r="V8" s="16" t="s">
        <v>246</v>
      </c>
      <c r="W8" s="594"/>
      <c r="X8" s="595"/>
      <c r="Y8" s="596"/>
      <c r="Z8" s="451"/>
    </row>
    <row r="9" spans="1:26" s="14" customFormat="1" ht="67.5">
      <c r="A9" s="23" t="s">
        <v>66</v>
      </c>
      <c r="B9" s="551" t="s">
        <v>1285</v>
      </c>
      <c r="C9" s="551"/>
      <c r="D9" s="551"/>
      <c r="E9" s="551"/>
      <c r="F9" s="551"/>
      <c r="G9" s="551"/>
      <c r="H9" s="15">
        <v>20</v>
      </c>
      <c r="I9" s="9" t="s">
        <v>1286</v>
      </c>
      <c r="J9" s="9"/>
      <c r="K9" s="16"/>
      <c r="L9" s="16"/>
      <c r="M9" s="16" t="s">
        <v>246</v>
      </c>
      <c r="N9" s="16" t="s">
        <v>246</v>
      </c>
      <c r="O9" s="16" t="s">
        <v>246</v>
      </c>
      <c r="P9" s="16" t="s">
        <v>246</v>
      </c>
      <c r="Q9" s="16" t="s">
        <v>246</v>
      </c>
      <c r="R9" s="16" t="s">
        <v>246</v>
      </c>
      <c r="S9" s="16" t="s">
        <v>246</v>
      </c>
      <c r="T9" s="16" t="s">
        <v>246</v>
      </c>
      <c r="U9" s="16" t="s">
        <v>246</v>
      </c>
      <c r="V9" s="16" t="s">
        <v>246</v>
      </c>
      <c r="W9" s="597"/>
      <c r="X9" s="597"/>
      <c r="Y9" s="597"/>
      <c r="Z9" s="451"/>
    </row>
    <row r="10" spans="1:26" s="14" customFormat="1" ht="67.5">
      <c r="A10" s="23" t="s">
        <v>68</v>
      </c>
      <c r="B10" s="551" t="s">
        <v>1287</v>
      </c>
      <c r="C10" s="551"/>
      <c r="D10" s="551"/>
      <c r="E10" s="551"/>
      <c r="F10" s="551"/>
      <c r="G10" s="551"/>
      <c r="H10" s="15">
        <v>20</v>
      </c>
      <c r="I10" s="9" t="s">
        <v>1288</v>
      </c>
      <c r="J10" s="9"/>
      <c r="K10" s="16"/>
      <c r="L10" s="16"/>
      <c r="M10" s="16"/>
      <c r="N10" s="16"/>
      <c r="O10" s="16"/>
      <c r="P10" s="16" t="s">
        <v>246</v>
      </c>
      <c r="Q10" s="16" t="s">
        <v>246</v>
      </c>
      <c r="R10" s="16" t="s">
        <v>246</v>
      </c>
      <c r="S10" s="16" t="s">
        <v>246</v>
      </c>
      <c r="T10" s="16" t="s">
        <v>246</v>
      </c>
      <c r="U10" s="16" t="s">
        <v>246</v>
      </c>
      <c r="V10" s="16" t="s">
        <v>246</v>
      </c>
      <c r="W10" s="518"/>
      <c r="X10" s="518"/>
      <c r="Y10" s="518"/>
      <c r="Z10" s="451"/>
    </row>
    <row r="11" spans="1:26" s="14" customFormat="1" ht="45">
      <c r="A11" s="23" t="s">
        <v>70</v>
      </c>
      <c r="B11" s="551" t="s">
        <v>1289</v>
      </c>
      <c r="C11" s="551"/>
      <c r="D11" s="551"/>
      <c r="E11" s="551"/>
      <c r="F11" s="551"/>
      <c r="G11" s="551"/>
      <c r="H11" s="15">
        <v>15</v>
      </c>
      <c r="I11" s="9" t="s">
        <v>1290</v>
      </c>
      <c r="J11" s="9"/>
      <c r="K11" s="16"/>
      <c r="L11" s="16"/>
      <c r="M11" s="16"/>
      <c r="N11" s="16"/>
      <c r="O11" s="16"/>
      <c r="P11" s="16" t="s">
        <v>246</v>
      </c>
      <c r="Q11" s="16" t="s">
        <v>246</v>
      </c>
      <c r="R11" s="16" t="s">
        <v>246</v>
      </c>
      <c r="S11" s="16" t="s">
        <v>246</v>
      </c>
      <c r="T11" s="16" t="s">
        <v>246</v>
      </c>
      <c r="U11" s="16" t="s">
        <v>246</v>
      </c>
      <c r="V11" s="16" t="s">
        <v>246</v>
      </c>
      <c r="W11" s="518"/>
      <c r="X11" s="518"/>
      <c r="Y11" s="518"/>
      <c r="Z11" s="451"/>
    </row>
    <row r="12" spans="1:26" s="14" customFormat="1" ht="45">
      <c r="A12" s="23" t="s">
        <v>153</v>
      </c>
      <c r="B12" s="643" t="s">
        <v>1291</v>
      </c>
      <c r="C12" s="551"/>
      <c r="D12" s="551"/>
      <c r="E12" s="551"/>
      <c r="F12" s="551"/>
      <c r="G12" s="551"/>
      <c r="H12" s="15">
        <v>15</v>
      </c>
      <c r="I12" s="9" t="s">
        <v>1290</v>
      </c>
      <c r="J12" s="9"/>
      <c r="K12" s="16"/>
      <c r="L12" s="16"/>
      <c r="M12" s="16"/>
      <c r="N12" s="16"/>
      <c r="O12" s="16"/>
      <c r="P12" s="16" t="s">
        <v>246</v>
      </c>
      <c r="Q12" s="16" t="s">
        <v>246</v>
      </c>
      <c r="R12" s="16" t="s">
        <v>246</v>
      </c>
      <c r="S12" s="16" t="s">
        <v>246</v>
      </c>
      <c r="T12" s="16" t="s">
        <v>246</v>
      </c>
      <c r="U12" s="16" t="s">
        <v>246</v>
      </c>
      <c r="V12" s="16" t="s">
        <v>246</v>
      </c>
      <c r="W12" s="597"/>
      <c r="X12" s="597"/>
      <c r="Y12" s="597"/>
      <c r="Z12" s="451"/>
    </row>
    <row r="13" spans="1:26" s="14" customFormat="1" ht="45">
      <c r="A13" s="23" t="s">
        <v>155</v>
      </c>
      <c r="B13" s="530" t="s">
        <v>1292</v>
      </c>
      <c r="C13" s="531"/>
      <c r="D13" s="531"/>
      <c r="E13" s="531"/>
      <c r="F13" s="531"/>
      <c r="G13" s="532"/>
      <c r="H13" s="15">
        <v>5</v>
      </c>
      <c r="I13" s="9" t="s">
        <v>1240</v>
      </c>
      <c r="J13" s="9"/>
      <c r="K13" s="16"/>
      <c r="L13" s="16"/>
      <c r="M13" s="16"/>
      <c r="N13" s="16"/>
      <c r="O13" s="16"/>
      <c r="P13" s="16" t="s">
        <v>246</v>
      </c>
      <c r="Q13" s="16" t="s">
        <v>246</v>
      </c>
      <c r="R13" s="16" t="s">
        <v>246</v>
      </c>
      <c r="S13" s="16" t="s">
        <v>246</v>
      </c>
      <c r="T13" s="16" t="s">
        <v>246</v>
      </c>
      <c r="U13" s="16" t="s">
        <v>246</v>
      </c>
      <c r="V13" s="16" t="s">
        <v>246</v>
      </c>
      <c r="W13" s="518"/>
      <c r="X13" s="518"/>
      <c r="Y13" s="518"/>
      <c r="Z13" s="451"/>
    </row>
    <row r="14" spans="1:26" s="14" customFormat="1" ht="54" customHeight="1" thickBot="1">
      <c r="A14" s="23" t="s">
        <v>156</v>
      </c>
      <c r="B14" s="643" t="s">
        <v>1293</v>
      </c>
      <c r="C14" s="643"/>
      <c r="D14" s="643"/>
      <c r="E14" s="643"/>
      <c r="F14" s="643"/>
      <c r="G14" s="643"/>
      <c r="H14" s="15">
        <v>15</v>
      </c>
      <c r="I14" s="9" t="s">
        <v>1284</v>
      </c>
      <c r="J14" s="9"/>
      <c r="K14" s="232"/>
      <c r="L14" s="232"/>
      <c r="M14" s="16"/>
      <c r="N14" s="16"/>
      <c r="O14" s="16"/>
      <c r="P14" s="16" t="s">
        <v>246</v>
      </c>
      <c r="Q14" s="16" t="s">
        <v>246</v>
      </c>
      <c r="R14" s="16" t="s">
        <v>246</v>
      </c>
      <c r="S14" s="16" t="s">
        <v>246</v>
      </c>
      <c r="T14" s="16" t="s">
        <v>246</v>
      </c>
      <c r="U14" s="16" t="s">
        <v>246</v>
      </c>
      <c r="V14" s="16" t="s">
        <v>246</v>
      </c>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t="s">
        <v>1294</v>
      </c>
      <c r="F16" s="534"/>
      <c r="G16" s="533" t="s">
        <v>1295</v>
      </c>
      <c r="H16" s="539"/>
      <c r="I16" s="541" t="s">
        <v>1296</v>
      </c>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699"/>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699"/>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42"/>
      <c r="J19" s="542"/>
      <c r="K19" s="540"/>
      <c r="L19" s="540"/>
      <c r="M19" s="538"/>
      <c r="N19" s="548"/>
      <c r="O19" s="549"/>
      <c r="P19" s="549"/>
      <c r="Q19" s="549"/>
      <c r="R19" s="549"/>
      <c r="S19" s="549"/>
      <c r="T19" s="549"/>
      <c r="U19" s="549"/>
      <c r="V19" s="550"/>
      <c r="W19" s="548"/>
      <c r="X19" s="549"/>
      <c r="Y19" s="550"/>
    </row>
    <row r="20" spans="1:25" ht="18.75" thickTop="1"/>
  </sheetData>
  <mergeCells count="44">
    <mergeCell ref="B13:G13"/>
    <mergeCell ref="W13:Y13"/>
    <mergeCell ref="W14:Y14"/>
    <mergeCell ref="A15:D19"/>
    <mergeCell ref="E15:I15"/>
    <mergeCell ref="J15:M15"/>
    <mergeCell ref="N15:V19"/>
    <mergeCell ref="W15:Y19"/>
    <mergeCell ref="E16:F19"/>
    <mergeCell ref="G16:H19"/>
    <mergeCell ref="I16:I19"/>
    <mergeCell ref="J16:J17"/>
    <mergeCell ref="K16:M17"/>
    <mergeCell ref="J18:J19"/>
    <mergeCell ref="K18:M19"/>
    <mergeCell ref="B14:G14"/>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B7F6-3C9E-4791-90D4-884F8A0E3BE7}">
  <dimension ref="A1:Z16"/>
  <sheetViews>
    <sheetView rightToLeft="1" view="pageBreakPreview" zoomScale="90" zoomScaleNormal="90" zoomScaleSheetLayoutView="90" workbookViewId="0">
      <selection activeCell="J14" sqref="J14:J1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1272</v>
      </c>
      <c r="B3" s="657"/>
      <c r="C3" s="657"/>
      <c r="D3" s="657"/>
      <c r="E3" s="658"/>
      <c r="F3" s="659" t="s">
        <v>178</v>
      </c>
      <c r="G3" s="660"/>
      <c r="H3" s="661" t="s">
        <v>1273</v>
      </c>
      <c r="I3" s="662"/>
      <c r="J3" s="662"/>
      <c r="K3" s="662"/>
      <c r="L3" s="662"/>
      <c r="M3" s="662"/>
      <c r="N3" s="662"/>
      <c r="O3" s="662"/>
      <c r="P3" s="662"/>
      <c r="Q3" s="662"/>
      <c r="R3" s="662"/>
      <c r="S3" s="662"/>
      <c r="T3" s="662"/>
      <c r="U3" s="662"/>
      <c r="V3" s="662"/>
      <c r="W3" s="662"/>
      <c r="X3" s="662"/>
      <c r="Y3" s="663"/>
      <c r="Z3" s="451"/>
    </row>
    <row r="4" spans="1:26" s="3" customFormat="1" ht="28.5">
      <c r="A4" s="667" t="s">
        <v>1224</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1274</v>
      </c>
      <c r="B5" s="673"/>
      <c r="C5" s="673"/>
      <c r="D5" s="673"/>
      <c r="E5" s="674"/>
      <c r="F5" s="675" t="s">
        <v>1275</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1276</v>
      </c>
      <c r="C8" s="551"/>
      <c r="D8" s="551"/>
      <c r="E8" s="551"/>
      <c r="F8" s="551"/>
      <c r="G8" s="551"/>
      <c r="H8" s="15">
        <v>20</v>
      </c>
      <c r="I8" s="9" t="s">
        <v>1242</v>
      </c>
      <c r="J8" s="9"/>
      <c r="K8" s="16"/>
      <c r="L8" s="16"/>
      <c r="M8" s="16" t="s">
        <v>246</v>
      </c>
      <c r="N8" s="16" t="s">
        <v>246</v>
      </c>
      <c r="O8" s="16" t="s">
        <v>246</v>
      </c>
      <c r="P8" s="16" t="s">
        <v>246</v>
      </c>
      <c r="Q8" s="16" t="s">
        <v>246</v>
      </c>
      <c r="R8" s="16" t="s">
        <v>246</v>
      </c>
      <c r="S8" s="16" t="s">
        <v>246</v>
      </c>
      <c r="T8" s="16" t="s">
        <v>246</v>
      </c>
      <c r="U8" s="16" t="s">
        <v>246</v>
      </c>
      <c r="V8" s="16" t="s">
        <v>246</v>
      </c>
      <c r="W8" s="594"/>
      <c r="X8" s="595"/>
      <c r="Y8" s="596"/>
      <c r="Z8" s="451"/>
    </row>
    <row r="9" spans="1:26" s="14" customFormat="1" ht="45">
      <c r="A9" s="23" t="s">
        <v>66</v>
      </c>
      <c r="B9" s="551" t="s">
        <v>1277</v>
      </c>
      <c r="C9" s="551"/>
      <c r="D9" s="551"/>
      <c r="E9" s="551"/>
      <c r="F9" s="551"/>
      <c r="G9" s="551"/>
      <c r="H9" s="15">
        <v>40</v>
      </c>
      <c r="I9" s="9" t="s">
        <v>1278</v>
      </c>
      <c r="J9" s="9"/>
      <c r="K9" s="16"/>
      <c r="L9" s="16"/>
      <c r="M9" s="16"/>
      <c r="N9" s="16" t="s">
        <v>246</v>
      </c>
      <c r="O9" s="16" t="s">
        <v>246</v>
      </c>
      <c r="P9" s="16" t="s">
        <v>246</v>
      </c>
      <c r="Q9" s="16" t="s">
        <v>246</v>
      </c>
      <c r="R9" s="16" t="s">
        <v>246</v>
      </c>
      <c r="S9" s="16" t="s">
        <v>246</v>
      </c>
      <c r="T9" s="16" t="s">
        <v>246</v>
      </c>
      <c r="U9" s="16" t="s">
        <v>246</v>
      </c>
      <c r="V9" s="16" t="s">
        <v>246</v>
      </c>
      <c r="W9" s="597"/>
      <c r="X9" s="597"/>
      <c r="Y9" s="597"/>
      <c r="Z9" s="451"/>
    </row>
    <row r="10" spans="1:26" s="14" customFormat="1" ht="45.75" thickBot="1">
      <c r="A10" s="23" t="s">
        <v>68</v>
      </c>
      <c r="B10" s="551" t="s">
        <v>1279</v>
      </c>
      <c r="C10" s="551"/>
      <c r="D10" s="551"/>
      <c r="E10" s="551"/>
      <c r="F10" s="551"/>
      <c r="G10" s="551"/>
      <c r="H10" s="15">
        <v>40</v>
      </c>
      <c r="I10" s="9" t="s">
        <v>1267</v>
      </c>
      <c r="J10" s="9"/>
      <c r="K10" s="16"/>
      <c r="L10" s="16"/>
      <c r="M10" s="16"/>
      <c r="N10" s="16" t="s">
        <v>246</v>
      </c>
      <c r="O10" s="16" t="s">
        <v>246</v>
      </c>
      <c r="P10" s="16" t="s">
        <v>246</v>
      </c>
      <c r="Q10" s="16" t="s">
        <v>246</v>
      </c>
      <c r="R10" s="16" t="s">
        <v>246</v>
      </c>
      <c r="S10" s="16" t="s">
        <v>246</v>
      </c>
      <c r="T10" s="16" t="s">
        <v>246</v>
      </c>
      <c r="U10" s="16" t="s">
        <v>246</v>
      </c>
      <c r="V10" s="16" t="s">
        <v>246</v>
      </c>
      <c r="W10" s="518"/>
      <c r="X10" s="518"/>
      <c r="Y10" s="518"/>
      <c r="Z10" s="451"/>
    </row>
    <row r="11" spans="1:26" ht="30" thickTop="1" thickBot="1">
      <c r="A11" s="519" t="s">
        <v>72</v>
      </c>
      <c r="B11" s="520"/>
      <c r="C11" s="520"/>
      <c r="D11" s="521"/>
      <c r="E11" s="527" t="s">
        <v>73</v>
      </c>
      <c r="F11" s="528"/>
      <c r="G11" s="528"/>
      <c r="H11" s="528"/>
      <c r="I11" s="528"/>
      <c r="J11" s="527" t="s">
        <v>74</v>
      </c>
      <c r="K11" s="528"/>
      <c r="L11" s="528"/>
      <c r="M11" s="529"/>
      <c r="N11" s="543" t="s">
        <v>75</v>
      </c>
      <c r="O11" s="544"/>
      <c r="P11" s="544"/>
      <c r="Q11" s="544"/>
      <c r="R11" s="544"/>
      <c r="S11" s="544"/>
      <c r="T11" s="544"/>
      <c r="U11" s="544"/>
      <c r="V11" s="545"/>
      <c r="W11" s="543" t="s">
        <v>76</v>
      </c>
      <c r="X11" s="544"/>
      <c r="Y11" s="545"/>
      <c r="Z11" s="451"/>
    </row>
    <row r="12" spans="1:26" s="20" customFormat="1" ht="29.25" thickTop="1">
      <c r="A12" s="522"/>
      <c r="B12" s="498"/>
      <c r="C12" s="498"/>
      <c r="D12" s="523"/>
      <c r="E12" s="533" t="s">
        <v>1260</v>
      </c>
      <c r="F12" s="534"/>
      <c r="G12" s="533"/>
      <c r="H12" s="539"/>
      <c r="I12" s="534"/>
      <c r="J12" s="541" t="s">
        <v>47</v>
      </c>
      <c r="K12" s="539"/>
      <c r="L12" s="539"/>
      <c r="M12" s="534"/>
      <c r="N12" s="546"/>
      <c r="O12" s="481"/>
      <c r="P12" s="481"/>
      <c r="Q12" s="481"/>
      <c r="R12" s="481"/>
      <c r="S12" s="481"/>
      <c r="T12" s="481"/>
      <c r="U12" s="481"/>
      <c r="V12" s="547"/>
      <c r="W12" s="546"/>
      <c r="X12" s="481"/>
      <c r="Y12" s="547"/>
    </row>
    <row r="13" spans="1:26" s="20" customFormat="1" ht="29.25" thickBot="1">
      <c r="A13" s="522"/>
      <c r="B13" s="498"/>
      <c r="C13" s="498"/>
      <c r="D13" s="523"/>
      <c r="E13" s="535"/>
      <c r="F13" s="536"/>
      <c r="G13" s="535"/>
      <c r="H13" s="507"/>
      <c r="I13" s="536"/>
      <c r="J13" s="542"/>
      <c r="K13" s="540"/>
      <c r="L13" s="540"/>
      <c r="M13" s="538"/>
      <c r="N13" s="546"/>
      <c r="O13" s="481"/>
      <c r="P13" s="481"/>
      <c r="Q13" s="481"/>
      <c r="R13" s="481"/>
      <c r="S13" s="481"/>
      <c r="T13" s="481"/>
      <c r="U13" s="481"/>
      <c r="V13" s="547"/>
      <c r="W13" s="546"/>
      <c r="X13" s="481"/>
      <c r="Y13" s="547"/>
    </row>
    <row r="14" spans="1:26" s="20" customFormat="1" ht="29.25" thickTop="1">
      <c r="A14" s="522"/>
      <c r="B14" s="498"/>
      <c r="C14" s="498"/>
      <c r="D14" s="523"/>
      <c r="E14" s="535"/>
      <c r="F14" s="536"/>
      <c r="G14" s="535"/>
      <c r="H14" s="507"/>
      <c r="I14" s="536"/>
      <c r="J14" s="541" t="s">
        <v>48</v>
      </c>
      <c r="K14" s="539"/>
      <c r="L14" s="539"/>
      <c r="M14" s="534"/>
      <c r="N14" s="546"/>
      <c r="O14" s="481"/>
      <c r="P14" s="481"/>
      <c r="Q14" s="481"/>
      <c r="R14" s="481"/>
      <c r="S14" s="481"/>
      <c r="T14" s="481"/>
      <c r="U14" s="481"/>
      <c r="V14" s="547"/>
      <c r="W14" s="546"/>
      <c r="X14" s="481"/>
      <c r="Y14" s="547"/>
    </row>
    <row r="15" spans="1:26" s="20" customFormat="1" ht="29.25" thickBot="1">
      <c r="A15" s="524"/>
      <c r="B15" s="525"/>
      <c r="C15" s="525"/>
      <c r="D15" s="526"/>
      <c r="E15" s="537"/>
      <c r="F15" s="538"/>
      <c r="G15" s="537"/>
      <c r="H15" s="540"/>
      <c r="I15" s="538"/>
      <c r="J15" s="542"/>
      <c r="K15" s="540"/>
      <c r="L15" s="540"/>
      <c r="M15" s="538"/>
      <c r="N15" s="548"/>
      <c r="O15" s="549"/>
      <c r="P15" s="549"/>
      <c r="Q15" s="549"/>
      <c r="R15" s="549"/>
      <c r="S15" s="549"/>
      <c r="T15" s="549"/>
      <c r="U15" s="549"/>
      <c r="V15" s="550"/>
      <c r="W15" s="548"/>
      <c r="X15" s="549"/>
      <c r="Y15" s="550"/>
    </row>
    <row r="16" spans="1:26" ht="18.75" thickTop="1"/>
  </sheetData>
  <mergeCells count="35">
    <mergeCell ref="B10:G10"/>
    <mergeCell ref="W10:Y10"/>
    <mergeCell ref="W11:Y15"/>
    <mergeCell ref="E12:F15"/>
    <mergeCell ref="G12:I15"/>
    <mergeCell ref="J12:J13"/>
    <mergeCell ref="K12:M13"/>
    <mergeCell ref="J14:J15"/>
    <mergeCell ref="K14:M15"/>
    <mergeCell ref="A11:D15"/>
    <mergeCell ref="E11:I11"/>
    <mergeCell ref="J11:M11"/>
    <mergeCell ref="N11:V15"/>
    <mergeCell ref="K6:V6"/>
    <mergeCell ref="W6:Y7"/>
    <mergeCell ref="B8:G8"/>
    <mergeCell ref="W8:Y8"/>
    <mergeCell ref="B9:G9"/>
    <mergeCell ref="W9:Y9"/>
    <mergeCell ref="A1:Y1"/>
    <mergeCell ref="Z1:Z11"/>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1098-7F91-4A5A-A487-6CD400979FE8}">
  <dimension ref="A1:Z17"/>
  <sheetViews>
    <sheetView rightToLeft="1" view="pageBreakPreview" topLeftCell="G1" zoomScale="90" zoomScaleNormal="90" zoomScaleSheetLayoutView="90" workbookViewId="0">
      <selection activeCell="I9" sqref="I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1262</v>
      </c>
      <c r="B3" s="657"/>
      <c r="C3" s="657"/>
      <c r="D3" s="657"/>
      <c r="E3" s="658"/>
      <c r="F3" s="659" t="s">
        <v>178</v>
      </c>
      <c r="G3" s="660"/>
      <c r="H3" s="661" t="s">
        <v>1263</v>
      </c>
      <c r="I3" s="662"/>
      <c r="J3" s="662"/>
      <c r="K3" s="662"/>
      <c r="L3" s="662"/>
      <c r="M3" s="662"/>
      <c r="N3" s="662"/>
      <c r="O3" s="662"/>
      <c r="P3" s="662"/>
      <c r="Q3" s="662"/>
      <c r="R3" s="662"/>
      <c r="S3" s="662"/>
      <c r="T3" s="662"/>
      <c r="U3" s="662"/>
      <c r="V3" s="662"/>
      <c r="W3" s="662"/>
      <c r="X3" s="662"/>
      <c r="Y3" s="663"/>
      <c r="Z3" s="451"/>
    </row>
    <row r="4" spans="1:26" s="3" customFormat="1" ht="28.5">
      <c r="A4" s="667" t="s">
        <v>1224</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1264</v>
      </c>
      <c r="B5" s="673"/>
      <c r="C5" s="673"/>
      <c r="D5" s="673"/>
      <c r="E5" s="674"/>
      <c r="F5" s="675" t="s">
        <v>1265</v>
      </c>
      <c r="G5" s="675"/>
      <c r="H5" s="676" t="s">
        <v>1227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1266</v>
      </c>
      <c r="C8" s="551"/>
      <c r="D8" s="551"/>
      <c r="E8" s="551"/>
      <c r="F8" s="551"/>
      <c r="G8" s="551"/>
      <c r="H8" s="15">
        <v>20</v>
      </c>
      <c r="I8" s="9" t="s">
        <v>1267</v>
      </c>
      <c r="J8" s="9"/>
      <c r="K8" s="16"/>
      <c r="L8" s="16" t="s">
        <v>246</v>
      </c>
      <c r="M8" s="16" t="s">
        <v>246</v>
      </c>
      <c r="N8" s="16" t="s">
        <v>246</v>
      </c>
      <c r="O8" s="16" t="s">
        <v>246</v>
      </c>
      <c r="P8" s="16" t="s">
        <v>246</v>
      </c>
      <c r="Q8" s="16" t="s">
        <v>246</v>
      </c>
      <c r="R8" s="16" t="s">
        <v>246</v>
      </c>
      <c r="S8" s="16" t="s">
        <v>246</v>
      </c>
      <c r="T8" s="16" t="s">
        <v>246</v>
      </c>
      <c r="U8" s="16" t="s">
        <v>246</v>
      </c>
      <c r="V8" s="16" t="s">
        <v>246</v>
      </c>
      <c r="W8" s="594"/>
      <c r="X8" s="595"/>
      <c r="Y8" s="596"/>
      <c r="Z8" s="451"/>
    </row>
    <row r="9" spans="1:26" s="14" customFormat="1" ht="45">
      <c r="A9" s="23" t="s">
        <v>66</v>
      </c>
      <c r="B9" s="551" t="s">
        <v>1268</v>
      </c>
      <c r="C9" s="551"/>
      <c r="D9" s="551"/>
      <c r="E9" s="551"/>
      <c r="F9" s="551"/>
      <c r="G9" s="551"/>
      <c r="H9" s="15">
        <v>25</v>
      </c>
      <c r="I9" s="9" t="s">
        <v>1267</v>
      </c>
      <c r="J9" s="9"/>
      <c r="K9" s="16"/>
      <c r="L9" s="16" t="s">
        <v>246</v>
      </c>
      <c r="M9" s="16" t="s">
        <v>246</v>
      </c>
      <c r="N9" s="16" t="s">
        <v>246</v>
      </c>
      <c r="O9" s="16" t="s">
        <v>246</v>
      </c>
      <c r="P9" s="16" t="s">
        <v>246</v>
      </c>
      <c r="Q9" s="16" t="s">
        <v>246</v>
      </c>
      <c r="R9" s="16" t="s">
        <v>246</v>
      </c>
      <c r="S9" s="16" t="s">
        <v>246</v>
      </c>
      <c r="T9" s="16" t="s">
        <v>246</v>
      </c>
      <c r="U9" s="16" t="s">
        <v>246</v>
      </c>
      <c r="V9" s="16" t="s">
        <v>246</v>
      </c>
      <c r="W9" s="597"/>
      <c r="X9" s="597"/>
      <c r="Y9" s="597"/>
      <c r="Z9" s="451"/>
    </row>
    <row r="10" spans="1:26" s="14" customFormat="1" ht="45">
      <c r="A10" s="23" t="s">
        <v>68</v>
      </c>
      <c r="B10" s="551" t="s">
        <v>1269</v>
      </c>
      <c r="C10" s="551"/>
      <c r="D10" s="551"/>
      <c r="E10" s="551"/>
      <c r="F10" s="551"/>
      <c r="G10" s="551"/>
      <c r="H10" s="15">
        <v>10</v>
      </c>
      <c r="I10" s="9" t="s">
        <v>1240</v>
      </c>
      <c r="J10" s="9"/>
      <c r="K10" s="16"/>
      <c r="L10" s="16" t="s">
        <v>246</v>
      </c>
      <c r="M10" s="16" t="s">
        <v>246</v>
      </c>
      <c r="N10" s="16" t="s">
        <v>246</v>
      </c>
      <c r="O10" s="16" t="s">
        <v>246</v>
      </c>
      <c r="P10" s="16" t="s">
        <v>246</v>
      </c>
      <c r="Q10" s="16" t="s">
        <v>246</v>
      </c>
      <c r="R10" s="16" t="s">
        <v>246</v>
      </c>
      <c r="S10" s="16" t="s">
        <v>246</v>
      </c>
      <c r="T10" s="16" t="s">
        <v>246</v>
      </c>
      <c r="U10" s="16" t="s">
        <v>246</v>
      </c>
      <c r="V10" s="16" t="s">
        <v>246</v>
      </c>
      <c r="W10" s="518"/>
      <c r="X10" s="518"/>
      <c r="Y10" s="518"/>
      <c r="Z10" s="451"/>
    </row>
    <row r="11" spans="1:26" s="14" customFormat="1" ht="45.75" thickBot="1">
      <c r="A11" s="23" t="s">
        <v>70</v>
      </c>
      <c r="B11" s="551" t="s">
        <v>1270</v>
      </c>
      <c r="C11" s="551"/>
      <c r="D11" s="551"/>
      <c r="E11" s="551"/>
      <c r="F11" s="551"/>
      <c r="G11" s="551"/>
      <c r="H11" s="15">
        <v>45</v>
      </c>
      <c r="I11" s="9" t="s">
        <v>1271</v>
      </c>
      <c r="J11" s="9"/>
      <c r="K11" s="16"/>
      <c r="L11" s="16"/>
      <c r="M11" s="16"/>
      <c r="N11" s="16" t="s">
        <v>246</v>
      </c>
      <c r="O11" s="16" t="s">
        <v>246</v>
      </c>
      <c r="P11" s="16" t="s">
        <v>246</v>
      </c>
      <c r="Q11" s="16" t="s">
        <v>246</v>
      </c>
      <c r="R11" s="16" t="s">
        <v>246</v>
      </c>
      <c r="S11" s="16" t="s">
        <v>246</v>
      </c>
      <c r="T11" s="16" t="s">
        <v>246</v>
      </c>
      <c r="U11" s="16" t="s">
        <v>246</v>
      </c>
      <c r="V11" s="16" t="s">
        <v>246</v>
      </c>
      <c r="W11" s="518"/>
      <c r="X11" s="518"/>
      <c r="Y11" s="518"/>
      <c r="Z11" s="451"/>
    </row>
    <row r="12" spans="1:26" ht="30" thickTop="1" thickBot="1">
      <c r="A12" s="519" t="s">
        <v>72</v>
      </c>
      <c r="B12" s="520"/>
      <c r="C12" s="520"/>
      <c r="D12" s="521"/>
      <c r="E12" s="527" t="s">
        <v>73</v>
      </c>
      <c r="F12" s="528"/>
      <c r="G12" s="528"/>
      <c r="H12" s="528"/>
      <c r="I12" s="528"/>
      <c r="J12" s="527" t="s">
        <v>74</v>
      </c>
      <c r="K12" s="528"/>
      <c r="L12" s="528"/>
      <c r="M12" s="529"/>
      <c r="N12" s="543" t="s">
        <v>75</v>
      </c>
      <c r="O12" s="544"/>
      <c r="P12" s="544"/>
      <c r="Q12" s="544"/>
      <c r="R12" s="544"/>
      <c r="S12" s="544"/>
      <c r="T12" s="544"/>
      <c r="U12" s="544"/>
      <c r="V12" s="545"/>
      <c r="W12" s="543" t="s">
        <v>76</v>
      </c>
      <c r="X12" s="544"/>
      <c r="Y12" s="545"/>
      <c r="Z12" s="451"/>
    </row>
    <row r="13" spans="1:26" s="20" customFormat="1" ht="29.25" thickTop="1">
      <c r="A13" s="522"/>
      <c r="B13" s="498"/>
      <c r="C13" s="498"/>
      <c r="D13" s="523"/>
      <c r="E13" s="533" t="s">
        <v>1260</v>
      </c>
      <c r="F13" s="534"/>
      <c r="G13" s="533" t="s">
        <v>259</v>
      </c>
      <c r="H13" s="539"/>
      <c r="I13" s="534"/>
      <c r="J13" s="541" t="s">
        <v>47</v>
      </c>
      <c r="K13" s="539"/>
      <c r="L13" s="539"/>
      <c r="M13" s="534"/>
      <c r="N13" s="546"/>
      <c r="O13" s="481"/>
      <c r="P13" s="481"/>
      <c r="Q13" s="481"/>
      <c r="R13" s="481"/>
      <c r="S13" s="481"/>
      <c r="T13" s="481"/>
      <c r="U13" s="481"/>
      <c r="V13" s="547"/>
      <c r="W13" s="546"/>
      <c r="X13" s="481"/>
      <c r="Y13" s="547"/>
    </row>
    <row r="14" spans="1:26" s="20" customFormat="1" ht="29.25" thickBot="1">
      <c r="A14" s="522"/>
      <c r="B14" s="498"/>
      <c r="C14" s="498"/>
      <c r="D14" s="523"/>
      <c r="E14" s="535"/>
      <c r="F14" s="536"/>
      <c r="G14" s="535"/>
      <c r="H14" s="507"/>
      <c r="I14" s="536"/>
      <c r="J14" s="542"/>
      <c r="K14" s="540"/>
      <c r="L14" s="540"/>
      <c r="M14" s="538"/>
      <c r="N14" s="546"/>
      <c r="O14" s="481"/>
      <c r="P14" s="481"/>
      <c r="Q14" s="481"/>
      <c r="R14" s="481"/>
      <c r="S14" s="481"/>
      <c r="T14" s="481"/>
      <c r="U14" s="481"/>
      <c r="V14" s="547"/>
      <c r="W14" s="546"/>
      <c r="X14" s="481"/>
      <c r="Y14" s="547"/>
    </row>
    <row r="15" spans="1:26" s="20" customFormat="1" ht="29.25" thickTop="1">
      <c r="A15" s="522"/>
      <c r="B15" s="498"/>
      <c r="C15" s="498"/>
      <c r="D15" s="523"/>
      <c r="E15" s="535"/>
      <c r="F15" s="536"/>
      <c r="G15" s="535"/>
      <c r="H15" s="507"/>
      <c r="I15" s="536"/>
      <c r="J15" s="541" t="s">
        <v>48</v>
      </c>
      <c r="K15" s="539"/>
      <c r="L15" s="539"/>
      <c r="M15" s="534"/>
      <c r="N15" s="546"/>
      <c r="O15" s="481"/>
      <c r="P15" s="481"/>
      <c r="Q15" s="481"/>
      <c r="R15" s="481"/>
      <c r="S15" s="481"/>
      <c r="T15" s="481"/>
      <c r="U15" s="481"/>
      <c r="V15" s="547"/>
      <c r="W15" s="546"/>
      <c r="X15" s="481"/>
      <c r="Y15" s="547"/>
    </row>
    <row r="16" spans="1:26" s="20" customFormat="1" ht="29.25" thickBot="1">
      <c r="A16" s="524"/>
      <c r="B16" s="525"/>
      <c r="C16" s="525"/>
      <c r="D16" s="526"/>
      <c r="E16" s="537"/>
      <c r="F16" s="538"/>
      <c r="G16" s="537"/>
      <c r="H16" s="540"/>
      <c r="I16" s="538"/>
      <c r="J16" s="542"/>
      <c r="K16" s="540"/>
      <c r="L16" s="540"/>
      <c r="M16" s="538"/>
      <c r="N16" s="548"/>
      <c r="O16" s="549"/>
      <c r="P16" s="549"/>
      <c r="Q16" s="549"/>
      <c r="R16" s="549"/>
      <c r="S16" s="549"/>
      <c r="T16" s="549"/>
      <c r="U16" s="549"/>
      <c r="V16" s="550"/>
      <c r="W16" s="548"/>
      <c r="X16" s="549"/>
      <c r="Y16" s="550"/>
    </row>
    <row r="17" ht="18.75" thickTop="1"/>
  </sheetData>
  <mergeCells count="37">
    <mergeCell ref="B10:G10"/>
    <mergeCell ref="W10:Y10"/>
    <mergeCell ref="K13:M14"/>
    <mergeCell ref="J15:J16"/>
    <mergeCell ref="K15:M16"/>
    <mergeCell ref="B11:G11"/>
    <mergeCell ref="W11:Y11"/>
    <mergeCell ref="A12:D16"/>
    <mergeCell ref="E12:I12"/>
    <mergeCell ref="J12:M12"/>
    <mergeCell ref="N12:V16"/>
    <mergeCell ref="W12:Y16"/>
    <mergeCell ref="E13:F16"/>
    <mergeCell ref="G13:I16"/>
    <mergeCell ref="J13:J14"/>
    <mergeCell ref="K6:V6"/>
    <mergeCell ref="W6:Y7"/>
    <mergeCell ref="B8:G8"/>
    <mergeCell ref="W8:Y8"/>
    <mergeCell ref="B9:G9"/>
    <mergeCell ref="W9:Y9"/>
    <mergeCell ref="A1:Y1"/>
    <mergeCell ref="Z1:Z12"/>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46117-79AA-46EF-94CB-2DAF01494B1B}">
  <dimension ref="A1:Z20"/>
  <sheetViews>
    <sheetView rightToLeft="1" view="pageBreakPreview" zoomScale="90" zoomScaleNormal="90" zoomScaleSheetLayoutView="90" workbookViewId="0">
      <selection activeCell="A4" sqref="A4:E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56.25" customHeight="1" thickTop="1">
      <c r="A3" s="656" t="s">
        <v>1245</v>
      </c>
      <c r="B3" s="657"/>
      <c r="C3" s="657"/>
      <c r="D3" s="657"/>
      <c r="E3" s="658"/>
      <c r="F3" s="659" t="s">
        <v>178</v>
      </c>
      <c r="G3" s="660"/>
      <c r="H3" s="661" t="s">
        <v>1246</v>
      </c>
      <c r="I3" s="662"/>
      <c r="J3" s="662"/>
      <c r="K3" s="662"/>
      <c r="L3" s="662"/>
      <c r="M3" s="662"/>
      <c r="N3" s="662"/>
      <c r="O3" s="662"/>
      <c r="P3" s="662"/>
      <c r="Q3" s="662"/>
      <c r="R3" s="662"/>
      <c r="S3" s="662"/>
      <c r="T3" s="662"/>
      <c r="U3" s="662"/>
      <c r="V3" s="662"/>
      <c r="W3" s="662"/>
      <c r="X3" s="662"/>
      <c r="Y3" s="663"/>
      <c r="Z3" s="451"/>
    </row>
    <row r="4" spans="1:26" s="3" customFormat="1" ht="28.5">
      <c r="A4" s="667" t="s">
        <v>1224</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53.25" customHeight="1" thickBot="1">
      <c r="A5" s="672" t="s">
        <v>1247</v>
      </c>
      <c r="B5" s="673"/>
      <c r="C5" s="673"/>
      <c r="D5" s="673"/>
      <c r="E5" s="674"/>
      <c r="F5" s="675" t="s">
        <v>1237</v>
      </c>
      <c r="G5" s="675"/>
      <c r="H5" s="676" t="s">
        <v>1227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1248</v>
      </c>
      <c r="C8" s="551"/>
      <c r="D8" s="551"/>
      <c r="E8" s="551"/>
      <c r="F8" s="551"/>
      <c r="G8" s="551"/>
      <c r="H8" s="15">
        <v>10</v>
      </c>
      <c r="I8" s="9" t="s">
        <v>1249</v>
      </c>
      <c r="J8" s="9"/>
      <c r="K8" s="16" t="s">
        <v>246</v>
      </c>
      <c r="L8" s="16" t="s">
        <v>246</v>
      </c>
      <c r="M8" s="16" t="s">
        <v>246</v>
      </c>
      <c r="N8" s="16" t="s">
        <v>246</v>
      </c>
      <c r="O8" s="16" t="s">
        <v>246</v>
      </c>
      <c r="P8" s="16" t="s">
        <v>246</v>
      </c>
      <c r="Q8" s="16" t="s">
        <v>246</v>
      </c>
      <c r="R8" s="16" t="s">
        <v>246</v>
      </c>
      <c r="S8" s="16" t="s">
        <v>246</v>
      </c>
      <c r="T8" s="16" t="s">
        <v>246</v>
      </c>
      <c r="U8" s="16" t="s">
        <v>246</v>
      </c>
      <c r="V8" s="16" t="s">
        <v>246</v>
      </c>
      <c r="W8" s="594"/>
      <c r="X8" s="595"/>
      <c r="Y8" s="596"/>
      <c r="Z8" s="451"/>
    </row>
    <row r="9" spans="1:26" s="14" customFormat="1" ht="67.5">
      <c r="A9" s="23" t="s">
        <v>66</v>
      </c>
      <c r="B9" s="551" t="s">
        <v>1250</v>
      </c>
      <c r="C9" s="551"/>
      <c r="D9" s="551"/>
      <c r="E9" s="551"/>
      <c r="F9" s="551"/>
      <c r="G9" s="551"/>
      <c r="H9" s="15">
        <v>20</v>
      </c>
      <c r="I9" s="9" t="s">
        <v>1251</v>
      </c>
      <c r="J9" s="9"/>
      <c r="K9" s="16" t="s">
        <v>246</v>
      </c>
      <c r="L9" s="16" t="s">
        <v>246</v>
      </c>
      <c r="M9" s="16" t="s">
        <v>246</v>
      </c>
      <c r="N9" s="16" t="s">
        <v>246</v>
      </c>
      <c r="O9" s="16" t="s">
        <v>246</v>
      </c>
      <c r="P9" s="16" t="s">
        <v>246</v>
      </c>
      <c r="Q9" s="16" t="s">
        <v>246</v>
      </c>
      <c r="R9" s="16" t="s">
        <v>246</v>
      </c>
      <c r="S9" s="16" t="s">
        <v>246</v>
      </c>
      <c r="T9" s="16" t="s">
        <v>246</v>
      </c>
      <c r="U9" s="16" t="s">
        <v>246</v>
      </c>
      <c r="V9" s="16" t="s">
        <v>246</v>
      </c>
      <c r="W9" s="597"/>
      <c r="X9" s="597"/>
      <c r="Y9" s="597"/>
      <c r="Z9" s="451"/>
    </row>
    <row r="10" spans="1:26" s="14" customFormat="1" ht="67.5">
      <c r="A10" s="23" t="s">
        <v>68</v>
      </c>
      <c r="B10" s="551" t="s">
        <v>1252</v>
      </c>
      <c r="C10" s="551"/>
      <c r="D10" s="551"/>
      <c r="E10" s="551"/>
      <c r="F10" s="551"/>
      <c r="G10" s="551"/>
      <c r="H10" s="15">
        <v>15</v>
      </c>
      <c r="I10" s="9" t="s">
        <v>1253</v>
      </c>
      <c r="J10" s="9"/>
      <c r="K10" s="16" t="s">
        <v>246</v>
      </c>
      <c r="L10" s="16" t="s">
        <v>246</v>
      </c>
      <c r="M10" s="16" t="s">
        <v>246</v>
      </c>
      <c r="N10" s="16" t="s">
        <v>246</v>
      </c>
      <c r="O10" s="16" t="s">
        <v>246</v>
      </c>
      <c r="P10" s="16" t="s">
        <v>246</v>
      </c>
      <c r="Q10" s="16" t="s">
        <v>246</v>
      </c>
      <c r="R10" s="16" t="s">
        <v>246</v>
      </c>
      <c r="S10" s="16" t="s">
        <v>246</v>
      </c>
      <c r="T10" s="16" t="s">
        <v>246</v>
      </c>
      <c r="U10" s="16" t="s">
        <v>246</v>
      </c>
      <c r="V10" s="16" t="s">
        <v>246</v>
      </c>
      <c r="W10" s="518"/>
      <c r="X10" s="518"/>
      <c r="Y10" s="518"/>
      <c r="Z10" s="451"/>
    </row>
    <row r="11" spans="1:26" s="14" customFormat="1" ht="62.25" customHeight="1">
      <c r="A11" s="23" t="s">
        <v>70</v>
      </c>
      <c r="B11" s="551" t="s">
        <v>1254</v>
      </c>
      <c r="C11" s="551"/>
      <c r="D11" s="551"/>
      <c r="E11" s="551"/>
      <c r="F11" s="551"/>
      <c r="G11" s="551"/>
      <c r="H11" s="15">
        <v>5</v>
      </c>
      <c r="I11" s="9" t="s">
        <v>1242</v>
      </c>
      <c r="J11" s="9"/>
      <c r="K11" s="16" t="s">
        <v>246</v>
      </c>
      <c r="L11" s="16" t="s">
        <v>246</v>
      </c>
      <c r="M11" s="16" t="s">
        <v>246</v>
      </c>
      <c r="N11" s="16" t="s">
        <v>246</v>
      </c>
      <c r="O11" s="16" t="s">
        <v>246</v>
      </c>
      <c r="P11" s="16" t="s">
        <v>246</v>
      </c>
      <c r="Q11" s="16" t="s">
        <v>246</v>
      </c>
      <c r="R11" s="16" t="s">
        <v>246</v>
      </c>
      <c r="S11" s="16" t="s">
        <v>246</v>
      </c>
      <c r="T11" s="16" t="s">
        <v>246</v>
      </c>
      <c r="U11" s="16" t="s">
        <v>246</v>
      </c>
      <c r="V11" s="16" t="s">
        <v>246</v>
      </c>
      <c r="W11" s="518"/>
      <c r="X11" s="518"/>
      <c r="Y11" s="518"/>
      <c r="Z11" s="451"/>
    </row>
    <row r="12" spans="1:26" s="14" customFormat="1" ht="67.5">
      <c r="A12" s="23" t="s">
        <v>153</v>
      </c>
      <c r="B12" s="643" t="s">
        <v>1255</v>
      </c>
      <c r="C12" s="551"/>
      <c r="D12" s="551"/>
      <c r="E12" s="551"/>
      <c r="F12" s="551"/>
      <c r="G12" s="551"/>
      <c r="H12" s="15">
        <v>15</v>
      </c>
      <c r="I12" s="9" t="s">
        <v>1256</v>
      </c>
      <c r="J12" s="9"/>
      <c r="K12" s="16"/>
      <c r="L12" s="16"/>
      <c r="M12" s="16"/>
      <c r="N12" s="16" t="s">
        <v>246</v>
      </c>
      <c r="O12" s="16" t="s">
        <v>246</v>
      </c>
      <c r="P12" s="16" t="s">
        <v>246</v>
      </c>
      <c r="Q12" s="16" t="s">
        <v>246</v>
      </c>
      <c r="R12" s="16" t="s">
        <v>246</v>
      </c>
      <c r="S12" s="16" t="s">
        <v>246</v>
      </c>
      <c r="T12" s="16" t="s">
        <v>246</v>
      </c>
      <c r="U12" s="16" t="s">
        <v>246</v>
      </c>
      <c r="V12" s="16" t="s">
        <v>246</v>
      </c>
      <c r="W12" s="597"/>
      <c r="X12" s="597"/>
      <c r="Y12" s="597"/>
      <c r="Z12" s="451"/>
    </row>
    <row r="13" spans="1:26" s="14" customFormat="1" ht="67.5">
      <c r="A13" s="23" t="s">
        <v>155</v>
      </c>
      <c r="B13" s="530" t="s">
        <v>1257</v>
      </c>
      <c r="C13" s="531"/>
      <c r="D13" s="531"/>
      <c r="E13" s="531"/>
      <c r="F13" s="531"/>
      <c r="G13" s="532"/>
      <c r="H13" s="15">
        <v>30</v>
      </c>
      <c r="I13" s="9" t="s">
        <v>1258</v>
      </c>
      <c r="J13" s="9"/>
      <c r="K13" s="16"/>
      <c r="L13" s="16"/>
      <c r="M13" s="16"/>
      <c r="N13" s="16" t="s">
        <v>246</v>
      </c>
      <c r="O13" s="16" t="s">
        <v>246</v>
      </c>
      <c r="P13" s="16" t="s">
        <v>246</v>
      </c>
      <c r="Q13" s="16" t="s">
        <v>246</v>
      </c>
      <c r="R13" s="16" t="s">
        <v>246</v>
      </c>
      <c r="S13" s="16" t="s">
        <v>246</v>
      </c>
      <c r="T13" s="16" t="s">
        <v>246</v>
      </c>
      <c r="U13" s="16" t="s">
        <v>246</v>
      </c>
      <c r="V13" s="16" t="s">
        <v>246</v>
      </c>
      <c r="W13" s="518"/>
      <c r="X13" s="518"/>
      <c r="Y13" s="518"/>
      <c r="Z13" s="451"/>
    </row>
    <row r="14" spans="1:26" s="14" customFormat="1" ht="54" customHeight="1" thickBot="1">
      <c r="A14" s="23" t="s">
        <v>156</v>
      </c>
      <c r="B14" s="643" t="s">
        <v>1259</v>
      </c>
      <c r="C14" s="643"/>
      <c r="D14" s="643"/>
      <c r="E14" s="643"/>
      <c r="F14" s="643"/>
      <c r="G14" s="643"/>
      <c r="H14" s="15">
        <v>5</v>
      </c>
      <c r="I14" s="9" t="s">
        <v>1240</v>
      </c>
      <c r="J14" s="9"/>
      <c r="K14" s="16"/>
      <c r="L14" s="16"/>
      <c r="M14" s="16"/>
      <c r="N14" s="16" t="s">
        <v>246</v>
      </c>
      <c r="O14" s="16" t="s">
        <v>246</v>
      </c>
      <c r="P14" s="16" t="s">
        <v>246</v>
      </c>
      <c r="Q14" s="16" t="s">
        <v>246</v>
      </c>
      <c r="R14" s="16" t="s">
        <v>246</v>
      </c>
      <c r="S14" s="16" t="s">
        <v>246</v>
      </c>
      <c r="T14" s="16" t="s">
        <v>246</v>
      </c>
      <c r="U14" s="16" t="s">
        <v>246</v>
      </c>
      <c r="V14" s="16" t="s">
        <v>246</v>
      </c>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t="s">
        <v>1260</v>
      </c>
      <c r="F16" s="534"/>
      <c r="G16" s="533" t="s">
        <v>1261</v>
      </c>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 ref="B10:G10"/>
    <mergeCell ref="W10:Y10"/>
    <mergeCell ref="B11:G11"/>
    <mergeCell ref="W11:Y11"/>
    <mergeCell ref="B12:G12"/>
    <mergeCell ref="W12:Y12"/>
    <mergeCell ref="K6:V6"/>
    <mergeCell ref="W6:Y7"/>
    <mergeCell ref="B8:G8"/>
    <mergeCell ref="W8:Y8"/>
    <mergeCell ref="B9:G9"/>
    <mergeCell ref="W9:Y9"/>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732A-F45D-4EAA-A996-9F59A8AB8066}">
  <dimension ref="A1:Z16"/>
  <sheetViews>
    <sheetView rightToLeft="1" view="pageBreakPreview" zoomScale="90" zoomScaleNormal="90" zoomScaleSheetLayoutView="90" workbookViewId="0">
      <selection activeCell="B8" sqref="B8:G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1234</v>
      </c>
      <c r="B3" s="657"/>
      <c r="C3" s="657"/>
      <c r="D3" s="657"/>
      <c r="E3" s="658"/>
      <c r="F3" s="659" t="s">
        <v>178</v>
      </c>
      <c r="G3" s="660"/>
      <c r="H3" s="661" t="s">
        <v>1235</v>
      </c>
      <c r="I3" s="662"/>
      <c r="J3" s="662"/>
      <c r="K3" s="662"/>
      <c r="L3" s="662"/>
      <c r="M3" s="662"/>
      <c r="N3" s="662"/>
      <c r="O3" s="662"/>
      <c r="P3" s="662"/>
      <c r="Q3" s="662"/>
      <c r="R3" s="662"/>
      <c r="S3" s="662"/>
      <c r="T3" s="662"/>
      <c r="U3" s="662"/>
      <c r="V3" s="662"/>
      <c r="W3" s="662"/>
      <c r="X3" s="662"/>
      <c r="Y3" s="663"/>
      <c r="Z3" s="451"/>
    </row>
    <row r="4" spans="1:26" s="3" customFormat="1" ht="28.5">
      <c r="A4" s="667" t="s">
        <v>1224</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1236</v>
      </c>
      <c r="B5" s="673"/>
      <c r="C5" s="673"/>
      <c r="D5" s="673"/>
      <c r="E5" s="674"/>
      <c r="F5" s="675" t="s">
        <v>1237</v>
      </c>
      <c r="G5" s="675"/>
      <c r="H5" s="676" t="s">
        <v>1238</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51" t="s">
        <v>1239</v>
      </c>
      <c r="C8" s="551"/>
      <c r="D8" s="551"/>
      <c r="E8" s="551"/>
      <c r="F8" s="551"/>
      <c r="G8" s="551"/>
      <c r="H8" s="15">
        <v>25</v>
      </c>
      <c r="I8" s="9" t="s">
        <v>1240</v>
      </c>
      <c r="J8" s="9"/>
      <c r="K8" s="16" t="s">
        <v>246</v>
      </c>
      <c r="L8" s="16" t="s">
        <v>246</v>
      </c>
      <c r="M8" s="16" t="s">
        <v>246</v>
      </c>
      <c r="N8" s="16" t="s">
        <v>246</v>
      </c>
      <c r="O8" s="16" t="s">
        <v>246</v>
      </c>
      <c r="P8" s="16" t="s">
        <v>246</v>
      </c>
      <c r="Q8" s="16"/>
      <c r="R8" s="16"/>
      <c r="S8" s="16"/>
      <c r="T8" s="16"/>
      <c r="U8" s="16"/>
      <c r="V8" s="16"/>
      <c r="W8" s="594"/>
      <c r="X8" s="595"/>
      <c r="Y8" s="596"/>
      <c r="Z8" s="451"/>
    </row>
    <row r="9" spans="1:26" s="14" customFormat="1" ht="45">
      <c r="A9" s="23" t="s">
        <v>66</v>
      </c>
      <c r="B9" s="551" t="s">
        <v>1241</v>
      </c>
      <c r="C9" s="551"/>
      <c r="D9" s="551"/>
      <c r="E9" s="551"/>
      <c r="F9" s="551"/>
      <c r="G9" s="551"/>
      <c r="H9" s="15">
        <v>25</v>
      </c>
      <c r="I9" s="9" t="s">
        <v>1242</v>
      </c>
      <c r="J9" s="9"/>
      <c r="K9" s="16" t="s">
        <v>246</v>
      </c>
      <c r="L9" s="16" t="s">
        <v>246</v>
      </c>
      <c r="M9" s="16" t="s">
        <v>246</v>
      </c>
      <c r="N9" s="16" t="s">
        <v>246</v>
      </c>
      <c r="O9" s="16" t="s">
        <v>246</v>
      </c>
      <c r="P9" s="16" t="s">
        <v>246</v>
      </c>
      <c r="Q9" s="16"/>
      <c r="R9" s="16"/>
      <c r="S9" s="16"/>
      <c r="T9" s="16"/>
      <c r="U9" s="16"/>
      <c r="V9" s="16"/>
      <c r="W9" s="597"/>
      <c r="X9" s="597"/>
      <c r="Y9" s="597"/>
      <c r="Z9" s="451"/>
    </row>
    <row r="10" spans="1:26" s="14" customFormat="1" ht="45.75" thickBot="1">
      <c r="A10" s="23" t="s">
        <v>68</v>
      </c>
      <c r="B10" s="551" t="s">
        <v>1243</v>
      </c>
      <c r="C10" s="551"/>
      <c r="D10" s="551"/>
      <c r="E10" s="551"/>
      <c r="F10" s="551"/>
      <c r="G10" s="551"/>
      <c r="H10" s="15">
        <v>50</v>
      </c>
      <c r="I10" s="9" t="s">
        <v>1244</v>
      </c>
      <c r="J10" s="9"/>
      <c r="K10" s="16" t="s">
        <v>246</v>
      </c>
      <c r="L10" s="16" t="s">
        <v>246</v>
      </c>
      <c r="M10" s="16" t="s">
        <v>246</v>
      </c>
      <c r="N10" s="16" t="s">
        <v>246</v>
      </c>
      <c r="O10" s="16" t="s">
        <v>246</v>
      </c>
      <c r="P10" s="16" t="s">
        <v>246</v>
      </c>
      <c r="Q10" s="16"/>
      <c r="R10" s="16"/>
      <c r="S10" s="16"/>
      <c r="T10" s="16"/>
      <c r="U10" s="16"/>
      <c r="V10" s="16"/>
      <c r="W10" s="518"/>
      <c r="X10" s="518"/>
      <c r="Y10" s="518"/>
      <c r="Z10" s="451"/>
    </row>
    <row r="11" spans="1:26" ht="30" thickTop="1" thickBot="1">
      <c r="A11" s="519" t="s">
        <v>72</v>
      </c>
      <c r="B11" s="520"/>
      <c r="C11" s="520"/>
      <c r="D11" s="521"/>
      <c r="E11" s="527" t="s">
        <v>73</v>
      </c>
      <c r="F11" s="528"/>
      <c r="G11" s="528"/>
      <c r="H11" s="528"/>
      <c r="I11" s="528"/>
      <c r="J11" s="527" t="s">
        <v>74</v>
      </c>
      <c r="K11" s="528"/>
      <c r="L11" s="528"/>
      <c r="M11" s="529"/>
      <c r="N11" s="543" t="s">
        <v>75</v>
      </c>
      <c r="O11" s="544"/>
      <c r="P11" s="544"/>
      <c r="Q11" s="544"/>
      <c r="R11" s="544"/>
      <c r="S11" s="544"/>
      <c r="T11" s="544"/>
      <c r="U11" s="544"/>
      <c r="V11" s="545"/>
      <c r="W11" s="543" t="s">
        <v>76</v>
      </c>
      <c r="X11" s="544"/>
      <c r="Y11" s="545"/>
      <c r="Z11" s="451"/>
    </row>
    <row r="12" spans="1:26" s="20" customFormat="1" ht="29.25" thickTop="1">
      <c r="A12" s="522"/>
      <c r="B12" s="498"/>
      <c r="C12" s="498"/>
      <c r="D12" s="523"/>
      <c r="E12" s="533" t="s">
        <v>275</v>
      </c>
      <c r="F12" s="534"/>
      <c r="G12" s="533"/>
      <c r="H12" s="539"/>
      <c r="I12" s="534"/>
      <c r="J12" s="541" t="s">
        <v>47</v>
      </c>
      <c r="K12" s="539"/>
      <c r="L12" s="539"/>
      <c r="M12" s="534"/>
      <c r="N12" s="546"/>
      <c r="O12" s="481"/>
      <c r="P12" s="481"/>
      <c r="Q12" s="481"/>
      <c r="R12" s="481"/>
      <c r="S12" s="481"/>
      <c r="T12" s="481"/>
      <c r="U12" s="481"/>
      <c r="V12" s="547"/>
      <c r="W12" s="546"/>
      <c r="X12" s="481"/>
      <c r="Y12" s="547"/>
    </row>
    <row r="13" spans="1:26" s="20" customFormat="1" ht="29.25" thickBot="1">
      <c r="A13" s="522"/>
      <c r="B13" s="498"/>
      <c r="C13" s="498"/>
      <c r="D13" s="523"/>
      <c r="E13" s="535"/>
      <c r="F13" s="536"/>
      <c r="G13" s="535"/>
      <c r="H13" s="507"/>
      <c r="I13" s="536"/>
      <c r="J13" s="542"/>
      <c r="K13" s="540"/>
      <c r="L13" s="540"/>
      <c r="M13" s="538"/>
      <c r="N13" s="546"/>
      <c r="O13" s="481"/>
      <c r="P13" s="481"/>
      <c r="Q13" s="481"/>
      <c r="R13" s="481"/>
      <c r="S13" s="481"/>
      <c r="T13" s="481"/>
      <c r="U13" s="481"/>
      <c r="V13" s="547"/>
      <c r="W13" s="546"/>
      <c r="X13" s="481"/>
      <c r="Y13" s="547"/>
    </row>
    <row r="14" spans="1:26" s="20" customFormat="1" ht="29.25" thickTop="1">
      <c r="A14" s="522"/>
      <c r="B14" s="498"/>
      <c r="C14" s="498"/>
      <c r="D14" s="523"/>
      <c r="E14" s="535"/>
      <c r="F14" s="536"/>
      <c r="G14" s="535"/>
      <c r="H14" s="507"/>
      <c r="I14" s="536"/>
      <c r="J14" s="541" t="s">
        <v>48</v>
      </c>
      <c r="K14" s="539"/>
      <c r="L14" s="539"/>
      <c r="M14" s="534"/>
      <c r="N14" s="546"/>
      <c r="O14" s="481"/>
      <c r="P14" s="481"/>
      <c r="Q14" s="481"/>
      <c r="R14" s="481"/>
      <c r="S14" s="481"/>
      <c r="T14" s="481"/>
      <c r="U14" s="481"/>
      <c r="V14" s="547"/>
      <c r="W14" s="546"/>
      <c r="X14" s="481"/>
      <c r="Y14" s="547"/>
    </row>
    <row r="15" spans="1:26" s="20" customFormat="1" ht="29.25" thickBot="1">
      <c r="A15" s="524"/>
      <c r="B15" s="525"/>
      <c r="C15" s="525"/>
      <c r="D15" s="526"/>
      <c r="E15" s="537"/>
      <c r="F15" s="538"/>
      <c r="G15" s="537"/>
      <c r="H15" s="540"/>
      <c r="I15" s="538"/>
      <c r="J15" s="542"/>
      <c r="K15" s="540"/>
      <c r="L15" s="540"/>
      <c r="M15" s="538"/>
      <c r="N15" s="548"/>
      <c r="O15" s="549"/>
      <c r="P15" s="549"/>
      <c r="Q15" s="549"/>
      <c r="R15" s="549"/>
      <c r="S15" s="549"/>
      <c r="T15" s="549"/>
      <c r="U15" s="549"/>
      <c r="V15" s="550"/>
      <c r="W15" s="548"/>
      <c r="X15" s="549"/>
      <c r="Y15" s="550"/>
    </row>
    <row r="16" spans="1:26" ht="18.75" thickTop="1"/>
  </sheetData>
  <mergeCells count="35">
    <mergeCell ref="B10:G10"/>
    <mergeCell ref="W10:Y10"/>
    <mergeCell ref="W11:Y15"/>
    <mergeCell ref="E12:F15"/>
    <mergeCell ref="G12:I15"/>
    <mergeCell ref="J12:J13"/>
    <mergeCell ref="K12:M13"/>
    <mergeCell ref="J14:J15"/>
    <mergeCell ref="K14:M15"/>
    <mergeCell ref="A11:D15"/>
    <mergeCell ref="E11:I11"/>
    <mergeCell ref="J11:M11"/>
    <mergeCell ref="N11:V15"/>
    <mergeCell ref="K6:V6"/>
    <mergeCell ref="W6:Y7"/>
    <mergeCell ref="B8:G8"/>
    <mergeCell ref="W8:Y8"/>
    <mergeCell ref="B9:G9"/>
    <mergeCell ref="W9:Y9"/>
    <mergeCell ref="A1:Y1"/>
    <mergeCell ref="Z1:Z11"/>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20EA-DF86-4DA3-A0ED-47EC6CE71C74}">
  <dimension ref="A1:Z16"/>
  <sheetViews>
    <sheetView rightToLeft="1" view="pageBreakPreview" zoomScale="90" zoomScaleNormal="90" zoomScaleSheetLayoutView="90" workbookViewId="0">
      <selection activeCell="J10" sqref="J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1222</v>
      </c>
      <c r="B3" s="657"/>
      <c r="C3" s="657"/>
      <c r="D3" s="657"/>
      <c r="E3" s="658"/>
      <c r="F3" s="659" t="s">
        <v>178</v>
      </c>
      <c r="G3" s="660"/>
      <c r="H3" s="661" t="s">
        <v>1223</v>
      </c>
      <c r="I3" s="662"/>
      <c r="J3" s="662"/>
      <c r="K3" s="662"/>
      <c r="L3" s="662"/>
      <c r="M3" s="662"/>
      <c r="N3" s="662"/>
      <c r="O3" s="662"/>
      <c r="P3" s="662"/>
      <c r="Q3" s="662"/>
      <c r="R3" s="662"/>
      <c r="S3" s="662"/>
      <c r="T3" s="662"/>
      <c r="U3" s="662"/>
      <c r="V3" s="662"/>
      <c r="W3" s="662"/>
      <c r="X3" s="662"/>
      <c r="Y3" s="663"/>
      <c r="Z3" s="451"/>
    </row>
    <row r="4" spans="1:26" s="3" customFormat="1" ht="28.5">
      <c r="A4" s="667" t="s">
        <v>1224</v>
      </c>
      <c r="B4" s="668"/>
      <c r="C4" s="668"/>
      <c r="D4" s="668"/>
      <c r="E4" s="669"/>
      <c r="F4" s="670" t="s">
        <v>968</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1225</v>
      </c>
      <c r="B5" s="673"/>
      <c r="C5" s="673"/>
      <c r="D5" s="673"/>
      <c r="E5" s="674"/>
      <c r="F5" s="675" t="s">
        <v>1226</v>
      </c>
      <c r="G5" s="675"/>
      <c r="H5" s="676" t="s">
        <v>1227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ustomHeight="1">
      <c r="A8" s="23" t="s">
        <v>28</v>
      </c>
      <c r="B8" s="551" t="s">
        <v>1228</v>
      </c>
      <c r="C8" s="551"/>
      <c r="D8" s="551"/>
      <c r="E8" s="551"/>
      <c r="F8" s="551"/>
      <c r="G8" s="551"/>
      <c r="H8" s="15">
        <v>20</v>
      </c>
      <c r="I8" s="9" t="s">
        <v>1229</v>
      </c>
      <c r="J8" s="9"/>
      <c r="K8" s="16"/>
      <c r="L8" s="16"/>
      <c r="M8" s="16" t="s">
        <v>246</v>
      </c>
      <c r="N8" s="16" t="s">
        <v>246</v>
      </c>
      <c r="O8" s="16" t="s">
        <v>246</v>
      </c>
      <c r="P8" s="16" t="s">
        <v>246</v>
      </c>
      <c r="Q8" s="16" t="s">
        <v>246</v>
      </c>
      <c r="R8" s="16" t="s">
        <v>246</v>
      </c>
      <c r="S8" s="16" t="s">
        <v>246</v>
      </c>
      <c r="T8" s="16" t="s">
        <v>246</v>
      </c>
      <c r="U8" s="16" t="s">
        <v>246</v>
      </c>
      <c r="V8" s="16" t="s">
        <v>246</v>
      </c>
      <c r="W8" s="594"/>
      <c r="X8" s="595"/>
      <c r="Y8" s="596"/>
      <c r="Z8" s="451"/>
    </row>
    <row r="9" spans="1:26" s="14" customFormat="1" ht="45">
      <c r="A9" s="23" t="s">
        <v>66</v>
      </c>
      <c r="B9" s="551" t="s">
        <v>1230</v>
      </c>
      <c r="C9" s="551"/>
      <c r="D9" s="551"/>
      <c r="E9" s="551"/>
      <c r="F9" s="551"/>
      <c r="G9" s="551"/>
      <c r="H9" s="15">
        <v>20</v>
      </c>
      <c r="I9" s="9" t="s">
        <v>1229</v>
      </c>
      <c r="J9" s="9"/>
      <c r="K9" s="16"/>
      <c r="L9" s="16"/>
      <c r="M9" s="16" t="s">
        <v>246</v>
      </c>
      <c r="N9" s="16" t="s">
        <v>246</v>
      </c>
      <c r="O9" s="16" t="s">
        <v>246</v>
      </c>
      <c r="P9" s="16" t="s">
        <v>246</v>
      </c>
      <c r="Q9" s="16" t="s">
        <v>246</v>
      </c>
      <c r="R9" s="16" t="s">
        <v>246</v>
      </c>
      <c r="S9" s="16" t="s">
        <v>246</v>
      </c>
      <c r="T9" s="16" t="s">
        <v>246</v>
      </c>
      <c r="U9" s="16" t="s">
        <v>246</v>
      </c>
      <c r="V9" s="16" t="s">
        <v>246</v>
      </c>
      <c r="W9" s="597"/>
      <c r="X9" s="597"/>
      <c r="Y9" s="597"/>
      <c r="Z9" s="451"/>
    </row>
    <row r="10" spans="1:26" s="14" customFormat="1" ht="90.75" thickBot="1">
      <c r="A10" s="23" t="s">
        <v>68</v>
      </c>
      <c r="B10" s="551" t="s">
        <v>1231</v>
      </c>
      <c r="C10" s="551"/>
      <c r="D10" s="551"/>
      <c r="E10" s="551"/>
      <c r="F10" s="551"/>
      <c r="G10" s="551"/>
      <c r="H10" s="15">
        <v>60</v>
      </c>
      <c r="I10" s="9" t="s">
        <v>1232</v>
      </c>
      <c r="J10" s="9"/>
      <c r="K10" s="16"/>
      <c r="L10" s="16"/>
      <c r="M10" s="16" t="s">
        <v>246</v>
      </c>
      <c r="N10" s="16" t="s">
        <v>246</v>
      </c>
      <c r="O10" s="16" t="s">
        <v>246</v>
      </c>
      <c r="P10" s="16" t="s">
        <v>246</v>
      </c>
      <c r="Q10" s="16" t="s">
        <v>246</v>
      </c>
      <c r="R10" s="16" t="s">
        <v>246</v>
      </c>
      <c r="S10" s="16" t="s">
        <v>246</v>
      </c>
      <c r="T10" s="16" t="s">
        <v>246</v>
      </c>
      <c r="U10" s="16" t="s">
        <v>246</v>
      </c>
      <c r="V10" s="16" t="s">
        <v>246</v>
      </c>
      <c r="W10" s="518"/>
      <c r="X10" s="518"/>
      <c r="Y10" s="518"/>
      <c r="Z10" s="451"/>
    </row>
    <row r="11" spans="1:26" ht="30" thickTop="1" thickBot="1">
      <c r="A11" s="519" t="s">
        <v>72</v>
      </c>
      <c r="B11" s="520"/>
      <c r="C11" s="520"/>
      <c r="D11" s="521"/>
      <c r="E11" s="527" t="s">
        <v>73</v>
      </c>
      <c r="F11" s="528"/>
      <c r="G11" s="528"/>
      <c r="H11" s="528"/>
      <c r="I11" s="528"/>
      <c r="J11" s="527" t="s">
        <v>74</v>
      </c>
      <c r="K11" s="528"/>
      <c r="L11" s="528"/>
      <c r="M11" s="529"/>
      <c r="N11" s="543" t="s">
        <v>75</v>
      </c>
      <c r="O11" s="544"/>
      <c r="P11" s="544"/>
      <c r="Q11" s="544"/>
      <c r="R11" s="544"/>
      <c r="S11" s="544"/>
      <c r="T11" s="544"/>
      <c r="U11" s="544"/>
      <c r="V11" s="545"/>
      <c r="W11" s="543" t="s">
        <v>76</v>
      </c>
      <c r="X11" s="544"/>
      <c r="Y11" s="545"/>
      <c r="Z11" s="451"/>
    </row>
    <row r="12" spans="1:26" s="20" customFormat="1" ht="29.25" thickTop="1">
      <c r="A12" s="522"/>
      <c r="B12" s="498"/>
      <c r="C12" s="498"/>
      <c r="D12" s="523"/>
      <c r="E12" s="533" t="s">
        <v>1233</v>
      </c>
      <c r="F12" s="534"/>
      <c r="G12" s="533" t="s">
        <v>332</v>
      </c>
      <c r="H12" s="534"/>
      <c r="I12" s="541" t="s">
        <v>275</v>
      </c>
      <c r="J12" s="541" t="s">
        <v>47</v>
      </c>
      <c r="K12" s="539"/>
      <c r="L12" s="539"/>
      <c r="M12" s="534"/>
      <c r="N12" s="546"/>
      <c r="O12" s="481"/>
      <c r="P12" s="481"/>
      <c r="Q12" s="481"/>
      <c r="R12" s="481"/>
      <c r="S12" s="481"/>
      <c r="T12" s="481"/>
      <c r="U12" s="481"/>
      <c r="V12" s="547"/>
      <c r="W12" s="546"/>
      <c r="X12" s="481"/>
      <c r="Y12" s="547"/>
    </row>
    <row r="13" spans="1:26" s="20" customFormat="1" ht="29.25" thickBot="1">
      <c r="A13" s="522"/>
      <c r="B13" s="498"/>
      <c r="C13" s="498"/>
      <c r="D13" s="523"/>
      <c r="E13" s="535"/>
      <c r="F13" s="536"/>
      <c r="G13" s="535"/>
      <c r="H13" s="536"/>
      <c r="I13" s="699"/>
      <c r="J13" s="542"/>
      <c r="K13" s="540"/>
      <c r="L13" s="540"/>
      <c r="M13" s="538"/>
      <c r="N13" s="546"/>
      <c r="O13" s="481"/>
      <c r="P13" s="481"/>
      <c r="Q13" s="481"/>
      <c r="R13" s="481"/>
      <c r="S13" s="481"/>
      <c r="T13" s="481"/>
      <c r="U13" s="481"/>
      <c r="V13" s="547"/>
      <c r="W13" s="546"/>
      <c r="X13" s="481"/>
      <c r="Y13" s="547"/>
    </row>
    <row r="14" spans="1:26" s="20" customFormat="1" ht="29.25" thickTop="1">
      <c r="A14" s="522"/>
      <c r="B14" s="498"/>
      <c r="C14" s="498"/>
      <c r="D14" s="523"/>
      <c r="E14" s="535"/>
      <c r="F14" s="536"/>
      <c r="G14" s="535"/>
      <c r="H14" s="536"/>
      <c r="I14" s="699"/>
      <c r="J14" s="541" t="s">
        <v>48</v>
      </c>
      <c r="K14" s="539"/>
      <c r="L14" s="539"/>
      <c r="M14" s="534"/>
      <c r="N14" s="546"/>
      <c r="O14" s="481"/>
      <c r="P14" s="481"/>
      <c r="Q14" s="481"/>
      <c r="R14" s="481"/>
      <c r="S14" s="481"/>
      <c r="T14" s="481"/>
      <c r="U14" s="481"/>
      <c r="V14" s="547"/>
      <c r="W14" s="546"/>
      <c r="X14" s="481"/>
      <c r="Y14" s="547"/>
    </row>
    <row r="15" spans="1:26" s="20" customFormat="1" ht="29.25" thickBot="1">
      <c r="A15" s="524"/>
      <c r="B15" s="525"/>
      <c r="C15" s="525"/>
      <c r="D15" s="526"/>
      <c r="E15" s="537"/>
      <c r="F15" s="538"/>
      <c r="G15" s="537"/>
      <c r="H15" s="538"/>
      <c r="I15" s="542"/>
      <c r="J15" s="542"/>
      <c r="K15" s="540"/>
      <c r="L15" s="540"/>
      <c r="M15" s="538"/>
      <c r="N15" s="548"/>
      <c r="O15" s="549"/>
      <c r="P15" s="549"/>
      <c r="Q15" s="549"/>
      <c r="R15" s="549"/>
      <c r="S15" s="549"/>
      <c r="T15" s="549"/>
      <c r="U15" s="549"/>
      <c r="V15" s="550"/>
      <c r="W15" s="548"/>
      <c r="X15" s="549"/>
      <c r="Y15" s="550"/>
    </row>
    <row r="16" spans="1:26" ht="18.75" thickTop="1"/>
  </sheetData>
  <mergeCells count="36">
    <mergeCell ref="B10:G10"/>
    <mergeCell ref="W10:Y10"/>
    <mergeCell ref="N11:V15"/>
    <mergeCell ref="W11:Y15"/>
    <mergeCell ref="E12:F15"/>
    <mergeCell ref="G12:H15"/>
    <mergeCell ref="I12:I15"/>
    <mergeCell ref="J12:J13"/>
    <mergeCell ref="K12:M13"/>
    <mergeCell ref="J14:J15"/>
    <mergeCell ref="K14:M15"/>
    <mergeCell ref="A11:D15"/>
    <mergeCell ref="E11:I11"/>
    <mergeCell ref="J11:M11"/>
    <mergeCell ref="K6:V6"/>
    <mergeCell ref="W6:Y7"/>
    <mergeCell ref="B8:G8"/>
    <mergeCell ref="W8:Y8"/>
    <mergeCell ref="B9:G9"/>
    <mergeCell ref="W9:Y9"/>
    <mergeCell ref="A1:Y1"/>
    <mergeCell ref="Z1:Z11"/>
    <mergeCell ref="A2:Y2"/>
    <mergeCell ref="A3:E3"/>
    <mergeCell ref="F3:G3"/>
    <mergeCell ref="H3:Y4"/>
    <mergeCell ref="A4:E4"/>
    <mergeCell ref="F4:G4"/>
    <mergeCell ref="A5:E5"/>
    <mergeCell ref="F5:G5"/>
    <mergeCell ref="H5:Y5"/>
    <mergeCell ref="A6:A7"/>
    <mergeCell ref="B6:G7"/>
    <mergeCell ref="H6:H7"/>
    <mergeCell ref="I6:I7"/>
    <mergeCell ref="J6:J7"/>
  </mergeCells>
  <printOptions horizontalCentered="1" verticalCentered="1"/>
  <pageMargins left="0" right="0" top="0" bottom="0" header="0" footer="0"/>
  <pageSetup scale="45"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52AB-38BE-4E08-8595-FE5F100BA7E3}">
  <dimension ref="A1:AA21"/>
  <sheetViews>
    <sheetView rightToLeft="1" view="pageBreakPreview" zoomScale="70" zoomScaleNormal="90" zoomScaleSheetLayoutView="70" workbookViewId="0">
      <selection activeCell="AD7" sqref="AD7"/>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55.5" customHeight="1">
      <c r="A3" s="455" t="s">
        <v>1221</v>
      </c>
      <c r="B3" s="456"/>
      <c r="C3" s="456"/>
      <c r="D3" s="456"/>
      <c r="E3" s="456"/>
      <c r="F3" s="456"/>
      <c r="G3" s="457" t="s">
        <v>3</v>
      </c>
      <c r="H3" s="457"/>
      <c r="I3" s="730" t="s">
        <v>1220</v>
      </c>
      <c r="J3" s="730"/>
      <c r="K3" s="730"/>
      <c r="L3" s="730"/>
      <c r="M3" s="730"/>
      <c r="N3" s="730"/>
      <c r="O3" s="730"/>
      <c r="P3" s="730"/>
      <c r="Q3" s="730"/>
      <c r="R3" s="730"/>
      <c r="S3" s="730"/>
      <c r="T3" s="730"/>
      <c r="U3" s="730"/>
      <c r="V3" s="730"/>
      <c r="W3" s="730"/>
      <c r="X3" s="730"/>
      <c r="Y3" s="730"/>
      <c r="Z3" s="731"/>
      <c r="AA3" s="451"/>
    </row>
    <row r="4" spans="1:27" s="3" customFormat="1" ht="28.5" customHeight="1">
      <c r="A4" s="460" t="s">
        <v>1211</v>
      </c>
      <c r="B4" s="461"/>
      <c r="C4" s="461"/>
      <c r="D4" s="461"/>
      <c r="E4" s="461"/>
      <c r="F4" s="462"/>
      <c r="G4" s="457" t="s">
        <v>242</v>
      </c>
      <c r="H4" s="457"/>
      <c r="I4" s="730"/>
      <c r="J4" s="730"/>
      <c r="K4" s="730"/>
      <c r="L4" s="730"/>
      <c r="M4" s="730"/>
      <c r="N4" s="730"/>
      <c r="O4" s="730"/>
      <c r="P4" s="730"/>
      <c r="Q4" s="730"/>
      <c r="R4" s="730"/>
      <c r="S4" s="730"/>
      <c r="T4" s="730"/>
      <c r="U4" s="730"/>
      <c r="V4" s="730"/>
      <c r="W4" s="730"/>
      <c r="X4" s="730"/>
      <c r="Y4" s="730"/>
      <c r="Z4" s="731"/>
      <c r="AA4" s="451"/>
    </row>
    <row r="5" spans="1:27" s="3" customFormat="1" ht="28.5" customHeight="1">
      <c r="A5" s="463"/>
      <c r="B5" s="464"/>
      <c r="C5" s="464"/>
      <c r="D5" s="464"/>
      <c r="E5" s="464"/>
      <c r="F5" s="465"/>
      <c r="G5" s="456" t="s">
        <v>395</v>
      </c>
      <c r="H5" s="456"/>
      <c r="I5" s="456" t="s">
        <v>459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1192</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1219</v>
      </c>
      <c r="C8" s="647"/>
      <c r="D8" s="647"/>
      <c r="E8" s="647"/>
      <c r="F8" s="647"/>
      <c r="G8" s="647"/>
      <c r="H8" s="647"/>
      <c r="I8" s="132">
        <v>20</v>
      </c>
      <c r="J8" s="133" t="s">
        <v>1184</v>
      </c>
      <c r="K8" s="10"/>
      <c r="L8" s="30"/>
      <c r="M8" s="30"/>
      <c r="N8" s="30" t="s">
        <v>246</v>
      </c>
      <c r="O8" s="30"/>
      <c r="P8" s="30"/>
      <c r="Q8" s="30"/>
      <c r="R8" s="30"/>
      <c r="S8" s="30"/>
      <c r="T8" s="30"/>
      <c r="U8" s="30"/>
      <c r="V8" s="30"/>
      <c r="W8" s="30"/>
      <c r="X8" s="475"/>
      <c r="Y8" s="475"/>
      <c r="Z8" s="476"/>
      <c r="AA8" s="451"/>
    </row>
    <row r="9" spans="1:27" s="14" customFormat="1" ht="24">
      <c r="A9" s="7" t="s">
        <v>66</v>
      </c>
      <c r="B9" s="732" t="s">
        <v>1218</v>
      </c>
      <c r="C9" s="647"/>
      <c r="D9" s="647"/>
      <c r="E9" s="647"/>
      <c r="F9" s="647"/>
      <c r="G9" s="647"/>
      <c r="H9" s="647"/>
      <c r="I9" s="132">
        <v>55</v>
      </c>
      <c r="J9" s="133" t="s">
        <v>1184</v>
      </c>
      <c r="K9" s="10"/>
      <c r="L9" s="30"/>
      <c r="M9" s="30"/>
      <c r="N9" s="30"/>
      <c r="O9" s="30" t="s">
        <v>246</v>
      </c>
      <c r="P9" s="30" t="s">
        <v>246</v>
      </c>
      <c r="Q9" s="30"/>
      <c r="R9" s="30"/>
      <c r="S9" s="30"/>
      <c r="T9" s="30"/>
      <c r="U9" s="30"/>
      <c r="V9" s="30"/>
      <c r="W9" s="30"/>
      <c r="X9" s="733"/>
      <c r="Y9" s="734"/>
      <c r="Z9" s="735"/>
      <c r="AA9" s="451"/>
    </row>
    <row r="10" spans="1:27" s="14" customFormat="1" ht="24">
      <c r="A10" s="7" t="s">
        <v>68</v>
      </c>
      <c r="B10" s="647" t="s">
        <v>1217</v>
      </c>
      <c r="C10" s="647"/>
      <c r="D10" s="647"/>
      <c r="E10" s="647"/>
      <c r="F10" s="647"/>
      <c r="G10" s="647"/>
      <c r="H10" s="647"/>
      <c r="I10" s="132">
        <v>20</v>
      </c>
      <c r="J10" s="133" t="s">
        <v>1184</v>
      </c>
      <c r="K10" s="10"/>
      <c r="L10" s="30"/>
      <c r="M10" s="30"/>
      <c r="N10" s="30"/>
      <c r="O10" s="30"/>
      <c r="P10" s="30" t="s">
        <v>246</v>
      </c>
      <c r="R10" s="30"/>
      <c r="S10" s="30"/>
      <c r="T10" s="30"/>
      <c r="U10" s="30"/>
      <c r="V10" s="30"/>
      <c r="W10" s="30"/>
      <c r="X10" s="475"/>
      <c r="Y10" s="475"/>
      <c r="Z10" s="476"/>
      <c r="AA10" s="451"/>
    </row>
    <row r="11" spans="1:27" s="14" customFormat="1" ht="24">
      <c r="A11" s="7" t="s">
        <v>70</v>
      </c>
      <c r="B11" s="647" t="s">
        <v>1216</v>
      </c>
      <c r="C11" s="647"/>
      <c r="D11" s="647"/>
      <c r="E11" s="647"/>
      <c r="F11" s="647"/>
      <c r="G11" s="647"/>
      <c r="H11" s="647"/>
      <c r="I11" s="132">
        <v>5</v>
      </c>
      <c r="J11" s="133" t="s">
        <v>1184</v>
      </c>
      <c r="K11" s="10"/>
      <c r="L11" s="30"/>
      <c r="M11" s="30"/>
      <c r="N11" s="30"/>
      <c r="O11" s="30"/>
      <c r="P11" s="30"/>
      <c r="Q11" s="30" t="s">
        <v>246</v>
      </c>
      <c r="R11" s="30"/>
      <c r="S11" s="30"/>
      <c r="T11" s="30"/>
      <c r="U11" s="30"/>
      <c r="V11" s="30"/>
      <c r="W11" s="30"/>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68"/>
      <c r="Y12" s="468"/>
      <c r="Z12" s="469"/>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75"/>
      <c r="Y13" s="475"/>
      <c r="Z13" s="476"/>
      <c r="AA13" s="451"/>
    </row>
    <row r="14" spans="1:27"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7" s="14" customFormat="1" ht="24">
      <c r="A15" s="7" t="s">
        <v>853</v>
      </c>
      <c r="B15" s="647"/>
      <c r="C15" s="647"/>
      <c r="D15" s="647"/>
      <c r="E15" s="647"/>
      <c r="F15" s="647"/>
      <c r="G15" s="647"/>
      <c r="H15" s="647"/>
      <c r="I15" s="132"/>
      <c r="J15" s="133"/>
      <c r="K15" s="10"/>
      <c r="L15" s="134"/>
      <c r="M15" s="134"/>
      <c r="N15" s="134"/>
      <c r="O15" s="134"/>
      <c r="P15" s="134"/>
      <c r="Q15" s="134"/>
      <c r="R15" s="134"/>
      <c r="S15" s="134"/>
      <c r="T15" s="134"/>
      <c r="U15" s="134"/>
      <c r="V15" s="134"/>
      <c r="W15" s="134"/>
      <c r="X15" s="651"/>
      <c r="Y15" s="651"/>
      <c r="Z15" s="652"/>
      <c r="AA15" s="451"/>
    </row>
    <row r="16" spans="1:27" ht="57.75" customHeight="1">
      <c r="A16" s="488" t="s">
        <v>42</v>
      </c>
      <c r="B16" s="489"/>
      <c r="C16" s="489"/>
      <c r="D16" s="489"/>
      <c r="E16" s="490"/>
      <c r="F16" s="472" t="s">
        <v>43</v>
      </c>
      <c r="G16" s="472"/>
      <c r="H16" s="472"/>
      <c r="I16" s="472"/>
      <c r="J16" s="472"/>
      <c r="K16" s="472" t="s">
        <v>44</v>
      </c>
      <c r="L16" s="472"/>
      <c r="M16" s="472"/>
      <c r="N16" s="472"/>
      <c r="O16" s="491" t="s">
        <v>45</v>
      </c>
      <c r="P16" s="492"/>
      <c r="Q16" s="492"/>
      <c r="R16" s="492"/>
      <c r="S16" s="492"/>
      <c r="T16" s="492"/>
      <c r="U16" s="492"/>
      <c r="V16" s="492"/>
      <c r="W16" s="493"/>
      <c r="X16" s="472" t="s">
        <v>46</v>
      </c>
      <c r="Y16" s="472"/>
      <c r="Z16" s="472"/>
      <c r="AA16" s="451"/>
    </row>
    <row r="17" spans="1:26" s="20" customFormat="1" ht="28.5">
      <c r="A17" s="494"/>
      <c r="B17" s="495"/>
      <c r="C17" s="495"/>
      <c r="D17" s="495"/>
      <c r="E17" s="496"/>
      <c r="F17" s="503"/>
      <c r="G17" s="504"/>
      <c r="H17" s="504"/>
      <c r="I17" s="504"/>
      <c r="J17" s="505"/>
      <c r="K17" s="486" t="s">
        <v>47</v>
      </c>
      <c r="L17" s="486"/>
      <c r="M17" s="486"/>
      <c r="N17" s="486"/>
      <c r="O17" s="477"/>
      <c r="P17" s="478"/>
      <c r="Q17" s="478"/>
      <c r="R17" s="478"/>
      <c r="S17" s="478"/>
      <c r="T17" s="478"/>
      <c r="U17" s="478"/>
      <c r="V17" s="478"/>
      <c r="W17" s="512"/>
      <c r="X17" s="477"/>
      <c r="Y17" s="478"/>
      <c r="Z17" s="479"/>
    </row>
    <row r="18" spans="1:26" s="20" customFormat="1" ht="28.5">
      <c r="A18" s="497"/>
      <c r="B18" s="498"/>
      <c r="C18" s="498"/>
      <c r="D18" s="498"/>
      <c r="E18" s="499"/>
      <c r="F18" s="506"/>
      <c r="G18" s="507"/>
      <c r="H18" s="507"/>
      <c r="I18" s="507"/>
      <c r="J18" s="508"/>
      <c r="K18" s="486"/>
      <c r="L18" s="486"/>
      <c r="M18" s="486"/>
      <c r="N18" s="486"/>
      <c r="O18" s="480"/>
      <c r="P18" s="481"/>
      <c r="Q18" s="481"/>
      <c r="R18" s="481"/>
      <c r="S18" s="481"/>
      <c r="T18" s="481"/>
      <c r="U18" s="481"/>
      <c r="V18" s="481"/>
      <c r="W18" s="513"/>
      <c r="X18" s="480"/>
      <c r="Y18" s="481"/>
      <c r="Z18" s="482"/>
    </row>
    <row r="19" spans="1:26" s="20" customFormat="1" ht="28.5">
      <c r="A19" s="497"/>
      <c r="B19" s="498"/>
      <c r="C19" s="498"/>
      <c r="D19" s="498"/>
      <c r="E19" s="499"/>
      <c r="F19" s="506"/>
      <c r="G19" s="507"/>
      <c r="H19" s="507"/>
      <c r="I19" s="507"/>
      <c r="J19" s="508"/>
      <c r="K19" s="486" t="s">
        <v>48</v>
      </c>
      <c r="L19" s="486"/>
      <c r="M19" s="486"/>
      <c r="N19" s="486"/>
      <c r="O19" s="480"/>
      <c r="P19" s="481"/>
      <c r="Q19" s="481"/>
      <c r="R19" s="481"/>
      <c r="S19" s="481"/>
      <c r="T19" s="481"/>
      <c r="U19" s="481"/>
      <c r="V19" s="481"/>
      <c r="W19" s="513"/>
      <c r="X19" s="480"/>
      <c r="Y19" s="481"/>
      <c r="Z19" s="482"/>
    </row>
    <row r="20" spans="1:26" s="20" customFormat="1" ht="29.25" thickBot="1">
      <c r="A20" s="500"/>
      <c r="B20" s="501"/>
      <c r="C20" s="501"/>
      <c r="D20" s="501"/>
      <c r="E20" s="502"/>
      <c r="F20" s="509"/>
      <c r="G20" s="510"/>
      <c r="H20" s="510"/>
      <c r="I20" s="510"/>
      <c r="J20" s="511"/>
      <c r="K20" s="487"/>
      <c r="L20" s="487"/>
      <c r="M20" s="487"/>
      <c r="N20" s="487"/>
      <c r="O20" s="483"/>
      <c r="P20" s="484"/>
      <c r="Q20" s="484"/>
      <c r="R20" s="484"/>
      <c r="S20" s="484"/>
      <c r="T20" s="484"/>
      <c r="U20" s="484"/>
      <c r="V20" s="484"/>
      <c r="W20" s="514"/>
      <c r="X20" s="483"/>
      <c r="Y20" s="484"/>
      <c r="Z20" s="485"/>
    </row>
    <row r="21" spans="1:26" ht="18.75" thickTop="1"/>
  </sheetData>
  <mergeCells count="46">
    <mergeCell ref="X13:Z13"/>
    <mergeCell ref="B10:H10"/>
    <mergeCell ref="X10:Z10"/>
    <mergeCell ref="L17:N18"/>
    <mergeCell ref="K19:K20"/>
    <mergeCell ref="L19:N20"/>
    <mergeCell ref="B15:H15"/>
    <mergeCell ref="X15:Z15"/>
    <mergeCell ref="F16:J16"/>
    <mergeCell ref="K16:N16"/>
    <mergeCell ref="X17:Z20"/>
    <mergeCell ref="O16:W16"/>
    <mergeCell ref="O17:W20"/>
    <mergeCell ref="X16:Z16"/>
    <mergeCell ref="L6:W6"/>
    <mergeCell ref="B9:H9"/>
    <mergeCell ref="X9:Z9"/>
    <mergeCell ref="A1:Y1"/>
    <mergeCell ref="F17:J20"/>
    <mergeCell ref="A16:E16"/>
    <mergeCell ref="A17:E20"/>
    <mergeCell ref="A4:F5"/>
    <mergeCell ref="B14:H14"/>
    <mergeCell ref="X14:Z14"/>
    <mergeCell ref="K17:K18"/>
    <mergeCell ref="B11:H11"/>
    <mergeCell ref="X11:Z11"/>
    <mergeCell ref="B12:H12"/>
    <mergeCell ref="X12:Z12"/>
    <mergeCell ref="B13:H13"/>
    <mergeCell ref="AA1:AA16"/>
    <mergeCell ref="A2:Z2"/>
    <mergeCell ref="A3:F3"/>
    <mergeCell ref="G3:H3"/>
    <mergeCell ref="I3:Z4"/>
    <mergeCell ref="G4:H4"/>
    <mergeCell ref="G5:H5"/>
    <mergeCell ref="I5:Z5"/>
    <mergeCell ref="A6:A7"/>
    <mergeCell ref="B6:H7"/>
    <mergeCell ref="I6:I7"/>
    <mergeCell ref="J6:J7"/>
    <mergeCell ref="K6:K7"/>
    <mergeCell ref="X6:Z7"/>
    <mergeCell ref="B8:H8"/>
    <mergeCell ref="X8:Z8"/>
  </mergeCells>
  <printOptions horizontalCentered="1" verticalCentered="1"/>
  <pageMargins left="0" right="0" top="0" bottom="0" header="0" footer="0"/>
  <pageSetup scale="4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4618-A6F7-41CA-9E2D-EA9C1DBB484E}">
  <dimension ref="A1:AA21"/>
  <sheetViews>
    <sheetView rightToLeft="1" view="pageBreakPreview" zoomScale="70" zoomScaleNormal="90" zoomScaleSheetLayoutView="70" workbookViewId="0">
      <selection activeCell="B13" sqref="B13:H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55.5" customHeight="1">
      <c r="A3" s="455" t="s">
        <v>1209</v>
      </c>
      <c r="B3" s="456"/>
      <c r="C3" s="456"/>
      <c r="D3" s="456"/>
      <c r="E3" s="456"/>
      <c r="F3" s="456"/>
      <c r="G3" s="457" t="s">
        <v>3</v>
      </c>
      <c r="H3" s="457"/>
      <c r="I3" s="730" t="s">
        <v>1210</v>
      </c>
      <c r="J3" s="730"/>
      <c r="K3" s="730"/>
      <c r="L3" s="730"/>
      <c r="M3" s="730"/>
      <c r="N3" s="730"/>
      <c r="O3" s="730"/>
      <c r="P3" s="730"/>
      <c r="Q3" s="730"/>
      <c r="R3" s="730"/>
      <c r="S3" s="730"/>
      <c r="T3" s="730"/>
      <c r="U3" s="730"/>
      <c r="V3" s="730"/>
      <c r="W3" s="730"/>
      <c r="X3" s="730"/>
      <c r="Y3" s="730"/>
      <c r="Z3" s="731"/>
      <c r="AA3" s="451"/>
    </row>
    <row r="4" spans="1:27" s="3" customFormat="1" ht="28.5" customHeight="1">
      <c r="A4" s="460" t="s">
        <v>1211</v>
      </c>
      <c r="B4" s="461"/>
      <c r="C4" s="461"/>
      <c r="D4" s="461"/>
      <c r="E4" s="461"/>
      <c r="F4" s="462"/>
      <c r="G4" s="457" t="s">
        <v>242</v>
      </c>
      <c r="H4" s="457"/>
      <c r="I4" s="730"/>
      <c r="J4" s="730"/>
      <c r="K4" s="730"/>
      <c r="L4" s="730"/>
      <c r="M4" s="730"/>
      <c r="N4" s="730"/>
      <c r="O4" s="730"/>
      <c r="P4" s="730"/>
      <c r="Q4" s="730"/>
      <c r="R4" s="730"/>
      <c r="S4" s="730"/>
      <c r="T4" s="730"/>
      <c r="U4" s="730"/>
      <c r="V4" s="730"/>
      <c r="W4" s="730"/>
      <c r="X4" s="730"/>
      <c r="Y4" s="730"/>
      <c r="Z4" s="731"/>
      <c r="AA4" s="451"/>
    </row>
    <row r="5" spans="1:27" s="3" customFormat="1" ht="28.5" customHeight="1">
      <c r="A5" s="463"/>
      <c r="B5" s="464"/>
      <c r="C5" s="464"/>
      <c r="D5" s="464"/>
      <c r="E5" s="464"/>
      <c r="F5" s="465"/>
      <c r="G5" s="456" t="s">
        <v>395</v>
      </c>
      <c r="H5" s="456"/>
      <c r="I5" s="456" t="s">
        <v>459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1192</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1212</v>
      </c>
      <c r="C8" s="647"/>
      <c r="D8" s="647"/>
      <c r="E8" s="647"/>
      <c r="F8" s="647"/>
      <c r="G8" s="647"/>
      <c r="H8" s="647"/>
      <c r="I8" s="132">
        <v>15</v>
      </c>
      <c r="J8" s="133" t="s">
        <v>1184</v>
      </c>
      <c r="K8" s="10"/>
      <c r="L8" s="30"/>
      <c r="M8" s="30"/>
      <c r="N8" s="30" t="s">
        <v>246</v>
      </c>
      <c r="O8" s="30"/>
      <c r="P8" s="30"/>
      <c r="Q8" s="30"/>
      <c r="R8" s="30"/>
      <c r="S8" s="30"/>
      <c r="T8" s="30"/>
      <c r="U8" s="30"/>
      <c r="V8" s="30"/>
      <c r="W8" s="30"/>
      <c r="X8" s="475"/>
      <c r="Y8" s="475"/>
      <c r="Z8" s="476"/>
      <c r="AA8" s="451"/>
    </row>
    <row r="9" spans="1:27" s="14" customFormat="1" ht="24">
      <c r="A9" s="7" t="s">
        <v>66</v>
      </c>
      <c r="B9" s="732" t="s">
        <v>1213</v>
      </c>
      <c r="C9" s="647"/>
      <c r="D9" s="647"/>
      <c r="E9" s="647"/>
      <c r="F9" s="647"/>
      <c r="G9" s="647"/>
      <c r="H9" s="647"/>
      <c r="I9" s="132">
        <v>30</v>
      </c>
      <c r="J9" s="133" t="s">
        <v>388</v>
      </c>
      <c r="K9" s="10"/>
      <c r="L9" s="30"/>
      <c r="M9" s="30"/>
      <c r="N9" s="30" t="s">
        <v>246</v>
      </c>
      <c r="O9" s="30" t="s">
        <v>246</v>
      </c>
      <c r="P9" s="30"/>
      <c r="Q9" s="30"/>
      <c r="R9" s="30"/>
      <c r="S9" s="30"/>
      <c r="T9" s="30"/>
      <c r="U9" s="30"/>
      <c r="V9" s="30"/>
      <c r="W9" s="30"/>
      <c r="X9" s="733"/>
      <c r="Y9" s="734"/>
      <c r="Z9" s="735"/>
      <c r="AA9" s="451"/>
    </row>
    <row r="10" spans="1:27" s="14" customFormat="1" ht="24">
      <c r="A10" s="7" t="s">
        <v>68</v>
      </c>
      <c r="B10" s="647" t="s">
        <v>1214</v>
      </c>
      <c r="C10" s="647"/>
      <c r="D10" s="647"/>
      <c r="E10" s="647"/>
      <c r="F10" s="647"/>
      <c r="G10" s="647"/>
      <c r="H10" s="647"/>
      <c r="I10" s="132">
        <v>30</v>
      </c>
      <c r="J10" s="133" t="s">
        <v>1184</v>
      </c>
      <c r="K10" s="10"/>
      <c r="L10" s="30"/>
      <c r="M10" s="30"/>
      <c r="N10" s="30"/>
      <c r="O10" s="30"/>
      <c r="P10" s="30" t="s">
        <v>246</v>
      </c>
      <c r="Q10" s="30"/>
      <c r="R10" s="30"/>
      <c r="S10" s="30"/>
      <c r="T10" s="30"/>
      <c r="U10" s="30"/>
      <c r="V10" s="30"/>
      <c r="W10" s="30"/>
      <c r="X10" s="475"/>
      <c r="Y10" s="475"/>
      <c r="Z10" s="476"/>
      <c r="AA10" s="451"/>
    </row>
    <row r="11" spans="1:27" s="14" customFormat="1" ht="24">
      <c r="A11" s="7" t="s">
        <v>70</v>
      </c>
      <c r="B11" s="647" t="s">
        <v>1215</v>
      </c>
      <c r="C11" s="647"/>
      <c r="D11" s="647"/>
      <c r="E11" s="647"/>
      <c r="F11" s="647"/>
      <c r="G11" s="647"/>
      <c r="H11" s="647"/>
      <c r="I11" s="132">
        <v>25</v>
      </c>
      <c r="J11" s="133" t="s">
        <v>1184</v>
      </c>
      <c r="K11" s="10"/>
      <c r="L11" s="30"/>
      <c r="M11" s="30"/>
      <c r="N11" s="30"/>
      <c r="O11" s="30"/>
      <c r="P11" s="30"/>
      <c r="Q11" s="30" t="s">
        <v>246</v>
      </c>
      <c r="R11" s="30"/>
      <c r="S11" s="30"/>
      <c r="T11" s="30"/>
      <c r="U11" s="30"/>
      <c r="V11" s="30"/>
      <c r="W11" s="30"/>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68"/>
      <c r="Y12" s="468"/>
      <c r="Z12" s="469"/>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75"/>
      <c r="Y13" s="475"/>
      <c r="Z13" s="476"/>
      <c r="AA13" s="451"/>
    </row>
    <row r="14" spans="1:27"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7" s="14" customFormat="1" ht="24">
      <c r="A15" s="7" t="s">
        <v>853</v>
      </c>
      <c r="B15" s="647"/>
      <c r="C15" s="647"/>
      <c r="D15" s="647"/>
      <c r="E15" s="647"/>
      <c r="F15" s="647"/>
      <c r="G15" s="647"/>
      <c r="H15" s="647"/>
      <c r="I15" s="132"/>
      <c r="J15" s="133"/>
      <c r="K15" s="10"/>
      <c r="L15" s="134"/>
      <c r="M15" s="134"/>
      <c r="N15" s="134"/>
      <c r="O15" s="134"/>
      <c r="P15" s="134"/>
      <c r="Q15" s="134"/>
      <c r="R15" s="134"/>
      <c r="S15" s="134"/>
      <c r="T15" s="134"/>
      <c r="U15" s="134"/>
      <c r="V15" s="134"/>
      <c r="W15" s="134"/>
      <c r="X15" s="651"/>
      <c r="Y15" s="651"/>
      <c r="Z15" s="652"/>
      <c r="AA15" s="451"/>
    </row>
    <row r="16" spans="1:27" ht="57.75" customHeight="1">
      <c r="A16" s="488" t="s">
        <v>42</v>
      </c>
      <c r="B16" s="489"/>
      <c r="C16" s="489"/>
      <c r="D16" s="489"/>
      <c r="E16" s="490"/>
      <c r="F16" s="472" t="s">
        <v>43</v>
      </c>
      <c r="G16" s="472"/>
      <c r="H16" s="472"/>
      <c r="I16" s="472"/>
      <c r="J16" s="472"/>
      <c r="K16" s="472" t="s">
        <v>44</v>
      </c>
      <c r="L16" s="472"/>
      <c r="M16" s="472"/>
      <c r="N16" s="472"/>
      <c r="O16" s="491" t="s">
        <v>45</v>
      </c>
      <c r="P16" s="492"/>
      <c r="Q16" s="492"/>
      <c r="R16" s="492"/>
      <c r="S16" s="492"/>
      <c r="T16" s="492"/>
      <c r="U16" s="492"/>
      <c r="V16" s="492"/>
      <c r="W16" s="493"/>
      <c r="X16" s="472" t="s">
        <v>46</v>
      </c>
      <c r="Y16" s="472"/>
      <c r="Z16" s="472"/>
      <c r="AA16" s="451"/>
    </row>
    <row r="17" spans="1:26" s="20" customFormat="1" ht="28.5">
      <c r="A17" s="494"/>
      <c r="B17" s="495"/>
      <c r="C17" s="495"/>
      <c r="D17" s="495"/>
      <c r="E17" s="496"/>
      <c r="F17" s="503"/>
      <c r="G17" s="504"/>
      <c r="H17" s="504"/>
      <c r="I17" s="504"/>
      <c r="J17" s="505"/>
      <c r="K17" s="486" t="s">
        <v>47</v>
      </c>
      <c r="L17" s="486"/>
      <c r="M17" s="486"/>
      <c r="N17" s="486"/>
      <c r="O17" s="477"/>
      <c r="P17" s="478"/>
      <c r="Q17" s="478"/>
      <c r="R17" s="478"/>
      <c r="S17" s="478"/>
      <c r="T17" s="478"/>
      <c r="U17" s="478"/>
      <c r="V17" s="478"/>
      <c r="W17" s="512"/>
      <c r="X17" s="477"/>
      <c r="Y17" s="478"/>
      <c r="Z17" s="479"/>
    </row>
    <row r="18" spans="1:26" s="20" customFormat="1" ht="28.5">
      <c r="A18" s="497"/>
      <c r="B18" s="498"/>
      <c r="C18" s="498"/>
      <c r="D18" s="498"/>
      <c r="E18" s="499"/>
      <c r="F18" s="506"/>
      <c r="G18" s="507"/>
      <c r="H18" s="507"/>
      <c r="I18" s="507"/>
      <c r="J18" s="508"/>
      <c r="K18" s="486"/>
      <c r="L18" s="486"/>
      <c r="M18" s="486"/>
      <c r="N18" s="486"/>
      <c r="O18" s="480"/>
      <c r="P18" s="481"/>
      <c r="Q18" s="481"/>
      <c r="R18" s="481"/>
      <c r="S18" s="481"/>
      <c r="T18" s="481"/>
      <c r="U18" s="481"/>
      <c r="V18" s="481"/>
      <c r="W18" s="513"/>
      <c r="X18" s="480"/>
      <c r="Y18" s="481"/>
      <c r="Z18" s="482"/>
    </row>
    <row r="19" spans="1:26" s="20" customFormat="1" ht="28.5">
      <c r="A19" s="497"/>
      <c r="B19" s="498"/>
      <c r="C19" s="498"/>
      <c r="D19" s="498"/>
      <c r="E19" s="499"/>
      <c r="F19" s="506"/>
      <c r="G19" s="507"/>
      <c r="H19" s="507"/>
      <c r="I19" s="507"/>
      <c r="J19" s="508"/>
      <c r="K19" s="486" t="s">
        <v>48</v>
      </c>
      <c r="L19" s="486"/>
      <c r="M19" s="486"/>
      <c r="N19" s="486"/>
      <c r="O19" s="480"/>
      <c r="P19" s="481"/>
      <c r="Q19" s="481"/>
      <c r="R19" s="481"/>
      <c r="S19" s="481"/>
      <c r="T19" s="481"/>
      <c r="U19" s="481"/>
      <c r="V19" s="481"/>
      <c r="W19" s="513"/>
      <c r="X19" s="480"/>
      <c r="Y19" s="481"/>
      <c r="Z19" s="482"/>
    </row>
    <row r="20" spans="1:26" s="20" customFormat="1" ht="29.25" thickBot="1">
      <c r="A20" s="500"/>
      <c r="B20" s="501"/>
      <c r="C20" s="501"/>
      <c r="D20" s="501"/>
      <c r="E20" s="502"/>
      <c r="F20" s="509"/>
      <c r="G20" s="510"/>
      <c r="H20" s="510"/>
      <c r="I20" s="510"/>
      <c r="J20" s="511"/>
      <c r="K20" s="487"/>
      <c r="L20" s="487"/>
      <c r="M20" s="487"/>
      <c r="N20" s="487"/>
      <c r="O20" s="483"/>
      <c r="P20" s="484"/>
      <c r="Q20" s="484"/>
      <c r="R20" s="484"/>
      <c r="S20" s="484"/>
      <c r="T20" s="484"/>
      <c r="U20" s="484"/>
      <c r="V20" s="484"/>
      <c r="W20" s="514"/>
      <c r="X20" s="483"/>
      <c r="Y20" s="484"/>
      <c r="Z20" s="485"/>
    </row>
    <row r="21" spans="1:26" ht="18.75" thickTop="1"/>
  </sheetData>
  <mergeCells count="46">
    <mergeCell ref="A1:Y1"/>
    <mergeCell ref="AA1:AA16"/>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7:Z20"/>
    <mergeCell ref="K19:K20"/>
    <mergeCell ref="K6:K7"/>
    <mergeCell ref="L6:W6"/>
    <mergeCell ref="X6:Z7"/>
    <mergeCell ref="B8:H8"/>
    <mergeCell ref="X8:Z8"/>
    <mergeCell ref="B9:H9"/>
    <mergeCell ref="X9:Z9"/>
    <mergeCell ref="B11:H11"/>
    <mergeCell ref="X11:Z11"/>
    <mergeCell ref="B12:H12"/>
    <mergeCell ref="X12:Z12"/>
    <mergeCell ref="L19:N20"/>
    <mergeCell ref="B14:H14"/>
    <mergeCell ref="X14:Z14"/>
    <mergeCell ref="B15:H15"/>
    <mergeCell ref="X15:Z15"/>
    <mergeCell ref="A16:E16"/>
    <mergeCell ref="F16:J16"/>
    <mergeCell ref="K16:N16"/>
    <mergeCell ref="O16:W16"/>
    <mergeCell ref="X16:Z16"/>
    <mergeCell ref="A17:E20"/>
    <mergeCell ref="F17:J20"/>
    <mergeCell ref="K17:K18"/>
    <mergeCell ref="L17:N18"/>
    <mergeCell ref="O17:W20"/>
  </mergeCells>
  <printOptions horizontalCentered="1" verticalCentered="1"/>
  <pageMargins left="0" right="0" top="0" bottom="0" header="0" footer="0"/>
  <pageSetup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DF1D-5503-46EA-BD78-0281872BC4AD}">
  <dimension ref="A1:AA21"/>
  <sheetViews>
    <sheetView rightToLeft="1" zoomScale="90" zoomScaleNormal="90" zoomScaleSheetLayoutView="70" workbookViewId="0">
      <selection activeCell="F33" sqref="F3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55.5" customHeight="1">
      <c r="A3" s="455" t="s">
        <v>1201</v>
      </c>
      <c r="B3" s="456"/>
      <c r="C3" s="456"/>
      <c r="D3" s="456"/>
      <c r="E3" s="456"/>
      <c r="F3" s="456"/>
      <c r="G3" s="457" t="s">
        <v>3</v>
      </c>
      <c r="H3" s="457"/>
      <c r="I3" s="458" t="s">
        <v>1202</v>
      </c>
      <c r="J3" s="458"/>
      <c r="K3" s="458"/>
      <c r="L3" s="458"/>
      <c r="M3" s="458"/>
      <c r="N3" s="458"/>
      <c r="O3" s="458"/>
      <c r="P3" s="458"/>
      <c r="Q3" s="458"/>
      <c r="R3" s="458"/>
      <c r="S3" s="458"/>
      <c r="T3" s="458"/>
      <c r="U3" s="458"/>
      <c r="V3" s="458"/>
      <c r="W3" s="458"/>
      <c r="X3" s="458"/>
      <c r="Y3" s="458"/>
      <c r="Z3" s="459"/>
      <c r="AA3" s="451"/>
    </row>
    <row r="4" spans="1:27" s="3" customFormat="1" ht="28.5" customHeight="1">
      <c r="A4" s="460" t="s">
        <v>1182</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479</v>
      </c>
      <c r="H5" s="456"/>
      <c r="I5" s="456" t="s">
        <v>459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1192</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71.25" customHeight="1">
      <c r="A8" s="7" t="s">
        <v>28</v>
      </c>
      <c r="B8" s="736" t="s">
        <v>1203</v>
      </c>
      <c r="C8" s="732"/>
      <c r="D8" s="732"/>
      <c r="E8" s="732"/>
      <c r="F8" s="732"/>
      <c r="G8" s="732"/>
      <c r="H8" s="732"/>
      <c r="I8" s="132">
        <v>20</v>
      </c>
      <c r="J8" s="133" t="s">
        <v>1204</v>
      </c>
      <c r="K8" s="10"/>
      <c r="L8" s="30"/>
      <c r="M8" s="30" t="s">
        <v>246</v>
      </c>
      <c r="N8" s="30" t="s">
        <v>246</v>
      </c>
      <c r="O8" s="30"/>
      <c r="P8" s="30"/>
      <c r="Q8" s="30"/>
      <c r="R8" s="30"/>
      <c r="S8" s="30"/>
      <c r="T8" s="30"/>
      <c r="U8" s="30"/>
      <c r="V8" s="30"/>
      <c r="W8" s="30"/>
      <c r="X8" s="475"/>
      <c r="Y8" s="475"/>
      <c r="Z8" s="476"/>
      <c r="AA8" s="451"/>
    </row>
    <row r="9" spans="1:27" s="14" customFormat="1" ht="67.5">
      <c r="A9" s="7" t="s">
        <v>66</v>
      </c>
      <c r="B9" s="732" t="s">
        <v>1205</v>
      </c>
      <c r="C9" s="647"/>
      <c r="D9" s="647"/>
      <c r="E9" s="647"/>
      <c r="F9" s="647"/>
      <c r="G9" s="647"/>
      <c r="H9" s="647"/>
      <c r="I9" s="132">
        <v>50</v>
      </c>
      <c r="J9" s="133" t="s">
        <v>1206</v>
      </c>
      <c r="K9" s="10"/>
      <c r="L9" s="30"/>
      <c r="M9" s="30"/>
      <c r="N9" s="30" t="s">
        <v>246</v>
      </c>
      <c r="O9" s="30" t="s">
        <v>246</v>
      </c>
      <c r="P9" s="30" t="s">
        <v>246</v>
      </c>
      <c r="Q9" s="30"/>
      <c r="R9" s="30"/>
      <c r="S9" s="30"/>
      <c r="T9" s="30"/>
      <c r="U9" s="30"/>
      <c r="V9" s="30"/>
      <c r="W9" s="30"/>
      <c r="X9" s="733"/>
      <c r="Y9" s="734"/>
      <c r="Z9" s="735"/>
      <c r="AA9" s="451"/>
    </row>
    <row r="10" spans="1:27" s="14" customFormat="1" ht="67.5">
      <c r="A10" s="7" t="s">
        <v>68</v>
      </c>
      <c r="B10" s="647" t="s">
        <v>1207</v>
      </c>
      <c r="C10" s="647"/>
      <c r="D10" s="647"/>
      <c r="E10" s="647"/>
      <c r="F10" s="647"/>
      <c r="G10" s="647"/>
      <c r="H10" s="647"/>
      <c r="I10" s="132">
        <v>15</v>
      </c>
      <c r="J10" s="133" t="s">
        <v>1206</v>
      </c>
      <c r="K10" s="10"/>
      <c r="L10" s="30"/>
      <c r="M10" s="30"/>
      <c r="N10" s="30"/>
      <c r="O10" s="30"/>
      <c r="P10" s="30" t="s">
        <v>246</v>
      </c>
      <c r="Q10" s="30" t="s">
        <v>246</v>
      </c>
      <c r="R10" s="30"/>
      <c r="S10" s="30"/>
      <c r="T10" s="30"/>
      <c r="U10" s="30"/>
      <c r="V10" s="30"/>
      <c r="W10" s="30"/>
      <c r="X10" s="475"/>
      <c r="Y10" s="475"/>
      <c r="Z10" s="476"/>
      <c r="AA10" s="451"/>
    </row>
    <row r="11" spans="1:27" s="14" customFormat="1" ht="67.5">
      <c r="A11" s="7" t="s">
        <v>70</v>
      </c>
      <c r="B11" s="732" t="s">
        <v>1208</v>
      </c>
      <c r="C11" s="732"/>
      <c r="D11" s="732"/>
      <c r="E11" s="732"/>
      <c r="F11" s="732"/>
      <c r="G11" s="732"/>
      <c r="H11" s="732"/>
      <c r="I11" s="132">
        <v>15</v>
      </c>
      <c r="J11" s="133" t="s">
        <v>1206</v>
      </c>
      <c r="K11" s="10"/>
      <c r="L11" s="30"/>
      <c r="M11" s="30"/>
      <c r="N11" s="30"/>
      <c r="O11" s="30"/>
      <c r="P11" s="30" t="s">
        <v>246</v>
      </c>
      <c r="Q11" s="30" t="s">
        <v>246</v>
      </c>
      <c r="R11" s="30"/>
      <c r="S11" s="30"/>
      <c r="T11" s="30"/>
      <c r="U11" s="30"/>
      <c r="V11" s="30"/>
      <c r="W11" s="30"/>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68"/>
      <c r="Y12" s="468"/>
      <c r="Z12" s="469"/>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75"/>
      <c r="Y13" s="475"/>
      <c r="Z13" s="476"/>
      <c r="AA13" s="451"/>
    </row>
    <row r="14" spans="1:27"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7" s="14" customFormat="1" ht="24">
      <c r="A15" s="7" t="s">
        <v>853</v>
      </c>
      <c r="B15" s="647"/>
      <c r="C15" s="647"/>
      <c r="D15" s="647"/>
      <c r="E15" s="647"/>
      <c r="F15" s="647"/>
      <c r="G15" s="647"/>
      <c r="H15" s="647"/>
      <c r="I15" s="132"/>
      <c r="J15" s="133"/>
      <c r="K15" s="10"/>
      <c r="L15" s="134"/>
      <c r="M15" s="134"/>
      <c r="N15" s="134"/>
      <c r="O15" s="134"/>
      <c r="P15" s="134"/>
      <c r="Q15" s="134"/>
      <c r="R15" s="134"/>
      <c r="S15" s="134"/>
      <c r="T15" s="134"/>
      <c r="U15" s="134"/>
      <c r="V15" s="134"/>
      <c r="W15" s="134"/>
      <c r="X15" s="651"/>
      <c r="Y15" s="651"/>
      <c r="Z15" s="652"/>
      <c r="AA15" s="451"/>
    </row>
    <row r="16" spans="1:27" ht="57.75" customHeight="1">
      <c r="A16" s="488" t="s">
        <v>42</v>
      </c>
      <c r="B16" s="489"/>
      <c r="C16" s="489"/>
      <c r="D16" s="489"/>
      <c r="E16" s="490"/>
      <c r="F16" s="472" t="s">
        <v>43</v>
      </c>
      <c r="G16" s="472"/>
      <c r="H16" s="472"/>
      <c r="I16" s="472"/>
      <c r="J16" s="472"/>
      <c r="K16" s="472" t="s">
        <v>44</v>
      </c>
      <c r="L16" s="472"/>
      <c r="M16" s="472"/>
      <c r="N16" s="472"/>
      <c r="O16" s="491" t="s">
        <v>45</v>
      </c>
      <c r="P16" s="492"/>
      <c r="Q16" s="492"/>
      <c r="R16" s="492"/>
      <c r="S16" s="492"/>
      <c r="T16" s="492"/>
      <c r="U16" s="492"/>
      <c r="V16" s="492"/>
      <c r="W16" s="493"/>
      <c r="X16" s="472" t="s">
        <v>46</v>
      </c>
      <c r="Y16" s="472"/>
      <c r="Z16" s="472"/>
      <c r="AA16" s="451"/>
    </row>
    <row r="17" spans="1:26" s="20" customFormat="1" ht="28.5">
      <c r="A17" s="494"/>
      <c r="B17" s="495"/>
      <c r="C17" s="495"/>
      <c r="D17" s="495"/>
      <c r="E17" s="496"/>
      <c r="F17" s="503"/>
      <c r="G17" s="504"/>
      <c r="H17" s="504"/>
      <c r="I17" s="504"/>
      <c r="J17" s="505"/>
      <c r="K17" s="486" t="s">
        <v>47</v>
      </c>
      <c r="L17" s="486"/>
      <c r="M17" s="486"/>
      <c r="N17" s="486"/>
      <c r="O17" s="477"/>
      <c r="P17" s="478"/>
      <c r="Q17" s="478"/>
      <c r="R17" s="478"/>
      <c r="S17" s="478"/>
      <c r="T17" s="478"/>
      <c r="U17" s="478"/>
      <c r="V17" s="478"/>
      <c r="W17" s="512"/>
      <c r="X17" s="477"/>
      <c r="Y17" s="478"/>
      <c r="Z17" s="479"/>
    </row>
    <row r="18" spans="1:26" s="20" customFormat="1" ht="28.5">
      <c r="A18" s="497"/>
      <c r="B18" s="498"/>
      <c r="C18" s="498"/>
      <c r="D18" s="498"/>
      <c r="E18" s="499"/>
      <c r="F18" s="506"/>
      <c r="G18" s="507"/>
      <c r="H18" s="507"/>
      <c r="I18" s="507"/>
      <c r="J18" s="508"/>
      <c r="K18" s="486"/>
      <c r="L18" s="486"/>
      <c r="M18" s="486"/>
      <c r="N18" s="486"/>
      <c r="O18" s="480"/>
      <c r="P18" s="481"/>
      <c r="Q18" s="481"/>
      <c r="R18" s="481"/>
      <c r="S18" s="481"/>
      <c r="T18" s="481"/>
      <c r="U18" s="481"/>
      <c r="V18" s="481"/>
      <c r="W18" s="513"/>
      <c r="X18" s="480"/>
      <c r="Y18" s="481"/>
      <c r="Z18" s="482"/>
    </row>
    <row r="19" spans="1:26" s="20" customFormat="1" ht="28.5">
      <c r="A19" s="497"/>
      <c r="B19" s="498"/>
      <c r="C19" s="498"/>
      <c r="D19" s="498"/>
      <c r="E19" s="499"/>
      <c r="F19" s="506"/>
      <c r="G19" s="507"/>
      <c r="H19" s="507"/>
      <c r="I19" s="507"/>
      <c r="J19" s="508"/>
      <c r="K19" s="486" t="s">
        <v>48</v>
      </c>
      <c r="L19" s="486"/>
      <c r="M19" s="486"/>
      <c r="N19" s="486"/>
      <c r="O19" s="480"/>
      <c r="P19" s="481"/>
      <c r="Q19" s="481"/>
      <c r="R19" s="481"/>
      <c r="S19" s="481"/>
      <c r="T19" s="481"/>
      <c r="U19" s="481"/>
      <c r="V19" s="481"/>
      <c r="W19" s="513"/>
      <c r="X19" s="480"/>
      <c r="Y19" s="481"/>
      <c r="Z19" s="482"/>
    </row>
    <row r="20" spans="1:26" s="20" customFormat="1" ht="29.25" thickBot="1">
      <c r="A20" s="500"/>
      <c r="B20" s="501"/>
      <c r="C20" s="501"/>
      <c r="D20" s="501"/>
      <c r="E20" s="502"/>
      <c r="F20" s="509"/>
      <c r="G20" s="510"/>
      <c r="H20" s="510"/>
      <c r="I20" s="510"/>
      <c r="J20" s="511"/>
      <c r="K20" s="487"/>
      <c r="L20" s="487"/>
      <c r="M20" s="487"/>
      <c r="N20" s="487"/>
      <c r="O20" s="483"/>
      <c r="P20" s="484"/>
      <c r="Q20" s="484"/>
      <c r="R20" s="484"/>
      <c r="S20" s="484"/>
      <c r="T20" s="484"/>
      <c r="U20" s="484"/>
      <c r="V20" s="484"/>
      <c r="W20" s="514"/>
      <c r="X20" s="483"/>
      <c r="Y20" s="484"/>
      <c r="Z20" s="485"/>
    </row>
    <row r="21" spans="1:26" ht="18.75" thickTop="1"/>
  </sheetData>
  <mergeCells count="46">
    <mergeCell ref="A1:Y1"/>
    <mergeCell ref="AA1:AA16"/>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7:Z20"/>
    <mergeCell ref="K19:K20"/>
    <mergeCell ref="K6:K7"/>
    <mergeCell ref="L6:W6"/>
    <mergeCell ref="X6:Z7"/>
    <mergeCell ref="B8:H8"/>
    <mergeCell ref="X8:Z8"/>
    <mergeCell ref="B9:H9"/>
    <mergeCell ref="X9:Z9"/>
    <mergeCell ref="B11:H11"/>
    <mergeCell ref="X11:Z11"/>
    <mergeCell ref="B12:H12"/>
    <mergeCell ref="X12:Z12"/>
    <mergeCell ref="L19:N20"/>
    <mergeCell ref="B14:H14"/>
    <mergeCell ref="X14:Z14"/>
    <mergeCell ref="B15:H15"/>
    <mergeCell ref="X15:Z15"/>
    <mergeCell ref="A16:E16"/>
    <mergeCell ref="F16:J16"/>
    <mergeCell ref="K16:N16"/>
    <mergeCell ref="O16:W16"/>
    <mergeCell ref="X16:Z16"/>
    <mergeCell ref="A17:E20"/>
    <mergeCell ref="F17:J20"/>
    <mergeCell ref="K17:K18"/>
    <mergeCell ref="L17:N18"/>
    <mergeCell ref="O17:W20"/>
  </mergeCells>
  <printOptions horizontalCentered="1" verticalCentered="1"/>
  <pageMargins left="0" right="0" top="0" bottom="0" header="0" footer="0"/>
  <pageSetup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19B6-60AB-4CB2-8376-0707A2316E64}">
  <dimension ref="A1:AA21"/>
  <sheetViews>
    <sheetView rightToLeft="1" view="pageBreakPreview" zoomScale="70" zoomScaleNormal="90" zoomScaleSheetLayoutView="70" workbookViewId="0">
      <selection activeCell="AE6" sqref="AE6"/>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55.5" customHeight="1">
      <c r="A3" s="455" t="s">
        <v>1200</v>
      </c>
      <c r="B3" s="456"/>
      <c r="C3" s="456"/>
      <c r="D3" s="456"/>
      <c r="E3" s="456"/>
      <c r="F3" s="456"/>
      <c r="G3" s="457" t="s">
        <v>3</v>
      </c>
      <c r="H3" s="457"/>
      <c r="I3" s="730" t="s">
        <v>1199</v>
      </c>
      <c r="J3" s="730"/>
      <c r="K3" s="730"/>
      <c r="L3" s="730"/>
      <c r="M3" s="730"/>
      <c r="N3" s="730"/>
      <c r="O3" s="730"/>
      <c r="P3" s="730"/>
      <c r="Q3" s="730"/>
      <c r="R3" s="730"/>
      <c r="S3" s="730"/>
      <c r="T3" s="730"/>
      <c r="U3" s="730"/>
      <c r="V3" s="730"/>
      <c r="W3" s="730"/>
      <c r="X3" s="730"/>
      <c r="Y3" s="730"/>
      <c r="Z3" s="731"/>
      <c r="AA3" s="451"/>
    </row>
    <row r="4" spans="1:27" s="3" customFormat="1" ht="28.5" customHeight="1">
      <c r="A4" s="460" t="s">
        <v>1182</v>
      </c>
      <c r="B4" s="461"/>
      <c r="C4" s="461"/>
      <c r="D4" s="461"/>
      <c r="E4" s="461"/>
      <c r="F4" s="462"/>
      <c r="G4" s="457" t="s">
        <v>144</v>
      </c>
      <c r="H4" s="457"/>
      <c r="I4" s="730"/>
      <c r="J4" s="730"/>
      <c r="K4" s="730"/>
      <c r="L4" s="730"/>
      <c r="M4" s="730"/>
      <c r="N4" s="730"/>
      <c r="O4" s="730"/>
      <c r="P4" s="730"/>
      <c r="Q4" s="730"/>
      <c r="R4" s="730"/>
      <c r="S4" s="730"/>
      <c r="T4" s="730"/>
      <c r="U4" s="730"/>
      <c r="V4" s="730"/>
      <c r="W4" s="730"/>
      <c r="X4" s="730"/>
      <c r="Y4" s="730"/>
      <c r="Z4" s="731"/>
      <c r="AA4" s="451"/>
    </row>
    <row r="5" spans="1:27" s="3" customFormat="1" ht="28.5" customHeight="1">
      <c r="A5" s="463"/>
      <c r="B5" s="464"/>
      <c r="C5" s="464"/>
      <c r="D5" s="464"/>
      <c r="E5" s="464"/>
      <c r="F5" s="465"/>
      <c r="G5" s="456" t="s">
        <v>479</v>
      </c>
      <c r="H5" s="456"/>
      <c r="I5" s="456" t="s">
        <v>459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1192</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1198</v>
      </c>
      <c r="C8" s="647"/>
      <c r="D8" s="647"/>
      <c r="E8" s="647"/>
      <c r="F8" s="647"/>
      <c r="G8" s="647"/>
      <c r="H8" s="647"/>
      <c r="I8" s="132">
        <v>30</v>
      </c>
      <c r="J8" s="133" t="s">
        <v>1197</v>
      </c>
      <c r="K8" s="10"/>
      <c r="L8" s="30"/>
      <c r="M8" s="30" t="s">
        <v>246</v>
      </c>
      <c r="N8" s="30" t="s">
        <v>246</v>
      </c>
      <c r="O8" s="30"/>
      <c r="P8" s="30"/>
      <c r="Q8" s="30"/>
      <c r="R8" s="30"/>
      <c r="S8" s="30"/>
      <c r="T8" s="30"/>
      <c r="U8" s="30"/>
      <c r="V8" s="30"/>
      <c r="W8" s="30"/>
      <c r="X8" s="475"/>
      <c r="Y8" s="475"/>
      <c r="Z8" s="476"/>
      <c r="AA8" s="451"/>
    </row>
    <row r="9" spans="1:27" s="14" customFormat="1" ht="24">
      <c r="A9" s="7" t="s">
        <v>66</v>
      </c>
      <c r="B9" s="732" t="s">
        <v>1196</v>
      </c>
      <c r="C9" s="647"/>
      <c r="D9" s="647"/>
      <c r="E9" s="647"/>
      <c r="F9" s="647"/>
      <c r="G9" s="647"/>
      <c r="H9" s="647"/>
      <c r="I9" s="132">
        <v>55</v>
      </c>
      <c r="J9" s="133" t="s">
        <v>1184</v>
      </c>
      <c r="K9" s="10"/>
      <c r="L9" s="30"/>
      <c r="M9" s="30"/>
      <c r="N9" s="30" t="s">
        <v>246</v>
      </c>
      <c r="O9" s="30" t="s">
        <v>246</v>
      </c>
      <c r="P9" s="30" t="s">
        <v>246</v>
      </c>
      <c r="Q9" s="30"/>
      <c r="R9" s="30"/>
      <c r="S9" s="30"/>
      <c r="T9" s="30"/>
      <c r="U9" s="30"/>
      <c r="V9" s="30"/>
      <c r="W9" s="30"/>
      <c r="X9" s="733"/>
      <c r="Y9" s="734"/>
      <c r="Z9" s="735"/>
      <c r="AA9" s="451"/>
    </row>
    <row r="10" spans="1:27" s="14" customFormat="1" ht="24">
      <c r="A10" s="7" t="s">
        <v>68</v>
      </c>
      <c r="B10" s="647" t="s">
        <v>1195</v>
      </c>
      <c r="C10" s="647"/>
      <c r="D10" s="647"/>
      <c r="E10" s="647"/>
      <c r="F10" s="647"/>
      <c r="G10" s="647"/>
      <c r="H10" s="647"/>
      <c r="I10" s="132">
        <v>15</v>
      </c>
      <c r="J10" s="133" t="s">
        <v>1184</v>
      </c>
      <c r="K10" s="10"/>
      <c r="L10" s="30"/>
      <c r="M10" s="30"/>
      <c r="N10" s="30"/>
      <c r="O10" s="30"/>
      <c r="P10" s="30" t="s">
        <v>246</v>
      </c>
      <c r="Q10" s="30" t="s">
        <v>246</v>
      </c>
      <c r="R10" s="30"/>
      <c r="S10" s="30"/>
      <c r="T10" s="30"/>
      <c r="U10" s="30"/>
      <c r="V10" s="30"/>
      <c r="W10" s="30"/>
      <c r="X10" s="475"/>
      <c r="Y10" s="475"/>
      <c r="Z10" s="476"/>
      <c r="AA10" s="451"/>
    </row>
    <row r="11" spans="1:27" s="14" customFormat="1" ht="24">
      <c r="A11" s="7" t="s">
        <v>70</v>
      </c>
      <c r="B11" s="647"/>
      <c r="C11" s="647"/>
      <c r="D11" s="647"/>
      <c r="E11" s="647"/>
      <c r="F11" s="647"/>
      <c r="G11" s="647"/>
      <c r="H11" s="647"/>
      <c r="I11" s="132"/>
      <c r="J11" s="133"/>
      <c r="K11" s="10"/>
      <c r="L11" s="30"/>
      <c r="M11" s="30"/>
      <c r="N11" s="30"/>
      <c r="O11" s="30"/>
      <c r="P11" s="30"/>
      <c r="Q11" s="30"/>
      <c r="R11" s="30"/>
      <c r="S11" s="30"/>
      <c r="T11" s="30"/>
      <c r="U11" s="30"/>
      <c r="V11" s="30"/>
      <c r="W11" s="30"/>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68"/>
      <c r="Y12" s="468"/>
      <c r="Z12" s="469"/>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75"/>
      <c r="Y13" s="475"/>
      <c r="Z13" s="476"/>
      <c r="AA13" s="451"/>
    </row>
    <row r="14" spans="1:27"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7" s="14" customFormat="1" ht="24">
      <c r="A15" s="7" t="s">
        <v>853</v>
      </c>
      <c r="B15" s="647"/>
      <c r="C15" s="647"/>
      <c r="D15" s="647"/>
      <c r="E15" s="647"/>
      <c r="F15" s="647"/>
      <c r="G15" s="647"/>
      <c r="H15" s="647"/>
      <c r="I15" s="132"/>
      <c r="J15" s="133"/>
      <c r="K15" s="10"/>
      <c r="L15" s="134"/>
      <c r="M15" s="134"/>
      <c r="N15" s="134"/>
      <c r="O15" s="134"/>
      <c r="P15" s="134"/>
      <c r="Q15" s="134"/>
      <c r="R15" s="134"/>
      <c r="S15" s="134"/>
      <c r="T15" s="134"/>
      <c r="U15" s="134"/>
      <c r="V15" s="134"/>
      <c r="W15" s="134"/>
      <c r="X15" s="651"/>
      <c r="Y15" s="651"/>
      <c r="Z15" s="652"/>
      <c r="AA15" s="451"/>
    </row>
    <row r="16" spans="1:27" ht="57.75" customHeight="1">
      <c r="A16" s="488" t="s">
        <v>42</v>
      </c>
      <c r="B16" s="489"/>
      <c r="C16" s="489"/>
      <c r="D16" s="489"/>
      <c r="E16" s="490"/>
      <c r="F16" s="472" t="s">
        <v>43</v>
      </c>
      <c r="G16" s="472"/>
      <c r="H16" s="472"/>
      <c r="I16" s="472"/>
      <c r="J16" s="472"/>
      <c r="K16" s="472" t="s">
        <v>44</v>
      </c>
      <c r="L16" s="472"/>
      <c r="M16" s="472"/>
      <c r="N16" s="472"/>
      <c r="O16" s="491" t="s">
        <v>45</v>
      </c>
      <c r="P16" s="492"/>
      <c r="Q16" s="492"/>
      <c r="R16" s="492"/>
      <c r="S16" s="492"/>
      <c r="T16" s="492"/>
      <c r="U16" s="492"/>
      <c r="V16" s="492"/>
      <c r="W16" s="493"/>
      <c r="X16" s="472" t="s">
        <v>46</v>
      </c>
      <c r="Y16" s="472"/>
      <c r="Z16" s="472"/>
      <c r="AA16" s="451"/>
    </row>
    <row r="17" spans="1:26" s="20" customFormat="1" ht="28.5">
      <c r="A17" s="494"/>
      <c r="B17" s="495"/>
      <c r="C17" s="495"/>
      <c r="D17" s="495"/>
      <c r="E17" s="496"/>
      <c r="F17" s="503"/>
      <c r="G17" s="504"/>
      <c r="H17" s="504"/>
      <c r="I17" s="504"/>
      <c r="J17" s="505"/>
      <c r="K17" s="486" t="s">
        <v>47</v>
      </c>
      <c r="L17" s="486"/>
      <c r="M17" s="486"/>
      <c r="N17" s="486"/>
      <c r="O17" s="477"/>
      <c r="P17" s="478"/>
      <c r="Q17" s="478"/>
      <c r="R17" s="478"/>
      <c r="S17" s="478"/>
      <c r="T17" s="478"/>
      <c r="U17" s="478"/>
      <c r="V17" s="478"/>
      <c r="W17" s="512"/>
      <c r="X17" s="477"/>
      <c r="Y17" s="478"/>
      <c r="Z17" s="479"/>
    </row>
    <row r="18" spans="1:26" s="20" customFormat="1" ht="28.5">
      <c r="A18" s="497"/>
      <c r="B18" s="498"/>
      <c r="C18" s="498"/>
      <c r="D18" s="498"/>
      <c r="E18" s="499"/>
      <c r="F18" s="506"/>
      <c r="G18" s="507"/>
      <c r="H18" s="507"/>
      <c r="I18" s="507"/>
      <c r="J18" s="508"/>
      <c r="K18" s="486"/>
      <c r="L18" s="486"/>
      <c r="M18" s="486"/>
      <c r="N18" s="486"/>
      <c r="O18" s="480"/>
      <c r="P18" s="481"/>
      <c r="Q18" s="481"/>
      <c r="R18" s="481"/>
      <c r="S18" s="481"/>
      <c r="T18" s="481"/>
      <c r="U18" s="481"/>
      <c r="V18" s="481"/>
      <c r="W18" s="513"/>
      <c r="X18" s="480"/>
      <c r="Y18" s="481"/>
      <c r="Z18" s="482"/>
    </row>
    <row r="19" spans="1:26" s="20" customFormat="1" ht="28.5">
      <c r="A19" s="497"/>
      <c r="B19" s="498"/>
      <c r="C19" s="498"/>
      <c r="D19" s="498"/>
      <c r="E19" s="499"/>
      <c r="F19" s="506"/>
      <c r="G19" s="507"/>
      <c r="H19" s="507"/>
      <c r="I19" s="507"/>
      <c r="J19" s="508"/>
      <c r="K19" s="486" t="s">
        <v>48</v>
      </c>
      <c r="L19" s="486"/>
      <c r="M19" s="486"/>
      <c r="N19" s="486"/>
      <c r="O19" s="480"/>
      <c r="P19" s="481"/>
      <c r="Q19" s="481"/>
      <c r="R19" s="481"/>
      <c r="S19" s="481"/>
      <c r="T19" s="481"/>
      <c r="U19" s="481"/>
      <c r="V19" s="481"/>
      <c r="W19" s="513"/>
      <c r="X19" s="480"/>
      <c r="Y19" s="481"/>
      <c r="Z19" s="482"/>
    </row>
    <row r="20" spans="1:26" s="20" customFormat="1" ht="29.25" thickBot="1">
      <c r="A20" s="500"/>
      <c r="B20" s="501"/>
      <c r="C20" s="501"/>
      <c r="D20" s="501"/>
      <c r="E20" s="502"/>
      <c r="F20" s="509"/>
      <c r="G20" s="510"/>
      <c r="H20" s="510"/>
      <c r="I20" s="510"/>
      <c r="J20" s="511"/>
      <c r="K20" s="487"/>
      <c r="L20" s="487"/>
      <c r="M20" s="487"/>
      <c r="N20" s="487"/>
      <c r="O20" s="483"/>
      <c r="P20" s="484"/>
      <c r="Q20" s="484"/>
      <c r="R20" s="484"/>
      <c r="S20" s="484"/>
      <c r="T20" s="484"/>
      <c r="U20" s="484"/>
      <c r="V20" s="484"/>
      <c r="W20" s="514"/>
      <c r="X20" s="483"/>
      <c r="Y20" s="484"/>
      <c r="Z20" s="485"/>
    </row>
    <row r="21" spans="1:26" ht="18.75" thickTop="1"/>
  </sheetData>
  <mergeCells count="46">
    <mergeCell ref="AA1:AA16"/>
    <mergeCell ref="A2:Z2"/>
    <mergeCell ref="A3:F3"/>
    <mergeCell ref="G3:H3"/>
    <mergeCell ref="I3:Z4"/>
    <mergeCell ref="G4:H4"/>
    <mergeCell ref="G5:H5"/>
    <mergeCell ref="I5:Z5"/>
    <mergeCell ref="A6:A7"/>
    <mergeCell ref="B6:H7"/>
    <mergeCell ref="I6:I7"/>
    <mergeCell ref="J6:J7"/>
    <mergeCell ref="K6:K7"/>
    <mergeCell ref="X6:Z7"/>
    <mergeCell ref="B8:H8"/>
    <mergeCell ref="X8:Z8"/>
    <mergeCell ref="L6:W6"/>
    <mergeCell ref="B9:H9"/>
    <mergeCell ref="X9:Z9"/>
    <mergeCell ref="A1:Y1"/>
    <mergeCell ref="F17:J20"/>
    <mergeCell ref="A16:E16"/>
    <mergeCell ref="A17:E20"/>
    <mergeCell ref="A4:F5"/>
    <mergeCell ref="B14:H14"/>
    <mergeCell ref="X14:Z14"/>
    <mergeCell ref="K17:K18"/>
    <mergeCell ref="B11:H11"/>
    <mergeCell ref="X11:Z11"/>
    <mergeCell ref="B12:H12"/>
    <mergeCell ref="X12:Z12"/>
    <mergeCell ref="B13:H13"/>
    <mergeCell ref="X13:Z13"/>
    <mergeCell ref="B10:H10"/>
    <mergeCell ref="X10:Z10"/>
    <mergeCell ref="L17:N18"/>
    <mergeCell ref="K19:K20"/>
    <mergeCell ref="L19:N20"/>
    <mergeCell ref="B15:H15"/>
    <mergeCell ref="X15:Z15"/>
    <mergeCell ref="F16:J16"/>
    <mergeCell ref="K16:N16"/>
    <mergeCell ref="X17:Z20"/>
    <mergeCell ref="O16:W16"/>
    <mergeCell ref="O17:W20"/>
    <mergeCell ref="X16:Z16"/>
  </mergeCells>
  <printOptions horizontalCentered="1" verticalCentered="1"/>
  <pageMargins left="0" right="0" top="0" bottom="0" header="0" footer="0"/>
  <pageSetup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D850-BF8A-48A2-9DFB-05BD1F11DE85}">
  <dimension ref="A1:AA20"/>
  <sheetViews>
    <sheetView rightToLeft="1" view="pageBreakPreview" zoomScale="70" zoomScaleNormal="90" zoomScaleSheetLayoutView="70" workbookViewId="0">
      <selection activeCell="F16" sqref="F16:J1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1194</v>
      </c>
      <c r="B3" s="456"/>
      <c r="C3" s="456"/>
      <c r="D3" s="456"/>
      <c r="E3" s="456"/>
      <c r="F3" s="456"/>
      <c r="G3" s="457" t="s">
        <v>3</v>
      </c>
      <c r="H3" s="457"/>
      <c r="I3" s="458" t="s">
        <v>1193</v>
      </c>
      <c r="J3" s="458"/>
      <c r="K3" s="458"/>
      <c r="L3" s="458"/>
      <c r="M3" s="458"/>
      <c r="N3" s="458"/>
      <c r="O3" s="458"/>
      <c r="P3" s="458"/>
      <c r="Q3" s="458"/>
      <c r="R3" s="458"/>
      <c r="S3" s="458"/>
      <c r="T3" s="458"/>
      <c r="U3" s="458"/>
      <c r="V3" s="458"/>
      <c r="W3" s="458"/>
      <c r="X3" s="458"/>
      <c r="Y3" s="458"/>
      <c r="Z3" s="459"/>
      <c r="AA3" s="451"/>
    </row>
    <row r="4" spans="1:27" s="3" customFormat="1" ht="28.5" customHeight="1">
      <c r="A4" s="460" t="s">
        <v>143</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395</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1192</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45">
      <c r="A8" s="7" t="s">
        <v>28</v>
      </c>
      <c r="B8" s="647" t="s">
        <v>1191</v>
      </c>
      <c r="C8" s="647"/>
      <c r="D8" s="647"/>
      <c r="E8" s="647"/>
      <c r="F8" s="647"/>
      <c r="G8" s="647"/>
      <c r="H8" s="647"/>
      <c r="I8" s="132">
        <v>20</v>
      </c>
      <c r="J8" s="133" t="s">
        <v>1190</v>
      </c>
      <c r="K8" s="10"/>
      <c r="L8" s="30"/>
      <c r="M8" s="30"/>
      <c r="N8" s="30" t="s">
        <v>246</v>
      </c>
      <c r="O8" s="30" t="s">
        <v>246</v>
      </c>
      <c r="P8" s="30"/>
      <c r="Q8" s="30"/>
      <c r="R8" s="30"/>
      <c r="S8" s="30"/>
      <c r="T8" s="30"/>
      <c r="U8" s="30"/>
      <c r="V8" s="30"/>
      <c r="W8" s="30"/>
      <c r="X8" s="475"/>
      <c r="Y8" s="475"/>
      <c r="Z8" s="476"/>
      <c r="AA8" s="451"/>
    </row>
    <row r="9" spans="1:27" s="14" customFormat="1" ht="24">
      <c r="A9" s="7" t="s">
        <v>66</v>
      </c>
      <c r="B9" s="647" t="s">
        <v>1189</v>
      </c>
      <c r="C9" s="647"/>
      <c r="D9" s="647"/>
      <c r="E9" s="647"/>
      <c r="F9" s="647"/>
      <c r="G9" s="647"/>
      <c r="H9" s="647"/>
      <c r="I9" s="132">
        <v>40</v>
      </c>
      <c r="J9" s="133" t="s">
        <v>1184</v>
      </c>
      <c r="K9" s="10"/>
      <c r="L9" s="30"/>
      <c r="M9" s="30"/>
      <c r="N9" s="30"/>
      <c r="O9" s="30" t="s">
        <v>246</v>
      </c>
      <c r="P9" s="30" t="s">
        <v>246</v>
      </c>
      <c r="Q9" s="30" t="s">
        <v>246</v>
      </c>
      <c r="R9" s="30"/>
      <c r="S9" s="30"/>
      <c r="T9" s="30" t="s">
        <v>246</v>
      </c>
      <c r="U9" s="30"/>
      <c r="V9" s="30"/>
      <c r="W9" s="30" t="s">
        <v>246</v>
      </c>
      <c r="X9" s="475"/>
      <c r="Y9" s="475"/>
      <c r="Z9" s="476"/>
      <c r="AA9" s="451"/>
    </row>
    <row r="10" spans="1:27" s="14" customFormat="1" ht="24">
      <c r="A10" s="7" t="s">
        <v>68</v>
      </c>
      <c r="B10" s="647" t="s">
        <v>1188</v>
      </c>
      <c r="C10" s="647"/>
      <c r="D10" s="647"/>
      <c r="E10" s="647"/>
      <c r="F10" s="647"/>
      <c r="G10" s="647"/>
      <c r="H10" s="647"/>
      <c r="I10" s="132">
        <v>15</v>
      </c>
      <c r="J10" s="133" t="s">
        <v>1184</v>
      </c>
      <c r="K10" s="10"/>
      <c r="L10" s="30"/>
      <c r="M10" s="30"/>
      <c r="N10" s="30"/>
      <c r="O10" s="30"/>
      <c r="P10" s="30"/>
      <c r="Q10" s="30" t="s">
        <v>246</v>
      </c>
      <c r="R10" s="30"/>
      <c r="S10" s="30"/>
      <c r="T10" s="30"/>
      <c r="U10" s="30" t="s">
        <v>246</v>
      </c>
      <c r="V10" s="30"/>
      <c r="W10" s="30" t="s">
        <v>246</v>
      </c>
      <c r="X10" s="468"/>
      <c r="Y10" s="468"/>
      <c r="Z10" s="469"/>
      <c r="AA10" s="451"/>
    </row>
    <row r="11" spans="1:27" s="14" customFormat="1" ht="24">
      <c r="A11" s="7" t="s">
        <v>70</v>
      </c>
      <c r="B11" s="647" t="s">
        <v>1187</v>
      </c>
      <c r="C11" s="647"/>
      <c r="D11" s="647"/>
      <c r="E11" s="647"/>
      <c r="F11" s="647"/>
      <c r="G11" s="647"/>
      <c r="H11" s="647"/>
      <c r="I11" s="132">
        <v>15</v>
      </c>
      <c r="J11" s="133" t="s">
        <v>1184</v>
      </c>
      <c r="K11" s="10"/>
      <c r="L11" s="30"/>
      <c r="M11" s="30"/>
      <c r="N11" s="30"/>
      <c r="O11" s="30"/>
      <c r="P11" s="30"/>
      <c r="Q11" s="30" t="s">
        <v>246</v>
      </c>
      <c r="R11" s="30"/>
      <c r="S11" s="30"/>
      <c r="T11" s="30"/>
      <c r="U11" s="30" t="s">
        <v>246</v>
      </c>
      <c r="V11" s="30"/>
      <c r="W11" s="30" t="s">
        <v>246</v>
      </c>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G4:H4"/>
    <mergeCell ref="G5:H5"/>
    <mergeCell ref="I5:Z5"/>
    <mergeCell ref="A6:A7"/>
    <mergeCell ref="B6:H7"/>
    <mergeCell ref="I6:I7"/>
    <mergeCell ref="J6:J7"/>
    <mergeCell ref="K6:K7"/>
    <mergeCell ref="X6:Z7"/>
    <mergeCell ref="B8:H8"/>
    <mergeCell ref="X8:Z8"/>
    <mergeCell ref="L6:W6"/>
    <mergeCell ref="X11:Z11"/>
    <mergeCell ref="B12:H12"/>
    <mergeCell ref="X12:Z12"/>
    <mergeCell ref="O15:W15"/>
    <mergeCell ref="O16:W19"/>
    <mergeCell ref="X15:Z15"/>
    <mergeCell ref="B9:H9"/>
    <mergeCell ref="X9:Z9"/>
    <mergeCell ref="X16:Z19"/>
    <mergeCell ref="F15:J15"/>
    <mergeCell ref="K15:N15"/>
    <mergeCell ref="A1:Y1"/>
    <mergeCell ref="F16:J19"/>
    <mergeCell ref="A15:E15"/>
    <mergeCell ref="A16:E19"/>
    <mergeCell ref="A4:F5"/>
    <mergeCell ref="B13:H13"/>
    <mergeCell ref="X13:Z13"/>
    <mergeCell ref="L16:N17"/>
    <mergeCell ref="K18:K19"/>
    <mergeCell ref="K16:K17"/>
    <mergeCell ref="B10:H10"/>
    <mergeCell ref="X10:Z10"/>
    <mergeCell ref="B11:H11"/>
    <mergeCell ref="L18:N19"/>
    <mergeCell ref="B14:H14"/>
    <mergeCell ref="X14:Z14"/>
  </mergeCells>
  <printOptions horizontalCentered="1" verticalCentered="1"/>
  <pageMargins left="0" right="0" top="0" bottom="0" header="0" footer="0"/>
  <pageSetup scale="4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0A3A-978B-4913-B064-27FDDDADF934}">
  <dimension ref="A1:AA20"/>
  <sheetViews>
    <sheetView rightToLeft="1" zoomScale="80" zoomScaleNormal="80" zoomScaleSheetLayoutView="80" workbookViewId="0">
      <selection activeCell="A16" sqref="A16:E1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54" customHeight="1">
      <c r="A3" s="455" t="s">
        <v>1180</v>
      </c>
      <c r="B3" s="456"/>
      <c r="C3" s="456"/>
      <c r="D3" s="456"/>
      <c r="E3" s="456"/>
      <c r="F3" s="456"/>
      <c r="G3" s="457" t="s">
        <v>3</v>
      </c>
      <c r="H3" s="457"/>
      <c r="I3" s="458" t="s">
        <v>1181</v>
      </c>
      <c r="J3" s="458"/>
      <c r="K3" s="458"/>
      <c r="L3" s="458"/>
      <c r="M3" s="458"/>
      <c r="N3" s="458"/>
      <c r="O3" s="458"/>
      <c r="P3" s="458"/>
      <c r="Q3" s="458"/>
      <c r="R3" s="458"/>
      <c r="S3" s="458"/>
      <c r="T3" s="458"/>
      <c r="U3" s="458"/>
      <c r="V3" s="458"/>
      <c r="W3" s="458"/>
      <c r="X3" s="458"/>
      <c r="Y3" s="458"/>
      <c r="Z3" s="459"/>
      <c r="AA3" s="451"/>
    </row>
    <row r="4" spans="1:27" s="3" customFormat="1" ht="28.5" customHeight="1">
      <c r="A4" s="460" t="s">
        <v>1182</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395</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1183</v>
      </c>
      <c r="C8" s="647"/>
      <c r="D8" s="647"/>
      <c r="E8" s="647"/>
      <c r="F8" s="647"/>
      <c r="G8" s="647"/>
      <c r="H8" s="647"/>
      <c r="I8" s="132">
        <v>10</v>
      </c>
      <c r="J8" s="133" t="s">
        <v>1184</v>
      </c>
      <c r="K8" s="10"/>
      <c r="L8" s="30"/>
      <c r="M8" s="30"/>
      <c r="N8" s="30" t="s">
        <v>246</v>
      </c>
      <c r="O8" s="30" t="s">
        <v>246</v>
      </c>
      <c r="P8" s="30"/>
      <c r="Q8" s="30" t="s">
        <v>246</v>
      </c>
      <c r="R8" s="30"/>
      <c r="S8" s="30"/>
      <c r="T8" s="30" t="s">
        <v>246</v>
      </c>
      <c r="U8" s="30"/>
      <c r="V8" s="30"/>
      <c r="W8" s="30" t="s">
        <v>246</v>
      </c>
      <c r="X8" s="475"/>
      <c r="Y8" s="475"/>
      <c r="Z8" s="476"/>
      <c r="AA8" s="451"/>
    </row>
    <row r="9" spans="1:27" s="14" customFormat="1" ht="24">
      <c r="A9" s="7" t="s">
        <v>66</v>
      </c>
      <c r="B9" s="647" t="s">
        <v>1185</v>
      </c>
      <c r="C9" s="647"/>
      <c r="D9" s="647"/>
      <c r="E9" s="647"/>
      <c r="F9" s="647"/>
      <c r="G9" s="647"/>
      <c r="H9" s="647"/>
      <c r="I9" s="132">
        <v>40</v>
      </c>
      <c r="J9" s="133" t="s">
        <v>1186</v>
      </c>
      <c r="K9" s="10"/>
      <c r="L9" s="30"/>
      <c r="M9" s="30"/>
      <c r="N9" s="30"/>
      <c r="O9" s="30" t="s">
        <v>246</v>
      </c>
      <c r="P9" s="30"/>
      <c r="Q9" s="30" t="s">
        <v>246</v>
      </c>
      <c r="R9" s="30"/>
      <c r="S9" s="30"/>
      <c r="T9" s="30" t="s">
        <v>246</v>
      </c>
      <c r="U9" s="30"/>
      <c r="V9" s="30"/>
      <c r="W9" s="30" t="s">
        <v>246</v>
      </c>
      <c r="X9" s="475"/>
      <c r="Y9" s="475"/>
      <c r="Z9" s="476"/>
      <c r="AA9" s="451"/>
    </row>
    <row r="10" spans="1:27" s="14" customFormat="1" ht="24">
      <c r="A10" s="7" t="s">
        <v>68</v>
      </c>
      <c r="B10" s="647" t="s">
        <v>1183</v>
      </c>
      <c r="C10" s="647"/>
      <c r="D10" s="647"/>
      <c r="E10" s="647"/>
      <c r="F10" s="647"/>
      <c r="G10" s="647"/>
      <c r="H10" s="647"/>
      <c r="I10" s="132">
        <v>50</v>
      </c>
      <c r="J10" s="133" t="s">
        <v>614</v>
      </c>
      <c r="K10" s="10"/>
      <c r="L10" s="30"/>
      <c r="M10" s="30"/>
      <c r="N10" s="30"/>
      <c r="O10" s="30" t="s">
        <v>246</v>
      </c>
      <c r="P10" s="30"/>
      <c r="Q10" s="30" t="s">
        <v>246</v>
      </c>
      <c r="R10" s="30"/>
      <c r="S10" s="30"/>
      <c r="T10" s="30" t="s">
        <v>246</v>
      </c>
      <c r="U10" s="30"/>
      <c r="V10" s="30"/>
      <c r="W10" s="30" t="s">
        <v>246</v>
      </c>
      <c r="X10" s="468"/>
      <c r="Y10" s="468"/>
      <c r="Z10" s="469"/>
      <c r="AA10" s="451"/>
    </row>
    <row r="11" spans="1:27" s="14" customFormat="1" ht="24">
      <c r="A11" s="7" t="s">
        <v>70</v>
      </c>
      <c r="B11" s="647"/>
      <c r="C11" s="647"/>
      <c r="D11" s="647"/>
      <c r="E11" s="647"/>
      <c r="F11" s="647"/>
      <c r="G11" s="647"/>
      <c r="H11" s="647"/>
      <c r="I11" s="132"/>
      <c r="J11" s="133"/>
      <c r="K11" s="10"/>
      <c r="L11" s="30"/>
      <c r="M11" s="30"/>
      <c r="N11" s="30"/>
      <c r="O11" s="30"/>
      <c r="P11" s="30"/>
      <c r="Q11" s="30"/>
      <c r="R11" s="30"/>
      <c r="S11" s="30"/>
      <c r="T11" s="30"/>
      <c r="U11" s="30"/>
      <c r="V11" s="30"/>
      <c r="W11" s="30"/>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8D8D0-DC40-438B-9AA9-AD87F33C13D8}">
  <dimension ref="A1:AA20"/>
  <sheetViews>
    <sheetView rightToLeft="1" view="pageBreakPreview" topLeftCell="A2" zoomScale="90" zoomScaleNormal="90" zoomScaleSheetLayoutView="90" workbookViewId="0">
      <selection activeCell="F15" sqref="F15:J1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1169</v>
      </c>
      <c r="B3" s="456"/>
      <c r="C3" s="456"/>
      <c r="D3" s="456"/>
      <c r="E3" s="456"/>
      <c r="F3" s="456"/>
      <c r="G3" s="457" t="s">
        <v>1170</v>
      </c>
      <c r="H3" s="457"/>
      <c r="I3" s="458" t="s">
        <v>1171</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6</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45">
      <c r="A8" s="7" t="s">
        <v>28</v>
      </c>
      <c r="B8" s="647" t="s">
        <v>1172</v>
      </c>
      <c r="C8" s="647"/>
      <c r="D8" s="647"/>
      <c r="E8" s="647"/>
      <c r="F8" s="647"/>
      <c r="G8" s="647"/>
      <c r="H8" s="647"/>
      <c r="I8" s="132">
        <v>30</v>
      </c>
      <c r="J8" s="133" t="s">
        <v>2617</v>
      </c>
      <c r="K8" s="10"/>
      <c r="L8" s="30" t="s">
        <v>246</v>
      </c>
      <c r="M8" s="30"/>
      <c r="N8" s="30"/>
      <c r="O8" s="30"/>
      <c r="P8" s="30"/>
      <c r="Q8" s="30"/>
      <c r="R8" s="30"/>
      <c r="S8" s="30"/>
      <c r="T8" s="30"/>
      <c r="U8" s="30"/>
      <c r="V8" s="30"/>
      <c r="W8" s="30"/>
      <c r="X8" s="475"/>
      <c r="Y8" s="475"/>
      <c r="Z8" s="476"/>
      <c r="AA8" s="451"/>
    </row>
    <row r="9" spans="1:27" s="14" customFormat="1" ht="24">
      <c r="A9" s="7" t="s">
        <v>66</v>
      </c>
      <c r="B9" s="647" t="s">
        <v>1173</v>
      </c>
      <c r="C9" s="647"/>
      <c r="D9" s="647"/>
      <c r="E9" s="647"/>
      <c r="F9" s="647"/>
      <c r="G9" s="647"/>
      <c r="H9" s="647"/>
      <c r="I9" s="132">
        <v>10</v>
      </c>
      <c r="J9" s="133" t="s">
        <v>595</v>
      </c>
      <c r="K9" s="10"/>
      <c r="L9" s="30"/>
      <c r="M9" s="30" t="s">
        <v>246</v>
      </c>
      <c r="N9" s="30" t="s">
        <v>246</v>
      </c>
      <c r="O9" s="30" t="s">
        <v>246</v>
      </c>
      <c r="P9" s="30"/>
      <c r="Q9" s="30"/>
      <c r="R9" s="30"/>
      <c r="S9" s="30"/>
      <c r="T9" s="30"/>
      <c r="U9" s="30"/>
      <c r="V9" s="30"/>
      <c r="W9" s="30"/>
      <c r="X9" s="475"/>
      <c r="Y9" s="475"/>
      <c r="Z9" s="476"/>
      <c r="AA9" s="451"/>
    </row>
    <row r="10" spans="1:27" s="14" customFormat="1" ht="24">
      <c r="A10" s="7" t="s">
        <v>68</v>
      </c>
      <c r="B10" s="647" t="s">
        <v>1174</v>
      </c>
      <c r="C10" s="647"/>
      <c r="D10" s="647"/>
      <c r="E10" s="647"/>
      <c r="F10" s="647"/>
      <c r="G10" s="647"/>
      <c r="H10" s="647"/>
      <c r="I10" s="132">
        <v>10</v>
      </c>
      <c r="J10" s="133" t="s">
        <v>595</v>
      </c>
      <c r="K10" s="10"/>
      <c r="L10" s="30"/>
      <c r="M10" s="30" t="s">
        <v>246</v>
      </c>
      <c r="N10" s="30" t="s">
        <v>246</v>
      </c>
      <c r="O10" s="30" t="s">
        <v>246</v>
      </c>
      <c r="P10" s="30"/>
      <c r="Q10" s="30"/>
      <c r="R10" s="30"/>
      <c r="S10" s="30"/>
      <c r="T10" s="30"/>
      <c r="U10" s="30"/>
      <c r="V10" s="30"/>
      <c r="W10" s="30"/>
      <c r="X10" s="468"/>
      <c r="Y10" s="468"/>
      <c r="Z10" s="469"/>
      <c r="AA10" s="451"/>
    </row>
    <row r="11" spans="1:27" s="14" customFormat="1" ht="45">
      <c r="A11" s="7" t="s">
        <v>70</v>
      </c>
      <c r="B11" s="647" t="s">
        <v>1175</v>
      </c>
      <c r="C11" s="647"/>
      <c r="D11" s="647"/>
      <c r="E11" s="647"/>
      <c r="F11" s="647"/>
      <c r="G11" s="647"/>
      <c r="H11" s="647"/>
      <c r="I11" s="132">
        <v>15</v>
      </c>
      <c r="J11" s="133" t="s">
        <v>2618</v>
      </c>
      <c r="K11" s="10"/>
      <c r="L11" s="30"/>
      <c r="M11" s="30" t="s">
        <v>246</v>
      </c>
      <c r="N11" s="30" t="s">
        <v>246</v>
      </c>
      <c r="O11" s="30" t="s">
        <v>246</v>
      </c>
      <c r="P11" s="30"/>
      <c r="Q11" s="30"/>
      <c r="R11" s="30"/>
      <c r="S11" s="30"/>
      <c r="T11" s="30"/>
      <c r="U11" s="30"/>
      <c r="V11" s="30"/>
      <c r="W11" s="30"/>
      <c r="X11" s="468"/>
      <c r="Y11" s="468"/>
      <c r="Z11" s="469"/>
      <c r="AA11" s="451"/>
    </row>
    <row r="12" spans="1:27" s="14" customFormat="1" ht="45">
      <c r="A12" s="7" t="s">
        <v>153</v>
      </c>
      <c r="B12" s="647" t="s">
        <v>1176</v>
      </c>
      <c r="C12" s="647"/>
      <c r="D12" s="647"/>
      <c r="E12" s="647"/>
      <c r="F12" s="647"/>
      <c r="G12" s="647"/>
      <c r="H12" s="647"/>
      <c r="I12" s="132">
        <v>10</v>
      </c>
      <c r="J12" s="133" t="s">
        <v>1177</v>
      </c>
      <c r="K12" s="10"/>
      <c r="L12" s="30"/>
      <c r="M12" s="30"/>
      <c r="N12" s="30"/>
      <c r="O12" s="30" t="s">
        <v>246</v>
      </c>
      <c r="P12" s="30" t="s">
        <v>246</v>
      </c>
      <c r="Q12" s="30"/>
      <c r="R12" s="30"/>
      <c r="S12" s="30"/>
      <c r="T12" s="30"/>
      <c r="U12" s="30"/>
      <c r="V12" s="30"/>
      <c r="W12" s="30"/>
      <c r="X12" s="475"/>
      <c r="Y12" s="475"/>
      <c r="Z12" s="476"/>
      <c r="AA12" s="451"/>
    </row>
    <row r="13" spans="1:27" s="14" customFormat="1" ht="45">
      <c r="A13" s="7" t="s">
        <v>155</v>
      </c>
      <c r="B13" s="647" t="s">
        <v>1178</v>
      </c>
      <c r="C13" s="647"/>
      <c r="D13" s="647"/>
      <c r="E13" s="647"/>
      <c r="F13" s="647"/>
      <c r="G13" s="647"/>
      <c r="H13" s="647"/>
      <c r="I13" s="132">
        <v>10</v>
      </c>
      <c r="J13" s="133" t="s">
        <v>2619</v>
      </c>
      <c r="K13" s="10"/>
      <c r="L13" s="30"/>
      <c r="M13" s="30"/>
      <c r="N13" s="30"/>
      <c r="O13" s="30"/>
      <c r="P13" s="30" t="s">
        <v>246</v>
      </c>
      <c r="Q13" s="30"/>
      <c r="R13" s="30"/>
      <c r="S13" s="30"/>
      <c r="T13" s="30"/>
      <c r="U13" s="30"/>
      <c r="V13" s="30"/>
      <c r="W13" s="30"/>
      <c r="X13" s="468"/>
      <c r="Y13" s="468"/>
      <c r="Z13" s="469"/>
      <c r="AA13" s="451"/>
    </row>
    <row r="14" spans="1:27" s="14" customFormat="1" ht="45">
      <c r="A14" s="7" t="s">
        <v>156</v>
      </c>
      <c r="B14" s="647" t="s">
        <v>1179</v>
      </c>
      <c r="C14" s="647"/>
      <c r="D14" s="647"/>
      <c r="E14" s="647"/>
      <c r="F14" s="647"/>
      <c r="G14" s="647"/>
      <c r="H14" s="647"/>
      <c r="I14" s="132">
        <v>15</v>
      </c>
      <c r="J14" s="133" t="s">
        <v>2620</v>
      </c>
      <c r="K14" s="10"/>
      <c r="L14" s="134"/>
      <c r="M14" s="134"/>
      <c r="N14" s="134"/>
      <c r="O14" s="134"/>
      <c r="P14" s="30" t="s">
        <v>246</v>
      </c>
      <c r="Q14" s="30" t="s">
        <v>246</v>
      </c>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9F97-90A7-465B-A5C4-66B777DCD4E6}">
  <dimension ref="A1:AA20"/>
  <sheetViews>
    <sheetView rightToLeft="1" view="pageBreakPreview" topLeftCell="A2" zoomScale="90" zoomScaleNormal="90" zoomScaleSheetLayoutView="90" workbookViewId="0">
      <selection activeCell="J9" sqref="J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1157</v>
      </c>
      <c r="B3" s="456"/>
      <c r="C3" s="456"/>
      <c r="D3" s="456"/>
      <c r="E3" s="456"/>
      <c r="F3" s="456"/>
      <c r="G3" s="457" t="s">
        <v>1158</v>
      </c>
      <c r="H3" s="457"/>
      <c r="I3" s="458" t="s">
        <v>1159</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1153</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45">
      <c r="A8" s="7" t="s">
        <v>28</v>
      </c>
      <c r="B8" s="647" t="s">
        <v>1160</v>
      </c>
      <c r="C8" s="647"/>
      <c r="D8" s="647"/>
      <c r="E8" s="647"/>
      <c r="F8" s="647"/>
      <c r="G8" s="647"/>
      <c r="H8" s="647"/>
      <c r="I8" s="132">
        <v>10</v>
      </c>
      <c r="J8" s="133" t="s">
        <v>1141</v>
      </c>
      <c r="K8" s="10"/>
      <c r="L8" s="30"/>
      <c r="M8" s="30"/>
      <c r="N8" s="30"/>
      <c r="O8" s="30" t="s">
        <v>246</v>
      </c>
      <c r="P8" s="30" t="s">
        <v>246</v>
      </c>
      <c r="Q8" s="30"/>
      <c r="R8" s="30"/>
      <c r="S8" s="30"/>
      <c r="T8" s="30"/>
      <c r="U8" s="30"/>
      <c r="V8" s="30"/>
      <c r="W8" s="30"/>
      <c r="X8" s="475"/>
      <c r="Y8" s="475"/>
      <c r="Z8" s="476"/>
      <c r="AA8" s="451"/>
    </row>
    <row r="9" spans="1:27" s="14" customFormat="1" ht="24">
      <c r="A9" s="7" t="s">
        <v>66</v>
      </c>
      <c r="B9" s="647" t="s">
        <v>1161</v>
      </c>
      <c r="C9" s="647"/>
      <c r="D9" s="647"/>
      <c r="E9" s="647"/>
      <c r="F9" s="647"/>
      <c r="G9" s="647"/>
      <c r="H9" s="647"/>
      <c r="I9" s="132">
        <v>15</v>
      </c>
      <c r="J9" s="133" t="s">
        <v>1103</v>
      </c>
      <c r="K9" s="10"/>
      <c r="L9" s="30"/>
      <c r="M9" s="30"/>
      <c r="N9" s="30"/>
      <c r="O9" s="30"/>
      <c r="P9" s="30"/>
      <c r="Q9" s="30"/>
      <c r="R9" s="30" t="s">
        <v>246</v>
      </c>
      <c r="S9" s="30" t="s">
        <v>246</v>
      </c>
      <c r="T9" s="30" t="s">
        <v>246</v>
      </c>
      <c r="U9" s="30"/>
      <c r="V9" s="30"/>
      <c r="W9" s="30"/>
      <c r="X9" s="468"/>
      <c r="Y9" s="468"/>
      <c r="Z9" s="469"/>
      <c r="AA9" s="451"/>
    </row>
    <row r="10" spans="1:27" s="14" customFormat="1" ht="24">
      <c r="A10" s="7" t="s">
        <v>68</v>
      </c>
      <c r="B10" s="647" t="s">
        <v>1162</v>
      </c>
      <c r="C10" s="647"/>
      <c r="D10" s="647"/>
      <c r="E10" s="647"/>
      <c r="F10" s="647"/>
      <c r="G10" s="647"/>
      <c r="H10" s="647"/>
      <c r="I10" s="132">
        <v>10</v>
      </c>
      <c r="J10" s="133" t="s">
        <v>1103</v>
      </c>
      <c r="K10" s="10"/>
      <c r="L10" s="30"/>
      <c r="M10" s="30"/>
      <c r="N10" s="30"/>
      <c r="O10" s="30"/>
      <c r="P10" s="30"/>
      <c r="Q10" s="30"/>
      <c r="R10" s="30" t="s">
        <v>246</v>
      </c>
      <c r="S10" s="30" t="s">
        <v>246</v>
      </c>
      <c r="T10" s="30" t="s">
        <v>246</v>
      </c>
      <c r="U10" s="30"/>
      <c r="V10" s="30"/>
      <c r="W10" s="30"/>
      <c r="X10" s="468"/>
      <c r="Y10" s="468"/>
      <c r="Z10" s="469"/>
      <c r="AA10" s="451"/>
    </row>
    <row r="11" spans="1:27" s="14" customFormat="1" ht="45">
      <c r="A11" s="7" t="s">
        <v>70</v>
      </c>
      <c r="B11" s="647" t="s">
        <v>1163</v>
      </c>
      <c r="C11" s="647"/>
      <c r="D11" s="647"/>
      <c r="E11" s="647"/>
      <c r="F11" s="647"/>
      <c r="G11" s="647"/>
      <c r="H11" s="647"/>
      <c r="I11" s="132">
        <v>15</v>
      </c>
      <c r="J11" s="133" t="s">
        <v>1141</v>
      </c>
      <c r="K11" s="10"/>
      <c r="L11" s="30"/>
      <c r="M11" s="30"/>
      <c r="N11" s="30"/>
      <c r="O11" s="30"/>
      <c r="P11" s="30"/>
      <c r="Q11" s="30"/>
      <c r="R11" s="30" t="s">
        <v>246</v>
      </c>
      <c r="S11" s="30" t="s">
        <v>246</v>
      </c>
      <c r="T11" s="30" t="s">
        <v>246</v>
      </c>
      <c r="U11" s="30"/>
      <c r="V11" s="30"/>
      <c r="W11" s="30"/>
      <c r="X11" s="475"/>
      <c r="Y11" s="475"/>
      <c r="Z11" s="476"/>
      <c r="AA11" s="451"/>
    </row>
    <row r="12" spans="1:27" s="14" customFormat="1" ht="24">
      <c r="A12" s="7" t="s">
        <v>153</v>
      </c>
      <c r="B12" s="647" t="s">
        <v>1164</v>
      </c>
      <c r="C12" s="647"/>
      <c r="D12" s="647"/>
      <c r="E12" s="647"/>
      <c r="F12" s="647"/>
      <c r="G12" s="647"/>
      <c r="H12" s="647"/>
      <c r="I12" s="132">
        <v>10</v>
      </c>
      <c r="J12" s="133" t="s">
        <v>1103</v>
      </c>
      <c r="K12" s="10"/>
      <c r="L12" s="30"/>
      <c r="M12" s="30"/>
      <c r="N12" s="30"/>
      <c r="O12" s="30"/>
      <c r="P12" s="30"/>
      <c r="Q12" s="30"/>
      <c r="R12" s="30"/>
      <c r="S12" s="30"/>
      <c r="T12" s="30" t="s">
        <v>246</v>
      </c>
      <c r="U12" s="30" t="s">
        <v>246</v>
      </c>
      <c r="V12" s="30"/>
      <c r="W12" s="30"/>
      <c r="X12" s="468"/>
      <c r="Y12" s="468"/>
      <c r="Z12" s="469"/>
      <c r="AA12" s="451"/>
    </row>
    <row r="13" spans="1:27" s="14" customFormat="1" ht="45">
      <c r="A13" s="7" t="s">
        <v>155</v>
      </c>
      <c r="B13" s="647" t="s">
        <v>1165</v>
      </c>
      <c r="C13" s="647"/>
      <c r="D13" s="647"/>
      <c r="E13" s="647"/>
      <c r="F13" s="647"/>
      <c r="G13" s="647"/>
      <c r="H13" s="647"/>
      <c r="I13" s="132">
        <v>15</v>
      </c>
      <c r="J13" s="133" t="s">
        <v>1166</v>
      </c>
      <c r="K13" s="10"/>
      <c r="L13" s="134"/>
      <c r="M13" s="134"/>
      <c r="N13" s="134"/>
      <c r="O13" s="134"/>
      <c r="P13" s="134"/>
      <c r="Q13" s="134"/>
      <c r="R13" s="134"/>
      <c r="S13" s="134"/>
      <c r="T13" s="134"/>
      <c r="U13" s="134"/>
      <c r="V13" s="134" t="s">
        <v>246</v>
      </c>
      <c r="W13" s="134"/>
      <c r="X13" s="651"/>
      <c r="Y13" s="651"/>
      <c r="Z13" s="652"/>
      <c r="AA13" s="451"/>
    </row>
    <row r="14" spans="1:27" s="14" customFormat="1" ht="67.5">
      <c r="A14" s="7" t="s">
        <v>156</v>
      </c>
      <c r="B14" s="647" t="s">
        <v>1167</v>
      </c>
      <c r="C14" s="647"/>
      <c r="D14" s="647"/>
      <c r="E14" s="647"/>
      <c r="F14" s="647"/>
      <c r="G14" s="647"/>
      <c r="H14" s="647"/>
      <c r="I14" s="132">
        <v>25</v>
      </c>
      <c r="J14" s="133" t="s">
        <v>1168</v>
      </c>
      <c r="K14" s="10"/>
      <c r="L14" s="134"/>
      <c r="M14" s="134"/>
      <c r="N14" s="134"/>
      <c r="O14" s="134"/>
      <c r="P14" s="134"/>
      <c r="Q14" s="134"/>
      <c r="R14" s="134"/>
      <c r="S14" s="134"/>
      <c r="T14" s="134"/>
      <c r="U14" s="134"/>
      <c r="V14" s="134" t="s">
        <v>246</v>
      </c>
      <c r="W14" s="134" t="s">
        <v>246</v>
      </c>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161D-E94C-416E-99B9-5981DD89BE54}">
  <dimension ref="A1:AA17"/>
  <sheetViews>
    <sheetView rightToLeft="1" view="pageBreakPreview" zoomScale="90" zoomScaleNormal="90" zoomScaleSheetLayoutView="90" workbookViewId="0">
      <selection activeCell="A12" sqref="A12:E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1146</v>
      </c>
      <c r="B3" s="456"/>
      <c r="C3" s="456"/>
      <c r="D3" s="456"/>
      <c r="E3" s="456"/>
      <c r="F3" s="456"/>
      <c r="G3" s="457" t="s">
        <v>778</v>
      </c>
      <c r="H3" s="457"/>
      <c r="I3" s="458" t="s">
        <v>1145</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1096</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1144</v>
      </c>
      <c r="C8" s="647"/>
      <c r="D8" s="647"/>
      <c r="E8" s="647"/>
      <c r="F8" s="647"/>
      <c r="G8" s="647"/>
      <c r="H8" s="647"/>
      <c r="I8" s="132">
        <v>25</v>
      </c>
      <c r="J8" s="133" t="s">
        <v>1098</v>
      </c>
      <c r="K8" s="10"/>
      <c r="L8" s="30" t="s">
        <v>246</v>
      </c>
      <c r="M8" s="30" t="s">
        <v>246</v>
      </c>
      <c r="N8" s="30" t="s">
        <v>246</v>
      </c>
      <c r="O8" s="30"/>
      <c r="P8" s="30"/>
      <c r="Q8" s="30"/>
      <c r="R8" s="30"/>
      <c r="S8" s="30"/>
      <c r="T8" s="30"/>
      <c r="U8" s="30"/>
      <c r="V8" s="30"/>
      <c r="W8" s="30"/>
      <c r="X8" s="475"/>
      <c r="Y8" s="475"/>
      <c r="Z8" s="476"/>
      <c r="AA8" s="451"/>
    </row>
    <row r="9" spans="1:27" s="14" customFormat="1" ht="24">
      <c r="A9" s="7" t="s">
        <v>66</v>
      </c>
      <c r="B9" s="647" t="s">
        <v>1143</v>
      </c>
      <c r="C9" s="647"/>
      <c r="D9" s="647"/>
      <c r="E9" s="647"/>
      <c r="F9" s="647"/>
      <c r="G9" s="647"/>
      <c r="H9" s="647"/>
      <c r="I9" s="132">
        <v>25</v>
      </c>
      <c r="J9" s="133" t="s">
        <v>1098</v>
      </c>
      <c r="K9" s="10"/>
      <c r="L9" s="30" t="s">
        <v>246</v>
      </c>
      <c r="M9" s="30" t="s">
        <v>246</v>
      </c>
      <c r="N9" s="30" t="s">
        <v>246</v>
      </c>
      <c r="O9" s="30"/>
      <c r="P9" s="30"/>
      <c r="Q9" s="30"/>
      <c r="R9" s="30"/>
      <c r="S9" s="30"/>
      <c r="T9" s="30"/>
      <c r="U9" s="30"/>
      <c r="V9" s="30"/>
      <c r="W9" s="30"/>
      <c r="X9" s="475"/>
      <c r="Y9" s="475"/>
      <c r="Z9" s="476"/>
      <c r="AA9" s="451"/>
    </row>
    <row r="10" spans="1:27" s="14" customFormat="1" ht="24">
      <c r="A10" s="7" t="s">
        <v>68</v>
      </c>
      <c r="B10" s="647" t="s">
        <v>1142</v>
      </c>
      <c r="C10" s="647"/>
      <c r="D10" s="647"/>
      <c r="E10" s="647"/>
      <c r="F10" s="647"/>
      <c r="G10" s="647"/>
      <c r="H10" s="647"/>
      <c r="I10" s="132">
        <v>25</v>
      </c>
      <c r="J10" s="133" t="s">
        <v>1098</v>
      </c>
      <c r="K10" s="10"/>
      <c r="L10" s="30" t="s">
        <v>246</v>
      </c>
      <c r="M10" s="30" t="s">
        <v>246</v>
      </c>
      <c r="N10" s="30" t="s">
        <v>246</v>
      </c>
      <c r="O10" s="30" t="s">
        <v>246</v>
      </c>
      <c r="P10" s="30" t="s">
        <v>246</v>
      </c>
      <c r="Q10" s="30" t="s">
        <v>246</v>
      </c>
      <c r="R10" s="30" t="s">
        <v>246</v>
      </c>
      <c r="S10" s="30" t="s">
        <v>246</v>
      </c>
      <c r="T10" s="30" t="s">
        <v>246</v>
      </c>
      <c r="U10" s="30" t="s">
        <v>246</v>
      </c>
      <c r="V10" s="30" t="s">
        <v>246</v>
      </c>
      <c r="W10" s="30" t="s">
        <v>246</v>
      </c>
      <c r="X10" s="468"/>
      <c r="Y10" s="468"/>
      <c r="Z10" s="469"/>
      <c r="AA10" s="451"/>
    </row>
    <row r="11" spans="1:27" s="14" customFormat="1" ht="45">
      <c r="A11" s="7" t="s">
        <v>70</v>
      </c>
      <c r="B11" s="647" t="s">
        <v>1147</v>
      </c>
      <c r="C11" s="647"/>
      <c r="D11" s="647"/>
      <c r="E11" s="647"/>
      <c r="F11" s="647"/>
      <c r="G11" s="647"/>
      <c r="H11" s="647"/>
      <c r="I11" s="132">
        <v>25</v>
      </c>
      <c r="J11" s="133" t="s">
        <v>1141</v>
      </c>
      <c r="K11" s="10"/>
      <c r="L11" s="30"/>
      <c r="M11" s="30"/>
      <c r="N11" s="30"/>
      <c r="O11" s="30" t="s">
        <v>246</v>
      </c>
      <c r="P11" s="30" t="s">
        <v>246</v>
      </c>
      <c r="Q11" s="30" t="s">
        <v>246</v>
      </c>
      <c r="R11" s="30"/>
      <c r="S11" s="30"/>
      <c r="T11" s="30"/>
      <c r="U11" s="30"/>
      <c r="V11" s="30"/>
      <c r="W11" s="30"/>
      <c r="X11" s="475"/>
      <c r="Y11" s="475"/>
      <c r="Z11" s="476"/>
      <c r="AA11" s="451"/>
    </row>
    <row r="12" spans="1:27" ht="57.75" customHeight="1">
      <c r="A12" s="488" t="s">
        <v>42</v>
      </c>
      <c r="B12" s="489"/>
      <c r="C12" s="489"/>
      <c r="D12" s="489"/>
      <c r="E12" s="490"/>
      <c r="F12" s="472" t="s">
        <v>43</v>
      </c>
      <c r="G12" s="472"/>
      <c r="H12" s="472"/>
      <c r="I12" s="472"/>
      <c r="J12" s="472"/>
      <c r="K12" s="472" t="s">
        <v>44</v>
      </c>
      <c r="L12" s="472"/>
      <c r="M12" s="472"/>
      <c r="N12" s="472"/>
      <c r="O12" s="491" t="s">
        <v>45</v>
      </c>
      <c r="P12" s="492"/>
      <c r="Q12" s="492"/>
      <c r="R12" s="492"/>
      <c r="S12" s="492"/>
      <c r="T12" s="492"/>
      <c r="U12" s="492"/>
      <c r="V12" s="492"/>
      <c r="W12" s="493"/>
      <c r="X12" s="472" t="s">
        <v>46</v>
      </c>
      <c r="Y12" s="472"/>
      <c r="Z12" s="472"/>
      <c r="AA12" s="451"/>
    </row>
    <row r="13" spans="1:27" s="20" customFormat="1" ht="28.5">
      <c r="A13" s="494"/>
      <c r="B13" s="495"/>
      <c r="C13" s="495"/>
      <c r="D13" s="495"/>
      <c r="E13" s="496"/>
      <c r="F13" s="503"/>
      <c r="G13" s="504"/>
      <c r="H13" s="504"/>
      <c r="I13" s="504"/>
      <c r="J13" s="505"/>
      <c r="K13" s="486" t="s">
        <v>47</v>
      </c>
      <c r="L13" s="486"/>
      <c r="M13" s="486"/>
      <c r="N13" s="486"/>
      <c r="O13" s="477"/>
      <c r="P13" s="478"/>
      <c r="Q13" s="478"/>
      <c r="R13" s="478"/>
      <c r="S13" s="478"/>
      <c r="T13" s="478"/>
      <c r="U13" s="478"/>
      <c r="V13" s="478"/>
      <c r="W13" s="512"/>
      <c r="X13" s="477"/>
      <c r="Y13" s="478"/>
      <c r="Z13" s="479"/>
    </row>
    <row r="14" spans="1:27" s="20" customFormat="1" ht="28.5">
      <c r="A14" s="497"/>
      <c r="B14" s="498"/>
      <c r="C14" s="498"/>
      <c r="D14" s="498"/>
      <c r="E14" s="499"/>
      <c r="F14" s="506"/>
      <c r="G14" s="507"/>
      <c r="H14" s="507"/>
      <c r="I14" s="507"/>
      <c r="J14" s="508"/>
      <c r="K14" s="486"/>
      <c r="L14" s="486"/>
      <c r="M14" s="486"/>
      <c r="N14" s="486"/>
      <c r="O14" s="480"/>
      <c r="P14" s="481"/>
      <c r="Q14" s="481"/>
      <c r="R14" s="481"/>
      <c r="S14" s="481"/>
      <c r="T14" s="481"/>
      <c r="U14" s="481"/>
      <c r="V14" s="481"/>
      <c r="W14" s="513"/>
      <c r="X14" s="480"/>
      <c r="Y14" s="481"/>
      <c r="Z14" s="482"/>
    </row>
    <row r="15" spans="1:27" s="20" customFormat="1" ht="28.5">
      <c r="A15" s="497"/>
      <c r="B15" s="498"/>
      <c r="C15" s="498"/>
      <c r="D15" s="498"/>
      <c r="E15" s="499"/>
      <c r="F15" s="506"/>
      <c r="G15" s="507"/>
      <c r="H15" s="507"/>
      <c r="I15" s="507"/>
      <c r="J15" s="508"/>
      <c r="K15" s="486" t="s">
        <v>48</v>
      </c>
      <c r="L15" s="486"/>
      <c r="M15" s="486"/>
      <c r="N15" s="486"/>
      <c r="O15" s="480"/>
      <c r="P15" s="481"/>
      <c r="Q15" s="481"/>
      <c r="R15" s="481"/>
      <c r="S15" s="481"/>
      <c r="T15" s="481"/>
      <c r="U15" s="481"/>
      <c r="V15" s="481"/>
      <c r="W15" s="513"/>
      <c r="X15" s="480"/>
      <c r="Y15" s="481"/>
      <c r="Z15" s="482"/>
    </row>
    <row r="16" spans="1:27" s="20" customFormat="1" ht="29.25" thickBot="1">
      <c r="A16" s="500"/>
      <c r="B16" s="501"/>
      <c r="C16" s="501"/>
      <c r="D16" s="501"/>
      <c r="E16" s="502"/>
      <c r="F16" s="509"/>
      <c r="G16" s="510"/>
      <c r="H16" s="510"/>
      <c r="I16" s="510"/>
      <c r="J16" s="511"/>
      <c r="K16" s="487"/>
      <c r="L16" s="487"/>
      <c r="M16" s="487"/>
      <c r="N16" s="487"/>
      <c r="O16" s="483"/>
      <c r="P16" s="484"/>
      <c r="Q16" s="484"/>
      <c r="R16" s="484"/>
      <c r="S16" s="484"/>
      <c r="T16" s="484"/>
      <c r="U16" s="484"/>
      <c r="V16" s="484"/>
      <c r="W16" s="514"/>
      <c r="X16" s="483"/>
      <c r="Y16" s="484"/>
      <c r="Z16" s="485"/>
    </row>
    <row r="17" ht="18.75" thickTop="1"/>
  </sheetData>
  <mergeCells count="38">
    <mergeCell ref="F12:J12"/>
    <mergeCell ref="F13:J16"/>
    <mergeCell ref="O13:W16"/>
    <mergeCell ref="L13:N14"/>
    <mergeCell ref="K15:K16"/>
    <mergeCell ref="L15:N16"/>
    <mergeCell ref="X8:Z8"/>
    <mergeCell ref="B8:H8"/>
    <mergeCell ref="A13:E16"/>
    <mergeCell ref="A4:F5"/>
    <mergeCell ref="K12:N12"/>
    <mergeCell ref="X12:Z12"/>
    <mergeCell ref="X13:Z16"/>
    <mergeCell ref="B9:H9"/>
    <mergeCell ref="X9:Z9"/>
    <mergeCell ref="K13:K14"/>
    <mergeCell ref="B10:H10"/>
    <mergeCell ref="X10:Z10"/>
    <mergeCell ref="L6:W6"/>
    <mergeCell ref="I6:I7"/>
    <mergeCell ref="J6:J7"/>
    <mergeCell ref="K6:K7"/>
    <mergeCell ref="A12:E12"/>
    <mergeCell ref="B11:H11"/>
    <mergeCell ref="AA1:AA12"/>
    <mergeCell ref="A2:Z2"/>
    <mergeCell ref="A3:F3"/>
    <mergeCell ref="G3:H3"/>
    <mergeCell ref="I3:Z4"/>
    <mergeCell ref="G4:H4"/>
    <mergeCell ref="G5:H5"/>
    <mergeCell ref="I5:Z5"/>
    <mergeCell ref="A6:A7"/>
    <mergeCell ref="B6:H7"/>
    <mergeCell ref="A1:Y1"/>
    <mergeCell ref="X11:Z11"/>
    <mergeCell ref="O12:W12"/>
    <mergeCell ref="X6:Z7"/>
  </mergeCells>
  <printOptions horizontalCentered="1" verticalCentered="1"/>
  <pageMargins left="0" right="0" top="0" bottom="0" header="0" footer="0"/>
  <pageSetup scale="4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86B4-E08F-429F-AD03-7DEC4AB31CED}">
  <dimension ref="A1:AA17"/>
  <sheetViews>
    <sheetView rightToLeft="1" view="pageBreakPreview" zoomScale="90" zoomScaleNormal="90" zoomScaleSheetLayoutView="90" workbookViewId="0">
      <selection activeCell="J10" sqref="J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1156</v>
      </c>
      <c r="B3" s="456"/>
      <c r="C3" s="456"/>
      <c r="D3" s="456"/>
      <c r="E3" s="456"/>
      <c r="F3" s="456"/>
      <c r="G3" s="457" t="s">
        <v>1155</v>
      </c>
      <c r="H3" s="457"/>
      <c r="I3" s="458" t="s">
        <v>1154</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1153</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1152</v>
      </c>
      <c r="C8" s="647"/>
      <c r="D8" s="647"/>
      <c r="E8" s="647"/>
      <c r="F8" s="647"/>
      <c r="G8" s="647"/>
      <c r="H8" s="647"/>
      <c r="I8" s="132">
        <v>25</v>
      </c>
      <c r="J8" s="133" t="s">
        <v>1098</v>
      </c>
      <c r="K8" s="10"/>
      <c r="L8" s="30"/>
      <c r="M8" s="30"/>
      <c r="N8" s="30" t="s">
        <v>246</v>
      </c>
      <c r="O8" s="30" t="s">
        <v>246</v>
      </c>
      <c r="P8" s="30"/>
      <c r="Q8" s="30"/>
      <c r="R8" s="30"/>
      <c r="S8" s="30"/>
      <c r="T8" s="30"/>
      <c r="U8" s="30"/>
      <c r="V8" s="30"/>
      <c r="W8" s="30"/>
      <c r="X8" s="475"/>
      <c r="Y8" s="475"/>
      <c r="Z8" s="476"/>
      <c r="AA8" s="451"/>
    </row>
    <row r="9" spans="1:27" s="14" customFormat="1" ht="24">
      <c r="A9" s="7" t="s">
        <v>66</v>
      </c>
      <c r="B9" s="647" t="s">
        <v>1151</v>
      </c>
      <c r="C9" s="647"/>
      <c r="D9" s="647"/>
      <c r="E9" s="647"/>
      <c r="F9" s="647"/>
      <c r="G9" s="647"/>
      <c r="H9" s="647"/>
      <c r="I9" s="132">
        <v>25</v>
      </c>
      <c r="J9" s="133" t="s">
        <v>1098</v>
      </c>
      <c r="K9" s="10"/>
      <c r="L9" s="30"/>
      <c r="M9" s="30"/>
      <c r="N9" s="30" t="s">
        <v>246</v>
      </c>
      <c r="O9" s="30" t="s">
        <v>246</v>
      </c>
      <c r="P9" s="30"/>
      <c r="Q9" s="30"/>
      <c r="R9" s="30"/>
      <c r="S9" s="30"/>
      <c r="T9" s="30"/>
      <c r="U9" s="30"/>
      <c r="V9" s="30"/>
      <c r="W9" s="30"/>
      <c r="X9" s="475"/>
      <c r="Y9" s="475"/>
      <c r="Z9" s="476"/>
      <c r="AA9" s="451"/>
    </row>
    <row r="10" spans="1:27" s="14" customFormat="1" ht="24">
      <c r="A10" s="7" t="s">
        <v>68</v>
      </c>
      <c r="B10" s="647" t="s">
        <v>1150</v>
      </c>
      <c r="C10" s="647"/>
      <c r="D10" s="647"/>
      <c r="E10" s="647"/>
      <c r="F10" s="647"/>
      <c r="G10" s="647"/>
      <c r="H10" s="647"/>
      <c r="I10" s="132">
        <v>25</v>
      </c>
      <c r="J10" s="133" t="s">
        <v>1098</v>
      </c>
      <c r="K10" s="10"/>
      <c r="L10" s="30"/>
      <c r="M10" s="30"/>
      <c r="N10" s="30"/>
      <c r="O10" s="30" t="s">
        <v>246</v>
      </c>
      <c r="P10" s="30"/>
      <c r="Q10" s="30"/>
      <c r="R10" s="30" t="s">
        <v>246</v>
      </c>
      <c r="S10" s="30"/>
      <c r="T10" s="30"/>
      <c r="U10" s="30" t="s">
        <v>246</v>
      </c>
      <c r="V10" s="30"/>
      <c r="W10" s="30"/>
      <c r="X10" s="468" t="s">
        <v>1148</v>
      </c>
      <c r="Y10" s="468"/>
      <c r="Z10" s="469"/>
      <c r="AA10" s="451"/>
    </row>
    <row r="11" spans="1:27" s="14" customFormat="1" ht="45">
      <c r="A11" s="7" t="s">
        <v>70</v>
      </c>
      <c r="B11" s="647" t="s">
        <v>1149</v>
      </c>
      <c r="C11" s="647"/>
      <c r="D11" s="647"/>
      <c r="E11" s="647"/>
      <c r="F11" s="647"/>
      <c r="G11" s="647"/>
      <c r="H11" s="647"/>
      <c r="I11" s="132">
        <v>25</v>
      </c>
      <c r="J11" s="133" t="s">
        <v>1141</v>
      </c>
      <c r="K11" s="10"/>
      <c r="L11" s="30"/>
      <c r="M11" s="30"/>
      <c r="N11" s="30"/>
      <c r="O11" s="30" t="s">
        <v>246</v>
      </c>
      <c r="P11" s="30"/>
      <c r="Q11" s="30"/>
      <c r="R11" s="30" t="s">
        <v>246</v>
      </c>
      <c r="S11" s="30"/>
      <c r="T11" s="30"/>
      <c r="U11" s="30" t="s">
        <v>246</v>
      </c>
      <c r="V11" s="30"/>
      <c r="W11" s="30"/>
      <c r="X11" s="468" t="s">
        <v>1148</v>
      </c>
      <c r="Y11" s="468"/>
      <c r="Z11" s="469"/>
      <c r="AA11" s="451"/>
    </row>
    <row r="12" spans="1:27" ht="57.75" customHeight="1">
      <c r="A12" s="488" t="s">
        <v>42</v>
      </c>
      <c r="B12" s="489"/>
      <c r="C12" s="489"/>
      <c r="D12" s="489"/>
      <c r="E12" s="490"/>
      <c r="F12" s="472" t="s">
        <v>43</v>
      </c>
      <c r="G12" s="472"/>
      <c r="H12" s="472"/>
      <c r="I12" s="472"/>
      <c r="J12" s="472"/>
      <c r="K12" s="472" t="s">
        <v>44</v>
      </c>
      <c r="L12" s="472"/>
      <c r="M12" s="472"/>
      <c r="N12" s="472"/>
      <c r="O12" s="491" t="s">
        <v>45</v>
      </c>
      <c r="P12" s="492"/>
      <c r="Q12" s="492"/>
      <c r="R12" s="492"/>
      <c r="S12" s="492"/>
      <c r="T12" s="492"/>
      <c r="U12" s="492"/>
      <c r="V12" s="492"/>
      <c r="W12" s="493"/>
      <c r="X12" s="472" t="s">
        <v>46</v>
      </c>
      <c r="Y12" s="472"/>
      <c r="Z12" s="472"/>
      <c r="AA12" s="451"/>
    </row>
    <row r="13" spans="1:27" s="20" customFormat="1" ht="28.5">
      <c r="A13" s="494"/>
      <c r="B13" s="495"/>
      <c r="C13" s="495"/>
      <c r="D13" s="495"/>
      <c r="E13" s="496"/>
      <c r="F13" s="503"/>
      <c r="G13" s="504"/>
      <c r="H13" s="504"/>
      <c r="I13" s="504"/>
      <c r="J13" s="505"/>
      <c r="K13" s="486" t="s">
        <v>47</v>
      </c>
      <c r="L13" s="486"/>
      <c r="M13" s="486"/>
      <c r="N13" s="486"/>
      <c r="O13" s="477"/>
      <c r="P13" s="478"/>
      <c r="Q13" s="478"/>
      <c r="R13" s="478"/>
      <c r="S13" s="478"/>
      <c r="T13" s="478"/>
      <c r="U13" s="478"/>
      <c r="V13" s="478"/>
      <c r="W13" s="512"/>
      <c r="X13" s="477"/>
      <c r="Y13" s="478"/>
      <c r="Z13" s="479"/>
    </row>
    <row r="14" spans="1:27" s="20" customFormat="1" ht="28.5">
      <c r="A14" s="497"/>
      <c r="B14" s="498"/>
      <c r="C14" s="498"/>
      <c r="D14" s="498"/>
      <c r="E14" s="499"/>
      <c r="F14" s="506"/>
      <c r="G14" s="507"/>
      <c r="H14" s="507"/>
      <c r="I14" s="507"/>
      <c r="J14" s="508"/>
      <c r="K14" s="486"/>
      <c r="L14" s="486"/>
      <c r="M14" s="486"/>
      <c r="N14" s="486"/>
      <c r="O14" s="480"/>
      <c r="P14" s="481"/>
      <c r="Q14" s="481"/>
      <c r="R14" s="481"/>
      <c r="S14" s="481"/>
      <c r="T14" s="481"/>
      <c r="U14" s="481"/>
      <c r="V14" s="481"/>
      <c r="W14" s="513"/>
      <c r="X14" s="480"/>
      <c r="Y14" s="481"/>
      <c r="Z14" s="482"/>
    </row>
    <row r="15" spans="1:27" s="20" customFormat="1" ht="28.5">
      <c r="A15" s="497"/>
      <c r="B15" s="498"/>
      <c r="C15" s="498"/>
      <c r="D15" s="498"/>
      <c r="E15" s="499"/>
      <c r="F15" s="506"/>
      <c r="G15" s="507"/>
      <c r="H15" s="507"/>
      <c r="I15" s="507"/>
      <c r="J15" s="508"/>
      <c r="K15" s="486" t="s">
        <v>48</v>
      </c>
      <c r="L15" s="486"/>
      <c r="M15" s="486"/>
      <c r="N15" s="486"/>
      <c r="O15" s="480"/>
      <c r="P15" s="481"/>
      <c r="Q15" s="481"/>
      <c r="R15" s="481"/>
      <c r="S15" s="481"/>
      <c r="T15" s="481"/>
      <c r="U15" s="481"/>
      <c r="V15" s="481"/>
      <c r="W15" s="513"/>
      <c r="X15" s="480"/>
      <c r="Y15" s="481"/>
      <c r="Z15" s="482"/>
    </row>
    <row r="16" spans="1:27" s="20" customFormat="1" ht="29.25" thickBot="1">
      <c r="A16" s="500"/>
      <c r="B16" s="501"/>
      <c r="C16" s="501"/>
      <c r="D16" s="501"/>
      <c r="E16" s="502"/>
      <c r="F16" s="509"/>
      <c r="G16" s="510"/>
      <c r="H16" s="510"/>
      <c r="I16" s="510"/>
      <c r="J16" s="511"/>
      <c r="K16" s="487"/>
      <c r="L16" s="487"/>
      <c r="M16" s="487"/>
      <c r="N16" s="487"/>
      <c r="O16" s="483"/>
      <c r="P16" s="484"/>
      <c r="Q16" s="484"/>
      <c r="R16" s="484"/>
      <c r="S16" s="484"/>
      <c r="T16" s="484"/>
      <c r="U16" s="484"/>
      <c r="V16" s="484"/>
      <c r="W16" s="514"/>
      <c r="X16" s="483"/>
      <c r="Y16" s="484"/>
      <c r="Z16" s="485"/>
    </row>
    <row r="17" ht="18.75" thickTop="1"/>
  </sheetData>
  <mergeCells count="38">
    <mergeCell ref="O13:W16"/>
    <mergeCell ref="B8:H8"/>
    <mergeCell ref="X8:Z8"/>
    <mergeCell ref="B11:H11"/>
    <mergeCell ref="X11:Z11"/>
    <mergeCell ref="O12:W12"/>
    <mergeCell ref="AA1:AA12"/>
    <mergeCell ref="A2:Z2"/>
    <mergeCell ref="A3:F3"/>
    <mergeCell ref="G3:H3"/>
    <mergeCell ref="I3:Z4"/>
    <mergeCell ref="G4:H4"/>
    <mergeCell ref="G5:H5"/>
    <mergeCell ref="I5:Z5"/>
    <mergeCell ref="B9:H9"/>
    <mergeCell ref="X9:Z9"/>
    <mergeCell ref="L6:W6"/>
    <mergeCell ref="A6:A7"/>
    <mergeCell ref="B6:H7"/>
    <mergeCell ref="I6:I7"/>
    <mergeCell ref="J6:J7"/>
    <mergeCell ref="K6:K7"/>
    <mergeCell ref="A1:Y1"/>
    <mergeCell ref="F13:J16"/>
    <mergeCell ref="A12:E12"/>
    <mergeCell ref="A13:E16"/>
    <mergeCell ref="A4:F5"/>
    <mergeCell ref="L13:N14"/>
    <mergeCell ref="K15:K16"/>
    <mergeCell ref="L15:N16"/>
    <mergeCell ref="F12:J12"/>
    <mergeCell ref="K12:N12"/>
    <mergeCell ref="X12:Z12"/>
    <mergeCell ref="X13:Z16"/>
    <mergeCell ref="X6:Z7"/>
    <mergeCell ref="K13:K14"/>
    <mergeCell ref="B10:H10"/>
    <mergeCell ref="X10:Z10"/>
  </mergeCells>
  <printOptions horizontalCentered="1" verticalCentered="1"/>
  <pageMargins left="0" right="0" top="0" bottom="0" header="0" footer="0"/>
  <pageSetup scale="4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BB2A-89DC-43A0-9672-5A3852B9E468}">
  <dimension ref="A1:AA20"/>
  <sheetViews>
    <sheetView rightToLeft="1" view="pageBreakPreview" zoomScale="90" zoomScaleNormal="90" zoomScaleSheetLayoutView="90" workbookViewId="0">
      <selection activeCell="I13" sqref="I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1140</v>
      </c>
      <c r="B3" s="456"/>
      <c r="C3" s="456"/>
      <c r="D3" s="456"/>
      <c r="E3" s="456"/>
      <c r="F3" s="456"/>
      <c r="G3" s="457" t="s">
        <v>766</v>
      </c>
      <c r="H3" s="457"/>
      <c r="I3" s="458" t="s">
        <v>1139</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1096</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1138</v>
      </c>
      <c r="C8" s="647"/>
      <c r="D8" s="647"/>
      <c r="E8" s="647"/>
      <c r="F8" s="647"/>
      <c r="G8" s="647"/>
      <c r="H8" s="647"/>
      <c r="I8" s="132">
        <v>20</v>
      </c>
      <c r="J8" s="133" t="s">
        <v>1103</v>
      </c>
      <c r="K8" s="10"/>
      <c r="L8" s="30" t="s">
        <v>246</v>
      </c>
      <c r="M8" s="30"/>
      <c r="N8" s="30"/>
      <c r="O8" s="30"/>
      <c r="P8" s="30"/>
      <c r="Q8" s="30"/>
      <c r="R8" s="30"/>
      <c r="S8" s="30"/>
      <c r="T8" s="30"/>
      <c r="U8" s="30"/>
      <c r="V8" s="30"/>
      <c r="W8" s="30"/>
      <c r="X8" s="475"/>
      <c r="Y8" s="475"/>
      <c r="Z8" s="476"/>
      <c r="AA8" s="451"/>
    </row>
    <row r="9" spans="1:27" s="14" customFormat="1" ht="24">
      <c r="A9" s="7" t="s">
        <v>66</v>
      </c>
      <c r="B9" s="647" t="s">
        <v>1137</v>
      </c>
      <c r="C9" s="647"/>
      <c r="D9" s="647"/>
      <c r="E9" s="647"/>
      <c r="F9" s="647"/>
      <c r="G9" s="647"/>
      <c r="H9" s="647"/>
      <c r="I9" s="132">
        <v>20</v>
      </c>
      <c r="J9" s="133" t="s">
        <v>1103</v>
      </c>
      <c r="K9" s="10"/>
      <c r="L9" s="30"/>
      <c r="M9" s="30" t="s">
        <v>246</v>
      </c>
      <c r="N9" s="30"/>
      <c r="O9" s="30"/>
      <c r="P9" s="30"/>
      <c r="Q9" s="30"/>
      <c r="R9" s="30"/>
      <c r="S9" s="30"/>
      <c r="T9" s="30"/>
      <c r="U9" s="30"/>
      <c r="V9" s="30"/>
      <c r="W9" s="30"/>
      <c r="X9" s="475"/>
      <c r="Y9" s="475"/>
      <c r="Z9" s="476"/>
      <c r="AA9" s="451"/>
    </row>
    <row r="10" spans="1:27" s="14" customFormat="1" ht="24">
      <c r="A10" s="7" t="s">
        <v>68</v>
      </c>
      <c r="B10" s="647" t="s">
        <v>1136</v>
      </c>
      <c r="C10" s="647"/>
      <c r="D10" s="647"/>
      <c r="E10" s="647"/>
      <c r="F10" s="647"/>
      <c r="G10" s="647"/>
      <c r="H10" s="647"/>
      <c r="I10" s="132">
        <v>20</v>
      </c>
      <c r="J10" s="133" t="s">
        <v>1103</v>
      </c>
      <c r="K10" s="10"/>
      <c r="L10" s="30"/>
      <c r="M10" s="30" t="s">
        <v>246</v>
      </c>
      <c r="N10" s="30"/>
      <c r="O10" s="30"/>
      <c r="P10" s="30" t="s">
        <v>246</v>
      </c>
      <c r="Q10" s="30"/>
      <c r="R10" s="30"/>
      <c r="S10" s="30" t="s">
        <v>246</v>
      </c>
      <c r="T10" s="30"/>
      <c r="U10" s="30"/>
      <c r="V10" s="30" t="s">
        <v>246</v>
      </c>
      <c r="W10" s="30"/>
      <c r="X10" s="468"/>
      <c r="Y10" s="468"/>
      <c r="Z10" s="469"/>
      <c r="AA10" s="451"/>
    </row>
    <row r="11" spans="1:27" s="14" customFormat="1" ht="24">
      <c r="A11" s="7" t="s">
        <v>70</v>
      </c>
      <c r="B11" s="647" t="s">
        <v>1135</v>
      </c>
      <c r="C11" s="647"/>
      <c r="D11" s="647"/>
      <c r="E11" s="647"/>
      <c r="F11" s="647"/>
      <c r="G11" s="647"/>
      <c r="H11" s="647"/>
      <c r="I11" s="132">
        <v>10</v>
      </c>
      <c r="J11" s="133" t="s">
        <v>669</v>
      </c>
      <c r="K11" s="10"/>
      <c r="L11" s="30"/>
      <c r="M11" s="30" t="s">
        <v>246</v>
      </c>
      <c r="N11" s="30"/>
      <c r="O11" s="30"/>
      <c r="P11" s="30" t="s">
        <v>246</v>
      </c>
      <c r="Q11" s="30"/>
      <c r="R11" s="30"/>
      <c r="S11" s="30" t="s">
        <v>246</v>
      </c>
      <c r="T11" s="30"/>
      <c r="U11" s="30"/>
      <c r="V11" s="30" t="s">
        <v>246</v>
      </c>
      <c r="W11" s="30"/>
      <c r="X11" s="468"/>
      <c r="Y11" s="468"/>
      <c r="Z11" s="469"/>
      <c r="AA11" s="451"/>
    </row>
    <row r="12" spans="1:27" s="14" customFormat="1" ht="24">
      <c r="A12" s="7" t="s">
        <v>153</v>
      </c>
      <c r="B12" s="647" t="s">
        <v>1134</v>
      </c>
      <c r="C12" s="647"/>
      <c r="D12" s="647"/>
      <c r="E12" s="647"/>
      <c r="F12" s="647"/>
      <c r="G12" s="647"/>
      <c r="H12" s="647"/>
      <c r="I12" s="132">
        <v>5</v>
      </c>
      <c r="J12" s="133" t="s">
        <v>669</v>
      </c>
      <c r="K12" s="10"/>
      <c r="L12" s="30" t="s">
        <v>246</v>
      </c>
      <c r="M12" s="30" t="s">
        <v>246</v>
      </c>
      <c r="N12" s="30"/>
      <c r="O12" s="30"/>
      <c r="P12" s="30"/>
      <c r="Q12" s="30"/>
      <c r="R12" s="30"/>
      <c r="S12" s="30"/>
      <c r="T12" s="30"/>
      <c r="U12" s="30"/>
      <c r="V12" s="30"/>
      <c r="W12" s="30"/>
      <c r="X12" s="475"/>
      <c r="Y12" s="475"/>
      <c r="Z12" s="476"/>
      <c r="AA12" s="451"/>
    </row>
    <row r="13" spans="1:27" s="14" customFormat="1" ht="24">
      <c r="A13" s="7" t="s">
        <v>155</v>
      </c>
      <c r="B13" s="647" t="s">
        <v>1133</v>
      </c>
      <c r="C13" s="647"/>
      <c r="D13" s="647"/>
      <c r="E13" s="647"/>
      <c r="F13" s="647"/>
      <c r="G13" s="647"/>
      <c r="H13" s="647"/>
      <c r="I13" s="132">
        <v>10</v>
      </c>
      <c r="J13" s="133" t="s">
        <v>439</v>
      </c>
      <c r="K13" s="10"/>
      <c r="L13" s="30" t="s">
        <v>246</v>
      </c>
      <c r="M13" s="30" t="s">
        <v>246</v>
      </c>
      <c r="N13" s="30"/>
      <c r="O13" s="30"/>
      <c r="P13" s="30"/>
      <c r="Q13" s="30"/>
      <c r="R13" s="30"/>
      <c r="S13" s="30"/>
      <c r="T13" s="30"/>
      <c r="U13" s="30"/>
      <c r="V13" s="30"/>
      <c r="W13" s="30"/>
      <c r="X13" s="468"/>
      <c r="Y13" s="468"/>
      <c r="Z13" s="469"/>
      <c r="AA13" s="451"/>
    </row>
    <row r="14" spans="1:27" s="14" customFormat="1" ht="24">
      <c r="A14" s="7" t="s">
        <v>156</v>
      </c>
      <c r="B14" s="647" t="s">
        <v>292</v>
      </c>
      <c r="C14" s="647"/>
      <c r="D14" s="647"/>
      <c r="E14" s="647"/>
      <c r="F14" s="647"/>
      <c r="G14" s="647"/>
      <c r="H14" s="647"/>
      <c r="I14" s="132">
        <v>15</v>
      </c>
      <c r="J14" s="133" t="s">
        <v>1098</v>
      </c>
      <c r="K14" s="10"/>
      <c r="L14" s="134"/>
      <c r="M14" s="134"/>
      <c r="N14" s="30" t="s">
        <v>246</v>
      </c>
      <c r="O14" s="134"/>
      <c r="P14" s="134"/>
      <c r="Q14" s="30" t="s">
        <v>246</v>
      </c>
      <c r="R14" s="134"/>
      <c r="S14" s="134"/>
      <c r="T14" s="30" t="s">
        <v>246</v>
      </c>
      <c r="U14" s="134"/>
      <c r="V14" s="134"/>
      <c r="W14" s="30" t="s">
        <v>246</v>
      </c>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B6:H7"/>
    <mergeCell ref="I6:I7"/>
    <mergeCell ref="J6:J7"/>
    <mergeCell ref="K6:K7"/>
    <mergeCell ref="X6:Z7"/>
    <mergeCell ref="B8:H8"/>
    <mergeCell ref="X8:Z8"/>
    <mergeCell ref="X16:Z19"/>
    <mergeCell ref="AA1:AA15"/>
    <mergeCell ref="A2:Z2"/>
    <mergeCell ref="A3:F3"/>
    <mergeCell ref="G3:H3"/>
    <mergeCell ref="I3:Z4"/>
    <mergeCell ref="G4:H4"/>
    <mergeCell ref="G5:H5"/>
    <mergeCell ref="I5:Z5"/>
    <mergeCell ref="A6:A7"/>
    <mergeCell ref="L6:W6"/>
    <mergeCell ref="K16:K17"/>
    <mergeCell ref="B10:H10"/>
    <mergeCell ref="X10:Z10"/>
    <mergeCell ref="F15:J15"/>
    <mergeCell ref="K15:N15"/>
    <mergeCell ref="B11:H11"/>
    <mergeCell ref="X11:Z11"/>
    <mergeCell ref="B12:H12"/>
    <mergeCell ref="X12:Z12"/>
    <mergeCell ref="O15:W15"/>
    <mergeCell ref="B9:H9"/>
    <mergeCell ref="X9:Z9"/>
    <mergeCell ref="X15:Z15"/>
    <mergeCell ref="A1:Y1"/>
    <mergeCell ref="F16:J19"/>
    <mergeCell ref="A15:E15"/>
    <mergeCell ref="A16:E19"/>
    <mergeCell ref="A4:F5"/>
    <mergeCell ref="B13:H13"/>
    <mergeCell ref="X13:Z13"/>
    <mergeCell ref="L16:N17"/>
    <mergeCell ref="K18:K19"/>
    <mergeCell ref="L18:N19"/>
    <mergeCell ref="O16:W19"/>
    <mergeCell ref="B14:H14"/>
    <mergeCell ref="X14:Z14"/>
  </mergeCells>
  <printOptions horizontalCentered="1" verticalCentered="1"/>
  <pageMargins left="0" right="0" top="0" bottom="0" header="0" footer="0"/>
  <pageSetup scale="4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4F487-97C2-4A8F-9E0C-240171A404D3}">
  <dimension ref="A1:AA20"/>
  <sheetViews>
    <sheetView rightToLeft="1" view="pageBreakPreview" zoomScale="90" zoomScaleNormal="90" zoomScaleSheetLayoutView="90" workbookViewId="0">
      <selection activeCell="B11" sqref="B11:H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27.85546875" style="21" customWidth="1"/>
    <col min="7" max="7" width="14.42578125" style="21" hidden="1" customWidth="1"/>
    <col min="8" max="8" width="25.7109375" style="21" hidden="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1132</v>
      </c>
      <c r="B3" s="456"/>
      <c r="C3" s="456"/>
      <c r="D3" s="456"/>
      <c r="E3" s="456"/>
      <c r="F3" s="456"/>
      <c r="G3" s="457" t="s">
        <v>810</v>
      </c>
      <c r="H3" s="457"/>
      <c r="I3" s="458" t="s">
        <v>1131</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1096</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1130</v>
      </c>
      <c r="C8" s="647"/>
      <c r="D8" s="647"/>
      <c r="E8" s="647"/>
      <c r="F8" s="647"/>
      <c r="G8" s="647"/>
      <c r="H8" s="647"/>
      <c r="I8" s="132">
        <v>15</v>
      </c>
      <c r="J8" s="133" t="s">
        <v>1098</v>
      </c>
      <c r="K8" s="10"/>
      <c r="L8" s="30" t="s">
        <v>246</v>
      </c>
      <c r="M8" s="30"/>
      <c r="N8" s="30"/>
      <c r="O8" s="30" t="s">
        <v>246</v>
      </c>
      <c r="P8" s="30"/>
      <c r="Q8" s="30"/>
      <c r="R8" s="30" t="s">
        <v>246</v>
      </c>
      <c r="S8" s="30"/>
      <c r="T8" s="30"/>
      <c r="U8" s="30" t="s">
        <v>246</v>
      </c>
      <c r="V8" s="30"/>
      <c r="W8" s="30"/>
      <c r="X8" s="475"/>
      <c r="Y8" s="475"/>
      <c r="Z8" s="476"/>
      <c r="AA8" s="451"/>
    </row>
    <row r="9" spans="1:27" s="14" customFormat="1" ht="24">
      <c r="A9" s="7" t="s">
        <v>66</v>
      </c>
      <c r="B9" s="647" t="s">
        <v>1129</v>
      </c>
      <c r="C9" s="647"/>
      <c r="D9" s="647"/>
      <c r="E9" s="647"/>
      <c r="F9" s="647"/>
      <c r="G9" s="647"/>
      <c r="H9" s="647"/>
      <c r="I9" s="132">
        <v>15</v>
      </c>
      <c r="J9" s="133" t="s">
        <v>1098</v>
      </c>
      <c r="K9" s="10"/>
      <c r="L9" s="30"/>
      <c r="M9" s="30" t="s">
        <v>246</v>
      </c>
      <c r="N9" s="30"/>
      <c r="O9" s="30"/>
      <c r="P9" s="30" t="s">
        <v>246</v>
      </c>
      <c r="Q9" s="30"/>
      <c r="R9" s="30"/>
      <c r="S9" s="30" t="s">
        <v>246</v>
      </c>
      <c r="T9" s="30"/>
      <c r="U9" s="30"/>
      <c r="V9" s="30" t="s">
        <v>246</v>
      </c>
      <c r="W9" s="30"/>
      <c r="X9" s="475"/>
      <c r="Y9" s="475"/>
      <c r="Z9" s="476"/>
      <c r="AA9" s="451"/>
    </row>
    <row r="10" spans="1:27" s="14" customFormat="1" ht="24">
      <c r="A10" s="7" t="s">
        <v>68</v>
      </c>
      <c r="B10" s="647" t="s">
        <v>2582</v>
      </c>
      <c r="C10" s="647"/>
      <c r="D10" s="647"/>
      <c r="E10" s="647"/>
      <c r="F10" s="647"/>
      <c r="G10" s="647"/>
      <c r="H10" s="647"/>
      <c r="I10" s="132">
        <v>15</v>
      </c>
      <c r="J10" s="133" t="s">
        <v>1098</v>
      </c>
      <c r="K10" s="10"/>
      <c r="L10" s="30"/>
      <c r="M10" s="30" t="s">
        <v>246</v>
      </c>
      <c r="N10" s="30"/>
      <c r="O10" s="30"/>
      <c r="P10" s="30"/>
      <c r="Q10" s="30"/>
      <c r="R10" s="30"/>
      <c r="S10" s="30"/>
      <c r="T10" s="30"/>
      <c r="U10" s="30"/>
      <c r="V10" s="30"/>
      <c r="W10" s="30"/>
      <c r="X10" s="468"/>
      <c r="Y10" s="468"/>
      <c r="Z10" s="469"/>
      <c r="AA10" s="451"/>
    </row>
    <row r="11" spans="1:27" s="14" customFormat="1" ht="45">
      <c r="A11" s="7" t="s">
        <v>70</v>
      </c>
      <c r="B11" s="647" t="s">
        <v>1128</v>
      </c>
      <c r="C11" s="647"/>
      <c r="D11" s="647"/>
      <c r="E11" s="647"/>
      <c r="F11" s="647"/>
      <c r="G11" s="647"/>
      <c r="H11" s="647"/>
      <c r="I11" s="132">
        <v>15</v>
      </c>
      <c r="J11" s="133" t="s">
        <v>1108</v>
      </c>
      <c r="K11" s="10"/>
      <c r="L11" s="30"/>
      <c r="M11" s="30"/>
      <c r="N11" s="30" t="s">
        <v>246</v>
      </c>
      <c r="O11" s="30"/>
      <c r="P11" s="30"/>
      <c r="Q11" s="30" t="s">
        <v>246</v>
      </c>
      <c r="R11" s="30"/>
      <c r="S11" s="30"/>
      <c r="T11" s="30" t="s">
        <v>246</v>
      </c>
      <c r="U11" s="30"/>
      <c r="V11" s="30"/>
      <c r="W11" s="30" t="s">
        <v>246</v>
      </c>
      <c r="X11" s="468"/>
      <c r="Y11" s="468"/>
      <c r="Z11" s="469"/>
      <c r="AA11" s="451"/>
    </row>
    <row r="12" spans="1:27" s="14" customFormat="1" ht="45">
      <c r="A12" s="7" t="s">
        <v>153</v>
      </c>
      <c r="B12" s="647" t="s">
        <v>1127</v>
      </c>
      <c r="C12" s="647"/>
      <c r="D12" s="647"/>
      <c r="E12" s="647"/>
      <c r="F12" s="647"/>
      <c r="G12" s="647"/>
      <c r="H12" s="647"/>
      <c r="I12" s="132">
        <v>15</v>
      </c>
      <c r="J12" s="133" t="s">
        <v>1108</v>
      </c>
      <c r="K12" s="10"/>
      <c r="L12" s="30"/>
      <c r="M12" s="30"/>
      <c r="N12" s="30" t="s">
        <v>246</v>
      </c>
      <c r="O12" s="30"/>
      <c r="P12" s="30"/>
      <c r="Q12" s="30" t="s">
        <v>246</v>
      </c>
      <c r="R12" s="30"/>
      <c r="S12" s="30"/>
      <c r="T12" s="30" t="s">
        <v>246</v>
      </c>
      <c r="U12" s="30"/>
      <c r="V12" s="30"/>
      <c r="W12" s="30" t="s">
        <v>246</v>
      </c>
      <c r="X12" s="475"/>
      <c r="Y12" s="475"/>
      <c r="Z12" s="476"/>
      <c r="AA12" s="451"/>
    </row>
    <row r="13" spans="1:27" s="14" customFormat="1" ht="45">
      <c r="A13" s="7" t="s">
        <v>155</v>
      </c>
      <c r="B13" s="647" t="s">
        <v>1126</v>
      </c>
      <c r="C13" s="647"/>
      <c r="D13" s="647"/>
      <c r="E13" s="647"/>
      <c r="F13" s="647"/>
      <c r="G13" s="647"/>
      <c r="H13" s="647"/>
      <c r="I13" s="132">
        <v>15</v>
      </c>
      <c r="J13" s="133" t="s">
        <v>1108</v>
      </c>
      <c r="K13" s="10"/>
      <c r="L13" s="30"/>
      <c r="M13" s="30"/>
      <c r="N13" s="30"/>
      <c r="O13" s="30"/>
      <c r="P13" s="30"/>
      <c r="Q13" s="30"/>
      <c r="R13" s="30"/>
      <c r="S13" s="30"/>
      <c r="T13" s="30"/>
      <c r="U13" s="30"/>
      <c r="V13" s="30"/>
      <c r="W13" s="30" t="s">
        <v>246</v>
      </c>
      <c r="X13" s="468" t="s">
        <v>1125</v>
      </c>
      <c r="Y13" s="468"/>
      <c r="Z13" s="469"/>
      <c r="AA13" s="451"/>
    </row>
    <row r="14" spans="1:27" s="14" customFormat="1" ht="45">
      <c r="A14" s="7" t="s">
        <v>156</v>
      </c>
      <c r="B14" s="647" t="s">
        <v>1124</v>
      </c>
      <c r="C14" s="647"/>
      <c r="D14" s="647"/>
      <c r="E14" s="647"/>
      <c r="F14" s="647"/>
      <c r="G14" s="647"/>
      <c r="H14" s="647"/>
      <c r="I14" s="132">
        <v>10</v>
      </c>
      <c r="J14" s="133" t="s">
        <v>1108</v>
      </c>
      <c r="K14" s="10"/>
      <c r="L14" s="134"/>
      <c r="M14" s="134"/>
      <c r="N14" s="30" t="s">
        <v>246</v>
      </c>
      <c r="O14" s="134"/>
      <c r="P14" s="134"/>
      <c r="Q14" s="30" t="s">
        <v>246</v>
      </c>
      <c r="R14" s="134"/>
      <c r="S14" s="134"/>
      <c r="T14" s="30" t="s">
        <v>246</v>
      </c>
      <c r="U14" s="134"/>
      <c r="V14" s="134"/>
      <c r="W14" s="30" t="s">
        <v>246</v>
      </c>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B6:H7"/>
    <mergeCell ref="I6:I7"/>
    <mergeCell ref="J6:J7"/>
    <mergeCell ref="K6:K7"/>
    <mergeCell ref="X6:Z7"/>
    <mergeCell ref="B8:H8"/>
    <mergeCell ref="X8:Z8"/>
    <mergeCell ref="X16:Z19"/>
    <mergeCell ref="AA1:AA15"/>
    <mergeCell ref="A2:Z2"/>
    <mergeCell ref="A3:F3"/>
    <mergeCell ref="G3:H3"/>
    <mergeCell ref="I3:Z4"/>
    <mergeCell ref="G4:H4"/>
    <mergeCell ref="G5:H5"/>
    <mergeCell ref="I5:Z5"/>
    <mergeCell ref="A6:A7"/>
    <mergeCell ref="L6:W6"/>
    <mergeCell ref="K16:K17"/>
    <mergeCell ref="B10:H10"/>
    <mergeCell ref="X10:Z10"/>
    <mergeCell ref="F15:J15"/>
    <mergeCell ref="K15:N15"/>
    <mergeCell ref="B11:H11"/>
    <mergeCell ref="X11:Z11"/>
    <mergeCell ref="B12:H12"/>
    <mergeCell ref="X12:Z12"/>
    <mergeCell ref="O15:W15"/>
    <mergeCell ref="B9:H9"/>
    <mergeCell ref="X9:Z9"/>
    <mergeCell ref="X15:Z15"/>
    <mergeCell ref="A1:Y1"/>
    <mergeCell ref="F16:J19"/>
    <mergeCell ref="A15:E15"/>
    <mergeCell ref="A16:E19"/>
    <mergeCell ref="A4:F5"/>
    <mergeCell ref="B13:H13"/>
    <mergeCell ref="X13:Z13"/>
    <mergeCell ref="L16:N17"/>
    <mergeCell ref="K18:K19"/>
    <mergeCell ref="L18:N19"/>
    <mergeCell ref="O16:W19"/>
    <mergeCell ref="B14:H14"/>
    <mergeCell ref="X14:Z14"/>
  </mergeCells>
  <printOptions horizontalCentered="1" verticalCentered="1"/>
  <pageMargins left="0" right="0" top="0" bottom="0" header="0" footer="0"/>
  <pageSetup scale="4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17776-DB2A-48D7-8EB5-E4E8E117C5F2}">
  <dimension ref="A1:AA18"/>
  <sheetViews>
    <sheetView rightToLeft="1" view="pageBreakPreview" zoomScale="90" zoomScaleNormal="90" zoomScaleSheetLayoutView="90" workbookViewId="0">
      <selection activeCell="L8" sqref="L8:N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10.140625" style="21" customWidth="1"/>
    <col min="7" max="7" width="14.42578125" style="21" hidden="1" customWidth="1"/>
    <col min="8" max="8" width="25.7109375" style="21" hidden="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1116</v>
      </c>
      <c r="B3" s="456"/>
      <c r="C3" s="456"/>
      <c r="D3" s="456"/>
      <c r="E3" s="456"/>
      <c r="F3" s="456"/>
      <c r="G3" s="457" t="s">
        <v>790</v>
      </c>
      <c r="H3" s="457"/>
      <c r="I3" s="458" t="s">
        <v>1117</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1096</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1118</v>
      </c>
      <c r="C8" s="647"/>
      <c r="D8" s="647"/>
      <c r="E8" s="647"/>
      <c r="F8" s="647"/>
      <c r="G8" s="647"/>
      <c r="H8" s="647"/>
      <c r="I8" s="132">
        <v>10</v>
      </c>
      <c r="J8" s="133" t="s">
        <v>1098</v>
      </c>
      <c r="K8" s="10"/>
      <c r="L8" s="30" t="s">
        <v>246</v>
      </c>
      <c r="M8" s="30" t="s">
        <v>246</v>
      </c>
      <c r="N8" s="30" t="s">
        <v>246</v>
      </c>
      <c r="O8" s="30" t="s">
        <v>246</v>
      </c>
      <c r="P8" s="30" t="s">
        <v>246</v>
      </c>
      <c r="Q8" s="30" t="s">
        <v>246</v>
      </c>
      <c r="R8" s="30" t="s">
        <v>246</v>
      </c>
      <c r="S8" s="30" t="s">
        <v>246</v>
      </c>
      <c r="T8" s="30" t="s">
        <v>246</v>
      </c>
      <c r="U8" s="30" t="s">
        <v>246</v>
      </c>
      <c r="V8" s="30" t="s">
        <v>246</v>
      </c>
      <c r="W8" s="30" t="s">
        <v>246</v>
      </c>
      <c r="X8" s="475"/>
      <c r="Y8" s="475"/>
      <c r="Z8" s="476"/>
      <c r="AA8" s="451"/>
    </row>
    <row r="9" spans="1:27" s="14" customFormat="1" ht="24">
      <c r="A9" s="7" t="s">
        <v>66</v>
      </c>
      <c r="B9" s="647" t="s">
        <v>1119</v>
      </c>
      <c r="C9" s="647"/>
      <c r="D9" s="647"/>
      <c r="E9" s="647"/>
      <c r="F9" s="647"/>
      <c r="G9" s="647"/>
      <c r="H9" s="647"/>
      <c r="I9" s="132">
        <v>10</v>
      </c>
      <c r="J9" s="133" t="s">
        <v>1098</v>
      </c>
      <c r="K9" s="10"/>
      <c r="L9" s="30" t="s">
        <v>246</v>
      </c>
      <c r="M9" s="30" t="s">
        <v>246</v>
      </c>
      <c r="N9" s="30" t="s">
        <v>246</v>
      </c>
      <c r="O9" s="30" t="s">
        <v>246</v>
      </c>
      <c r="P9" s="30" t="s">
        <v>246</v>
      </c>
      <c r="Q9" s="30" t="s">
        <v>246</v>
      </c>
      <c r="R9" s="30" t="s">
        <v>246</v>
      </c>
      <c r="S9" s="30" t="s">
        <v>246</v>
      </c>
      <c r="T9" s="30" t="s">
        <v>246</v>
      </c>
      <c r="U9" s="30" t="s">
        <v>246</v>
      </c>
      <c r="V9" s="30" t="s">
        <v>246</v>
      </c>
      <c r="W9" s="30" t="s">
        <v>246</v>
      </c>
      <c r="X9" s="475"/>
      <c r="Y9" s="475"/>
      <c r="Z9" s="476"/>
      <c r="AA9" s="451"/>
    </row>
    <row r="10" spans="1:27" s="14" customFormat="1" ht="24">
      <c r="A10" s="7" t="s">
        <v>68</v>
      </c>
      <c r="B10" s="647" t="s">
        <v>1120</v>
      </c>
      <c r="C10" s="647"/>
      <c r="D10" s="647"/>
      <c r="E10" s="647"/>
      <c r="F10" s="647"/>
      <c r="G10" s="647"/>
      <c r="H10" s="647"/>
      <c r="I10" s="132">
        <v>40</v>
      </c>
      <c r="J10" s="133" t="s">
        <v>1103</v>
      </c>
      <c r="K10" s="10"/>
      <c r="L10" s="30" t="s">
        <v>246</v>
      </c>
      <c r="M10" s="30" t="s">
        <v>246</v>
      </c>
      <c r="N10" s="30" t="s">
        <v>246</v>
      </c>
      <c r="O10" s="30" t="s">
        <v>246</v>
      </c>
      <c r="P10" s="30" t="s">
        <v>246</v>
      </c>
      <c r="Q10" s="30" t="s">
        <v>246</v>
      </c>
      <c r="R10" s="30" t="s">
        <v>246</v>
      </c>
      <c r="S10" s="30" t="s">
        <v>246</v>
      </c>
      <c r="T10" s="30" t="s">
        <v>246</v>
      </c>
      <c r="U10" s="30" t="s">
        <v>246</v>
      </c>
      <c r="V10" s="30" t="s">
        <v>246</v>
      </c>
      <c r="W10" s="30" t="s">
        <v>246</v>
      </c>
      <c r="X10" s="468"/>
      <c r="Y10" s="468"/>
      <c r="Z10" s="469"/>
      <c r="AA10" s="451"/>
    </row>
    <row r="11" spans="1:27" s="14" customFormat="1" ht="24">
      <c r="A11" s="7" t="s">
        <v>70</v>
      </c>
      <c r="B11" s="647" t="s">
        <v>1121</v>
      </c>
      <c r="C11" s="647"/>
      <c r="D11" s="647"/>
      <c r="E11" s="647"/>
      <c r="F11" s="647"/>
      <c r="G11" s="647"/>
      <c r="H11" s="647"/>
      <c r="I11" s="132">
        <v>20</v>
      </c>
      <c r="J11" s="133" t="s">
        <v>1122</v>
      </c>
      <c r="K11" s="10"/>
      <c r="L11" s="30" t="s">
        <v>246</v>
      </c>
      <c r="M11" s="30" t="s">
        <v>246</v>
      </c>
      <c r="N11" s="30" t="s">
        <v>246</v>
      </c>
      <c r="O11" s="30" t="s">
        <v>246</v>
      </c>
      <c r="P11" s="30" t="s">
        <v>246</v>
      </c>
      <c r="Q11" s="30" t="s">
        <v>246</v>
      </c>
      <c r="R11" s="30" t="s">
        <v>246</v>
      </c>
      <c r="S11" s="30" t="s">
        <v>246</v>
      </c>
      <c r="T11" s="30" t="s">
        <v>246</v>
      </c>
      <c r="U11" s="30" t="s">
        <v>246</v>
      </c>
      <c r="V11" s="30" t="s">
        <v>246</v>
      </c>
      <c r="W11" s="30" t="s">
        <v>246</v>
      </c>
      <c r="X11" s="468"/>
      <c r="Y11" s="468"/>
      <c r="Z11" s="469"/>
      <c r="AA11" s="451"/>
    </row>
    <row r="12" spans="1:27" s="14" customFormat="1" ht="24">
      <c r="A12" s="7" t="s">
        <v>153</v>
      </c>
      <c r="B12" s="647" t="s">
        <v>1123</v>
      </c>
      <c r="C12" s="647"/>
      <c r="D12" s="647"/>
      <c r="E12" s="647"/>
      <c r="F12" s="647"/>
      <c r="G12" s="647"/>
      <c r="H12" s="647"/>
      <c r="I12" s="132">
        <v>20</v>
      </c>
      <c r="J12" s="133" t="s">
        <v>1122</v>
      </c>
      <c r="K12" s="10"/>
      <c r="L12" s="30" t="s">
        <v>246</v>
      </c>
      <c r="M12" s="30" t="s">
        <v>246</v>
      </c>
      <c r="N12" s="30" t="s">
        <v>246</v>
      </c>
      <c r="O12" s="30" t="s">
        <v>246</v>
      </c>
      <c r="P12" s="30" t="s">
        <v>246</v>
      </c>
      <c r="Q12" s="30" t="s">
        <v>246</v>
      </c>
      <c r="R12" s="30" t="s">
        <v>246</v>
      </c>
      <c r="S12" s="30" t="s">
        <v>246</v>
      </c>
      <c r="T12" s="30" t="s">
        <v>246</v>
      </c>
      <c r="U12" s="30" t="s">
        <v>246</v>
      </c>
      <c r="V12" s="30" t="s">
        <v>246</v>
      </c>
      <c r="W12" s="30" t="s">
        <v>246</v>
      </c>
      <c r="X12" s="475"/>
      <c r="Y12" s="475"/>
      <c r="Z12" s="476"/>
      <c r="AA12" s="451"/>
    </row>
    <row r="13" spans="1:27"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27"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7"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7"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X11:Z11"/>
    <mergeCell ref="B12:H12"/>
    <mergeCell ref="X12:Z12"/>
    <mergeCell ref="A13:E13"/>
    <mergeCell ref="F13:J13"/>
    <mergeCell ref="K13:N13"/>
    <mergeCell ref="O13:W13"/>
    <mergeCell ref="X13:Z13"/>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s>
  <printOptions horizontalCentered="1" verticalCentered="1"/>
  <pageMargins left="0" right="0" top="0" bottom="0" header="0" footer="0"/>
  <pageSetup scale="4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AE028-044C-4FF5-8B34-8DFF785CE47B}">
  <dimension ref="A1:AA26"/>
  <sheetViews>
    <sheetView rightToLeft="1" view="pageBreakPreview" zoomScale="90" zoomScaleNormal="90" zoomScaleSheetLayoutView="90" workbookViewId="0">
      <selection activeCell="I30" sqref="I3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9.42578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1092</v>
      </c>
      <c r="B3" s="456"/>
      <c r="C3" s="456"/>
      <c r="D3" s="456"/>
      <c r="E3" s="456"/>
      <c r="F3" s="456"/>
      <c r="G3" s="457" t="s">
        <v>1093</v>
      </c>
      <c r="H3" s="457"/>
      <c r="I3" s="458" t="s">
        <v>1094</v>
      </c>
      <c r="J3" s="458"/>
      <c r="K3" s="458"/>
      <c r="L3" s="458"/>
      <c r="M3" s="458"/>
      <c r="N3" s="458"/>
      <c r="O3" s="458"/>
      <c r="P3" s="458"/>
      <c r="Q3" s="458"/>
      <c r="R3" s="458"/>
      <c r="S3" s="458"/>
      <c r="T3" s="458"/>
      <c r="U3" s="458"/>
      <c r="V3" s="458"/>
      <c r="W3" s="458"/>
      <c r="X3" s="458"/>
      <c r="Y3" s="458"/>
      <c r="Z3" s="459"/>
      <c r="AA3" s="451"/>
    </row>
    <row r="4" spans="1:27" s="3" customFormat="1" ht="28.5" customHeight="1">
      <c r="A4" s="460" t="s">
        <v>1095</v>
      </c>
      <c r="B4" s="461"/>
      <c r="C4" s="461"/>
      <c r="D4" s="461"/>
      <c r="E4" s="461"/>
      <c r="F4" s="462"/>
      <c r="G4" s="457" t="s">
        <v>1096</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1097</v>
      </c>
      <c r="C8" s="647"/>
      <c r="D8" s="647"/>
      <c r="E8" s="647"/>
      <c r="F8" s="647"/>
      <c r="G8" s="647"/>
      <c r="H8" s="647"/>
      <c r="I8" s="132">
        <v>8</v>
      </c>
      <c r="J8" s="133" t="s">
        <v>1098</v>
      </c>
      <c r="K8" s="10"/>
      <c r="L8" s="30" t="s">
        <v>246</v>
      </c>
      <c r="M8" s="30"/>
      <c r="N8" s="30"/>
      <c r="O8" s="30" t="s">
        <v>246</v>
      </c>
      <c r="P8" s="30"/>
      <c r="Q8" s="30"/>
      <c r="R8" s="30" t="s">
        <v>246</v>
      </c>
      <c r="S8" s="30"/>
      <c r="T8" s="30"/>
      <c r="U8" s="30" t="s">
        <v>246</v>
      </c>
      <c r="V8" s="30"/>
      <c r="W8" s="30"/>
      <c r="X8" s="475"/>
      <c r="Y8" s="475"/>
      <c r="Z8" s="476"/>
      <c r="AA8" s="451"/>
    </row>
    <row r="9" spans="1:27" s="14" customFormat="1" ht="24">
      <c r="A9" s="7" t="s">
        <v>66</v>
      </c>
      <c r="B9" s="648" t="s">
        <v>1099</v>
      </c>
      <c r="C9" s="649"/>
      <c r="D9" s="649"/>
      <c r="E9" s="649"/>
      <c r="F9" s="649"/>
      <c r="G9" s="649"/>
      <c r="H9" s="650"/>
      <c r="I9" s="132">
        <v>8</v>
      </c>
      <c r="J9" s="133" t="s">
        <v>1098</v>
      </c>
      <c r="K9" s="10"/>
      <c r="L9" s="30"/>
      <c r="M9" s="30" t="s">
        <v>246</v>
      </c>
      <c r="N9" s="30"/>
      <c r="O9" s="30"/>
      <c r="P9" s="30" t="s">
        <v>246</v>
      </c>
      <c r="Q9" s="30"/>
      <c r="R9" s="30"/>
      <c r="S9" s="30" t="s">
        <v>246</v>
      </c>
      <c r="T9" s="30"/>
      <c r="U9" s="30"/>
      <c r="V9" s="30" t="s">
        <v>246</v>
      </c>
      <c r="W9" s="30"/>
      <c r="X9" s="475"/>
      <c r="Y9" s="475"/>
      <c r="Z9" s="476"/>
      <c r="AA9" s="451"/>
    </row>
    <row r="10" spans="1:27" s="14" customFormat="1" ht="24">
      <c r="A10" s="7" t="s">
        <v>68</v>
      </c>
      <c r="B10" s="648" t="s">
        <v>1100</v>
      </c>
      <c r="C10" s="649"/>
      <c r="D10" s="649"/>
      <c r="E10" s="649"/>
      <c r="F10" s="649"/>
      <c r="G10" s="649"/>
      <c r="H10" s="650"/>
      <c r="I10" s="132">
        <v>8</v>
      </c>
      <c r="J10" s="133" t="s">
        <v>1098</v>
      </c>
      <c r="K10" s="10"/>
      <c r="L10" s="30" t="s">
        <v>246</v>
      </c>
      <c r="M10" s="30"/>
      <c r="N10" s="30"/>
      <c r="O10" s="30" t="s">
        <v>246</v>
      </c>
      <c r="P10" s="30"/>
      <c r="Q10" s="30"/>
      <c r="R10" s="30" t="s">
        <v>246</v>
      </c>
      <c r="S10" s="30"/>
      <c r="T10" s="30"/>
      <c r="U10" s="30" t="s">
        <v>246</v>
      </c>
      <c r="V10" s="30"/>
      <c r="W10" s="30"/>
      <c r="X10" s="468"/>
      <c r="Y10" s="468"/>
      <c r="Z10" s="469"/>
      <c r="AA10" s="451"/>
    </row>
    <row r="11" spans="1:27" s="14" customFormat="1" ht="24">
      <c r="A11" s="7" t="s">
        <v>70</v>
      </c>
      <c r="B11" s="647" t="s">
        <v>1101</v>
      </c>
      <c r="C11" s="647"/>
      <c r="D11" s="647"/>
      <c r="E11" s="647"/>
      <c r="F11" s="647"/>
      <c r="G11" s="647"/>
      <c r="H11" s="647"/>
      <c r="I11" s="132">
        <v>8</v>
      </c>
      <c r="J11" s="133" t="s">
        <v>1098</v>
      </c>
      <c r="K11" s="10"/>
      <c r="L11" s="30" t="s">
        <v>246</v>
      </c>
      <c r="M11" s="30"/>
      <c r="N11" s="30"/>
      <c r="O11" s="30" t="s">
        <v>246</v>
      </c>
      <c r="P11" s="30"/>
      <c r="Q11" s="30"/>
      <c r="R11" s="30" t="s">
        <v>246</v>
      </c>
      <c r="S11" s="30"/>
      <c r="T11" s="30"/>
      <c r="U11" s="30" t="s">
        <v>246</v>
      </c>
      <c r="V11" s="30"/>
      <c r="W11" s="30"/>
      <c r="X11" s="468"/>
      <c r="Y11" s="468"/>
      <c r="Z11" s="469"/>
      <c r="AA11" s="451"/>
    </row>
    <row r="12" spans="1:27" s="14" customFormat="1" ht="24">
      <c r="A12" s="7" t="s">
        <v>153</v>
      </c>
      <c r="B12" s="647" t="s">
        <v>1102</v>
      </c>
      <c r="C12" s="647"/>
      <c r="D12" s="647"/>
      <c r="E12" s="647"/>
      <c r="F12" s="647"/>
      <c r="G12" s="647"/>
      <c r="H12" s="647"/>
      <c r="I12" s="132">
        <v>8</v>
      </c>
      <c r="J12" s="133" t="s">
        <v>1103</v>
      </c>
      <c r="K12" s="10"/>
      <c r="L12" s="30" t="s">
        <v>246</v>
      </c>
      <c r="M12" s="30"/>
      <c r="N12" s="30"/>
      <c r="O12" s="30" t="s">
        <v>246</v>
      </c>
      <c r="P12" s="30"/>
      <c r="Q12" s="30"/>
      <c r="R12" s="30" t="s">
        <v>246</v>
      </c>
      <c r="S12" s="30"/>
      <c r="T12" s="30"/>
      <c r="U12" s="30" t="s">
        <v>246</v>
      </c>
      <c r="V12" s="30"/>
      <c r="W12" s="30"/>
      <c r="X12" s="475"/>
      <c r="Y12" s="475"/>
      <c r="Z12" s="476"/>
      <c r="AA12" s="451"/>
    </row>
    <row r="13" spans="1:27" s="14" customFormat="1" ht="24">
      <c r="A13" s="7" t="s">
        <v>155</v>
      </c>
      <c r="B13" s="647" t="s">
        <v>1104</v>
      </c>
      <c r="C13" s="647"/>
      <c r="D13" s="647"/>
      <c r="E13" s="647"/>
      <c r="F13" s="647"/>
      <c r="G13" s="647"/>
      <c r="H13" s="647"/>
      <c r="I13" s="132">
        <v>8</v>
      </c>
      <c r="J13" s="133" t="s">
        <v>614</v>
      </c>
      <c r="K13" s="10"/>
      <c r="L13" s="30" t="s">
        <v>246</v>
      </c>
      <c r="M13" s="30" t="s">
        <v>246</v>
      </c>
      <c r="N13" s="30" t="s">
        <v>246</v>
      </c>
      <c r="O13" s="30" t="s">
        <v>246</v>
      </c>
      <c r="P13" s="30" t="s">
        <v>246</v>
      </c>
      <c r="Q13" s="30" t="s">
        <v>246</v>
      </c>
      <c r="R13" s="30" t="s">
        <v>246</v>
      </c>
      <c r="S13" s="30" t="s">
        <v>246</v>
      </c>
      <c r="T13" s="30" t="s">
        <v>246</v>
      </c>
      <c r="U13" s="30" t="s">
        <v>246</v>
      </c>
      <c r="V13" s="30" t="s">
        <v>246</v>
      </c>
      <c r="W13" s="30" t="s">
        <v>246</v>
      </c>
      <c r="X13" s="468"/>
      <c r="Y13" s="468"/>
      <c r="Z13" s="469"/>
      <c r="AA13" s="451"/>
    </row>
    <row r="14" spans="1:27" s="14" customFormat="1" ht="24">
      <c r="A14" s="7" t="s">
        <v>156</v>
      </c>
      <c r="B14" s="647" t="s">
        <v>1105</v>
      </c>
      <c r="C14" s="647"/>
      <c r="D14" s="647"/>
      <c r="E14" s="647"/>
      <c r="F14" s="647"/>
      <c r="G14" s="647"/>
      <c r="H14" s="647"/>
      <c r="I14" s="132">
        <v>8</v>
      </c>
      <c r="J14" s="133" t="s">
        <v>1098</v>
      </c>
      <c r="K14" s="10"/>
      <c r="L14" s="30" t="s">
        <v>246</v>
      </c>
      <c r="M14" s="30"/>
      <c r="N14" s="30"/>
      <c r="O14" s="30" t="s">
        <v>246</v>
      </c>
      <c r="P14" s="30"/>
      <c r="Q14" s="30"/>
      <c r="R14" s="30" t="s">
        <v>246</v>
      </c>
      <c r="S14" s="30"/>
      <c r="T14" s="30"/>
      <c r="U14" s="30" t="s">
        <v>246</v>
      </c>
      <c r="V14" s="30"/>
      <c r="W14" s="30"/>
      <c r="X14" s="468"/>
      <c r="Y14" s="468"/>
      <c r="Z14" s="469"/>
      <c r="AA14" s="451"/>
    </row>
    <row r="15" spans="1:27" s="14" customFormat="1" ht="24">
      <c r="A15" s="7" t="s">
        <v>853</v>
      </c>
      <c r="B15" s="647" t="s">
        <v>1106</v>
      </c>
      <c r="C15" s="647"/>
      <c r="D15" s="647"/>
      <c r="E15" s="647"/>
      <c r="F15" s="647"/>
      <c r="G15" s="647"/>
      <c r="H15" s="647"/>
      <c r="I15" s="132">
        <v>8</v>
      </c>
      <c r="J15" s="133" t="s">
        <v>1098</v>
      </c>
      <c r="K15" s="10"/>
      <c r="L15" s="30" t="s">
        <v>246</v>
      </c>
      <c r="M15" s="30"/>
      <c r="N15" s="30"/>
      <c r="O15" s="30" t="s">
        <v>246</v>
      </c>
      <c r="P15" s="30"/>
      <c r="Q15" s="30"/>
      <c r="R15" s="30" t="s">
        <v>246</v>
      </c>
      <c r="S15" s="30"/>
      <c r="T15" s="30"/>
      <c r="U15" s="30" t="s">
        <v>246</v>
      </c>
      <c r="V15" s="30"/>
      <c r="W15" s="30"/>
      <c r="X15" s="468"/>
      <c r="Y15" s="468"/>
      <c r="Z15" s="469"/>
      <c r="AA15" s="451"/>
    </row>
    <row r="16" spans="1:27" s="14" customFormat="1" ht="45">
      <c r="A16" s="7" t="s">
        <v>892</v>
      </c>
      <c r="B16" s="647" t="s">
        <v>1107</v>
      </c>
      <c r="C16" s="647"/>
      <c r="D16" s="647"/>
      <c r="E16" s="647"/>
      <c r="F16" s="647"/>
      <c r="G16" s="647"/>
      <c r="H16" s="647"/>
      <c r="I16" s="132">
        <v>8</v>
      </c>
      <c r="J16" s="133" t="s">
        <v>1108</v>
      </c>
      <c r="K16" s="10"/>
      <c r="L16" s="30" t="s">
        <v>246</v>
      </c>
      <c r="M16" s="30" t="s">
        <v>246</v>
      </c>
      <c r="N16" s="30" t="s">
        <v>246</v>
      </c>
      <c r="O16" s="30" t="s">
        <v>246</v>
      </c>
      <c r="P16" s="30" t="s">
        <v>246</v>
      </c>
      <c r="Q16" s="30" t="s">
        <v>246</v>
      </c>
      <c r="R16" s="30" t="s">
        <v>246</v>
      </c>
      <c r="S16" s="30" t="s">
        <v>246</v>
      </c>
      <c r="T16" s="30" t="s">
        <v>246</v>
      </c>
      <c r="U16" s="30" t="s">
        <v>246</v>
      </c>
      <c r="V16" s="30" t="s">
        <v>246</v>
      </c>
      <c r="W16" s="30" t="s">
        <v>246</v>
      </c>
      <c r="X16" s="468"/>
      <c r="Y16" s="468"/>
      <c r="Z16" s="469"/>
      <c r="AA16" s="451"/>
    </row>
    <row r="17" spans="1:27" s="14" customFormat="1" ht="24">
      <c r="A17" s="7" t="s">
        <v>894</v>
      </c>
      <c r="B17" s="647" t="s">
        <v>1109</v>
      </c>
      <c r="C17" s="647"/>
      <c r="D17" s="647"/>
      <c r="E17" s="647"/>
      <c r="F17" s="647"/>
      <c r="G17" s="647"/>
      <c r="H17" s="647"/>
      <c r="I17" s="132">
        <v>8</v>
      </c>
      <c r="J17" s="133" t="s">
        <v>1098</v>
      </c>
      <c r="K17" s="10"/>
      <c r="L17" s="30" t="s">
        <v>246</v>
      </c>
      <c r="M17" s="30" t="s">
        <v>246</v>
      </c>
      <c r="N17" s="30" t="s">
        <v>246</v>
      </c>
      <c r="O17" s="30" t="s">
        <v>246</v>
      </c>
      <c r="P17" s="30" t="s">
        <v>246</v>
      </c>
      <c r="Q17" s="30" t="s">
        <v>246</v>
      </c>
      <c r="R17" s="30" t="s">
        <v>246</v>
      </c>
      <c r="S17" s="30" t="s">
        <v>246</v>
      </c>
      <c r="T17" s="30" t="s">
        <v>246</v>
      </c>
      <c r="U17" s="30" t="s">
        <v>246</v>
      </c>
      <c r="V17" s="30" t="s">
        <v>246</v>
      </c>
      <c r="W17" s="30" t="s">
        <v>246</v>
      </c>
      <c r="X17" s="468"/>
      <c r="Y17" s="468"/>
      <c r="Z17" s="469"/>
      <c r="AA17" s="451"/>
    </row>
    <row r="18" spans="1:27" s="14" customFormat="1" ht="24">
      <c r="A18" s="7" t="s">
        <v>897</v>
      </c>
      <c r="B18" s="647" t="s">
        <v>1110</v>
      </c>
      <c r="C18" s="647"/>
      <c r="D18" s="647"/>
      <c r="E18" s="647"/>
      <c r="F18" s="647"/>
      <c r="G18" s="647"/>
      <c r="H18" s="647"/>
      <c r="I18" s="132">
        <v>7</v>
      </c>
      <c r="J18" s="133" t="s">
        <v>775</v>
      </c>
      <c r="K18" s="10"/>
      <c r="L18" s="30" t="s">
        <v>246</v>
      </c>
      <c r="M18" s="30" t="s">
        <v>246</v>
      </c>
      <c r="N18" s="30" t="s">
        <v>246</v>
      </c>
      <c r="O18" s="30" t="s">
        <v>246</v>
      </c>
      <c r="P18" s="30" t="s">
        <v>246</v>
      </c>
      <c r="Q18" s="30" t="s">
        <v>246</v>
      </c>
      <c r="R18" s="30" t="s">
        <v>246</v>
      </c>
      <c r="S18" s="30" t="s">
        <v>246</v>
      </c>
      <c r="T18" s="30" t="s">
        <v>246</v>
      </c>
      <c r="U18" s="30" t="s">
        <v>246</v>
      </c>
      <c r="V18" s="30" t="s">
        <v>246</v>
      </c>
      <c r="W18" s="30" t="s">
        <v>246</v>
      </c>
      <c r="X18" s="468"/>
      <c r="Y18" s="468"/>
      <c r="Z18" s="469"/>
      <c r="AA18" s="451"/>
    </row>
    <row r="19" spans="1:27" s="14" customFormat="1" ht="45">
      <c r="A19" s="7" t="s">
        <v>1073</v>
      </c>
      <c r="B19" s="647" t="s">
        <v>1111</v>
      </c>
      <c r="C19" s="647"/>
      <c r="D19" s="647"/>
      <c r="E19" s="647"/>
      <c r="F19" s="647"/>
      <c r="G19" s="647"/>
      <c r="H19" s="647"/>
      <c r="I19" s="132">
        <v>7</v>
      </c>
      <c r="J19" s="133" t="s">
        <v>1112</v>
      </c>
      <c r="K19" s="428"/>
      <c r="L19" s="30"/>
      <c r="M19" s="30"/>
      <c r="N19" s="30"/>
      <c r="O19" s="30" t="s">
        <v>246</v>
      </c>
      <c r="P19" s="30"/>
      <c r="Q19" s="30"/>
      <c r="R19" s="30" t="s">
        <v>246</v>
      </c>
      <c r="S19" s="30"/>
      <c r="T19" s="30"/>
      <c r="U19" s="30" t="s">
        <v>246</v>
      </c>
      <c r="V19" s="30"/>
      <c r="W19" s="30"/>
      <c r="X19" s="468" t="s">
        <v>1113</v>
      </c>
      <c r="Y19" s="468"/>
      <c r="Z19" s="469"/>
      <c r="AA19" s="451"/>
    </row>
    <row r="20" spans="1:27" s="14" customFormat="1" ht="24">
      <c r="A20" s="7" t="s">
        <v>1114</v>
      </c>
      <c r="B20" s="647" t="s">
        <v>1115</v>
      </c>
      <c r="C20" s="647"/>
      <c r="D20" s="647"/>
      <c r="E20" s="647"/>
      <c r="F20" s="647"/>
      <c r="G20" s="647"/>
      <c r="H20" s="647"/>
      <c r="I20" s="132">
        <v>6</v>
      </c>
      <c r="J20" s="133" t="s">
        <v>775</v>
      </c>
      <c r="K20" s="10"/>
      <c r="L20" s="134"/>
      <c r="M20" s="134"/>
      <c r="N20" s="134"/>
      <c r="O20" s="30" t="s">
        <v>246</v>
      </c>
      <c r="P20" s="134"/>
      <c r="Q20" s="134"/>
      <c r="R20" s="30" t="s">
        <v>246</v>
      </c>
      <c r="S20" s="134"/>
      <c r="T20" s="134"/>
      <c r="U20" s="30" t="s">
        <v>246</v>
      </c>
      <c r="V20" s="134"/>
      <c r="W20" s="134"/>
      <c r="X20" s="468" t="s">
        <v>1113</v>
      </c>
      <c r="Y20" s="468"/>
      <c r="Z20" s="469"/>
      <c r="AA20" s="451"/>
    </row>
    <row r="21" spans="1:27" ht="57.75" customHeight="1">
      <c r="A21" s="488" t="s">
        <v>42</v>
      </c>
      <c r="B21" s="489"/>
      <c r="C21" s="489"/>
      <c r="D21" s="489"/>
      <c r="E21" s="490"/>
      <c r="F21" s="472" t="s">
        <v>43</v>
      </c>
      <c r="G21" s="472"/>
      <c r="H21" s="472"/>
      <c r="I21" s="472"/>
      <c r="J21" s="472"/>
      <c r="K21" s="472" t="s">
        <v>44</v>
      </c>
      <c r="L21" s="472"/>
      <c r="M21" s="472"/>
      <c r="N21" s="472"/>
      <c r="O21" s="491" t="s">
        <v>45</v>
      </c>
      <c r="P21" s="492"/>
      <c r="Q21" s="492"/>
      <c r="R21" s="492"/>
      <c r="S21" s="492"/>
      <c r="T21" s="492"/>
      <c r="U21" s="492"/>
      <c r="V21" s="492"/>
      <c r="W21" s="493"/>
      <c r="X21" s="472" t="s">
        <v>46</v>
      </c>
      <c r="Y21" s="472"/>
      <c r="Z21" s="472"/>
      <c r="AA21" s="451"/>
    </row>
    <row r="22" spans="1:27" s="20" customFormat="1" ht="28.5">
      <c r="A22" s="494"/>
      <c r="B22" s="495"/>
      <c r="C22" s="495"/>
      <c r="D22" s="495"/>
      <c r="E22" s="496"/>
      <c r="F22" s="503"/>
      <c r="G22" s="504"/>
      <c r="H22" s="504"/>
      <c r="I22" s="504"/>
      <c r="J22" s="505"/>
      <c r="K22" s="486" t="s">
        <v>47</v>
      </c>
      <c r="L22" s="486"/>
      <c r="M22" s="486"/>
      <c r="N22" s="486"/>
      <c r="O22" s="477"/>
      <c r="P22" s="478"/>
      <c r="Q22" s="478"/>
      <c r="R22" s="478"/>
      <c r="S22" s="478"/>
      <c r="T22" s="478"/>
      <c r="U22" s="478"/>
      <c r="V22" s="478"/>
      <c r="W22" s="512"/>
      <c r="X22" s="477"/>
      <c r="Y22" s="478"/>
      <c r="Z22" s="479"/>
    </row>
    <row r="23" spans="1:27" s="20" customFormat="1" ht="28.5">
      <c r="A23" s="497"/>
      <c r="B23" s="498"/>
      <c r="C23" s="498"/>
      <c r="D23" s="498"/>
      <c r="E23" s="499"/>
      <c r="F23" s="506"/>
      <c r="G23" s="507"/>
      <c r="H23" s="507"/>
      <c r="I23" s="507"/>
      <c r="J23" s="508"/>
      <c r="K23" s="486"/>
      <c r="L23" s="486"/>
      <c r="M23" s="486"/>
      <c r="N23" s="486"/>
      <c r="O23" s="480"/>
      <c r="P23" s="481"/>
      <c r="Q23" s="481"/>
      <c r="R23" s="481"/>
      <c r="S23" s="481"/>
      <c r="T23" s="481"/>
      <c r="U23" s="481"/>
      <c r="V23" s="481"/>
      <c r="W23" s="513"/>
      <c r="X23" s="480"/>
      <c r="Y23" s="481"/>
      <c r="Z23" s="482"/>
    </row>
    <row r="24" spans="1:27" s="20" customFormat="1" ht="28.5">
      <c r="A24" s="497"/>
      <c r="B24" s="498"/>
      <c r="C24" s="498"/>
      <c r="D24" s="498"/>
      <c r="E24" s="499"/>
      <c r="F24" s="506"/>
      <c r="G24" s="507"/>
      <c r="H24" s="507"/>
      <c r="I24" s="507"/>
      <c r="J24" s="508"/>
      <c r="K24" s="486" t="s">
        <v>48</v>
      </c>
      <c r="L24" s="486"/>
      <c r="M24" s="486"/>
      <c r="N24" s="486"/>
      <c r="O24" s="480"/>
      <c r="P24" s="481"/>
      <c r="Q24" s="481"/>
      <c r="R24" s="481"/>
      <c r="S24" s="481"/>
      <c r="T24" s="481"/>
      <c r="U24" s="481"/>
      <c r="V24" s="481"/>
      <c r="W24" s="513"/>
      <c r="X24" s="480"/>
      <c r="Y24" s="481"/>
      <c r="Z24" s="482"/>
    </row>
    <row r="25" spans="1:27" s="20" customFormat="1" ht="29.25" thickBot="1">
      <c r="A25" s="500"/>
      <c r="B25" s="501"/>
      <c r="C25" s="501"/>
      <c r="D25" s="501"/>
      <c r="E25" s="502"/>
      <c r="F25" s="509"/>
      <c r="G25" s="510"/>
      <c r="H25" s="510"/>
      <c r="I25" s="510"/>
      <c r="J25" s="511"/>
      <c r="K25" s="487"/>
      <c r="L25" s="487"/>
      <c r="M25" s="487"/>
      <c r="N25" s="487"/>
      <c r="O25" s="483"/>
      <c r="P25" s="484"/>
      <c r="Q25" s="484"/>
      <c r="R25" s="484"/>
      <c r="S25" s="484"/>
      <c r="T25" s="484"/>
      <c r="U25" s="484"/>
      <c r="V25" s="484"/>
      <c r="W25" s="514"/>
      <c r="X25" s="483"/>
      <c r="Y25" s="484"/>
      <c r="Z25" s="485"/>
    </row>
    <row r="26" spans="1:27" ht="18.75" thickTop="1"/>
  </sheetData>
  <mergeCells count="56">
    <mergeCell ref="A1:Y1"/>
    <mergeCell ref="AA1:AA2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19:H19"/>
    <mergeCell ref="X19:Z19"/>
    <mergeCell ref="X22:Z25"/>
    <mergeCell ref="B9:H9"/>
    <mergeCell ref="X9:Z9"/>
    <mergeCell ref="B11:H11"/>
    <mergeCell ref="X11:Z11"/>
    <mergeCell ref="B12:H12"/>
    <mergeCell ref="X12:Z12"/>
    <mergeCell ref="B16:H16"/>
    <mergeCell ref="X16:Z16"/>
    <mergeCell ref="B17:H17"/>
    <mergeCell ref="X17:Z17"/>
    <mergeCell ref="B18:H18"/>
    <mergeCell ref="X18:Z18"/>
    <mergeCell ref="B13:H13"/>
    <mergeCell ref="X13:Z13"/>
    <mergeCell ref="B14:H14"/>
    <mergeCell ref="X14:Z14"/>
    <mergeCell ref="B15:H15"/>
    <mergeCell ref="X15:Z15"/>
    <mergeCell ref="K24:K25"/>
    <mergeCell ref="L24:N25"/>
    <mergeCell ref="B20:H20"/>
    <mergeCell ref="X20:Z20"/>
    <mergeCell ref="A21:E21"/>
    <mergeCell ref="F21:J21"/>
    <mergeCell ref="K21:N21"/>
    <mergeCell ref="O21:W21"/>
    <mergeCell ref="X21:Z21"/>
    <mergeCell ref="A22:E25"/>
    <mergeCell ref="F22:J25"/>
    <mergeCell ref="K22:K23"/>
    <mergeCell ref="L22:N23"/>
    <mergeCell ref="O22:W25"/>
  </mergeCells>
  <printOptions horizontalCentered="1" verticalCentered="1"/>
  <pageMargins left="0" right="0" top="0" bottom="0" header="0" footer="0"/>
  <pageSetup scale="4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8BE6-B8D1-42AA-BF6D-F5C1C8FBA7F7}">
  <dimension ref="A1:AA17"/>
  <sheetViews>
    <sheetView rightToLeft="1" zoomScale="70" zoomScaleNormal="70" zoomScaleSheetLayoutView="70" workbookViewId="0">
      <selection activeCell="N20" sqref="N2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1083</v>
      </c>
      <c r="B3" s="456"/>
      <c r="C3" s="456"/>
      <c r="D3" s="456"/>
      <c r="E3" s="456"/>
      <c r="F3" s="456"/>
      <c r="G3" s="457" t="s">
        <v>1084</v>
      </c>
      <c r="H3" s="457"/>
      <c r="I3" s="458" t="s">
        <v>1085</v>
      </c>
      <c r="J3" s="458"/>
      <c r="K3" s="458"/>
      <c r="L3" s="458"/>
      <c r="M3" s="458"/>
      <c r="N3" s="458"/>
      <c r="O3" s="458"/>
      <c r="P3" s="458"/>
      <c r="Q3" s="458"/>
      <c r="R3" s="458"/>
      <c r="S3" s="458"/>
      <c r="T3" s="458"/>
      <c r="U3" s="458"/>
      <c r="V3" s="458"/>
      <c r="W3" s="458"/>
      <c r="X3" s="458"/>
      <c r="Y3" s="458"/>
      <c r="Z3" s="459"/>
      <c r="AA3" s="451"/>
    </row>
    <row r="4" spans="1:27" s="3" customFormat="1" ht="28.5" customHeight="1">
      <c r="A4" s="460" t="s">
        <v>1041</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1042</v>
      </c>
      <c r="H5" s="456"/>
      <c r="I5" s="456" t="s">
        <v>1054</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51.75" customHeight="1">
      <c r="A8" s="7" t="s">
        <v>28</v>
      </c>
      <c r="B8" s="740" t="s">
        <v>1086</v>
      </c>
      <c r="C8" s="740"/>
      <c r="D8" s="740"/>
      <c r="E8" s="740"/>
      <c r="F8" s="740"/>
      <c r="G8" s="740"/>
      <c r="H8" s="740"/>
      <c r="I8" s="264">
        <v>10</v>
      </c>
      <c r="J8" s="265" t="s">
        <v>669</v>
      </c>
      <c r="K8" s="10"/>
      <c r="L8" s="30" t="s">
        <v>246</v>
      </c>
      <c r="M8" s="30"/>
      <c r="N8" s="30"/>
      <c r="O8" s="30"/>
      <c r="P8" s="30"/>
      <c r="Q8" s="30"/>
      <c r="R8" s="30"/>
      <c r="S8" s="30"/>
      <c r="T8" s="30"/>
      <c r="U8" s="30"/>
      <c r="V8" s="30"/>
      <c r="W8" s="30"/>
      <c r="X8" s="475"/>
      <c r="Y8" s="475"/>
      <c r="Z8" s="476"/>
      <c r="AA8" s="451"/>
    </row>
    <row r="9" spans="1:27" s="14" customFormat="1" ht="51.75" customHeight="1">
      <c r="A9" s="7" t="s">
        <v>66</v>
      </c>
      <c r="B9" s="737" t="s">
        <v>1087</v>
      </c>
      <c r="C9" s="738"/>
      <c r="D9" s="738"/>
      <c r="E9" s="738"/>
      <c r="F9" s="738"/>
      <c r="G9" s="738"/>
      <c r="H9" s="739"/>
      <c r="I9" s="264">
        <v>10</v>
      </c>
      <c r="J9" s="265" t="s">
        <v>1088</v>
      </c>
      <c r="K9" s="10"/>
      <c r="L9" s="30" t="s">
        <v>246</v>
      </c>
      <c r="M9" s="30"/>
      <c r="N9" s="30"/>
      <c r="O9" s="30"/>
      <c r="P9" s="30"/>
      <c r="Q9" s="30"/>
      <c r="R9" s="30"/>
      <c r="S9" s="30"/>
      <c r="T9" s="30"/>
      <c r="U9" s="30"/>
      <c r="V9" s="30"/>
      <c r="W9" s="30"/>
      <c r="X9" s="733"/>
      <c r="Y9" s="734"/>
      <c r="Z9" s="735"/>
      <c r="AA9" s="451"/>
    </row>
    <row r="10" spans="1:27" s="14" customFormat="1" ht="51.75" customHeight="1">
      <c r="A10" s="7" t="s">
        <v>68</v>
      </c>
      <c r="B10" s="737" t="s">
        <v>1089</v>
      </c>
      <c r="C10" s="738"/>
      <c r="D10" s="738"/>
      <c r="E10" s="738"/>
      <c r="F10" s="738"/>
      <c r="G10" s="738"/>
      <c r="H10" s="739"/>
      <c r="I10" s="264">
        <v>20</v>
      </c>
      <c r="J10" s="265" t="s">
        <v>669</v>
      </c>
      <c r="K10" s="10"/>
      <c r="L10" s="30" t="s">
        <v>246</v>
      </c>
      <c r="M10" s="30" t="s">
        <v>246</v>
      </c>
      <c r="N10" s="30"/>
      <c r="O10" s="30"/>
      <c r="P10" s="30"/>
      <c r="Q10" s="30"/>
      <c r="R10" s="30"/>
      <c r="S10" s="30"/>
      <c r="T10" s="30"/>
      <c r="U10" s="30"/>
      <c r="V10" s="30"/>
      <c r="W10" s="30"/>
      <c r="X10" s="163"/>
      <c r="Y10" s="164"/>
      <c r="Z10" s="165"/>
      <c r="AA10" s="451"/>
    </row>
    <row r="11" spans="1:27" s="14" customFormat="1" ht="51.75" customHeight="1">
      <c r="A11" s="7" t="s">
        <v>70</v>
      </c>
      <c r="B11" s="740" t="s">
        <v>1090</v>
      </c>
      <c r="C11" s="740"/>
      <c r="D11" s="740"/>
      <c r="E11" s="740"/>
      <c r="F11" s="740"/>
      <c r="G11" s="740"/>
      <c r="H11" s="740"/>
      <c r="I11" s="264">
        <v>20</v>
      </c>
      <c r="J11" s="265" t="s">
        <v>669</v>
      </c>
      <c r="K11" s="10"/>
      <c r="L11" s="30"/>
      <c r="M11" s="30" t="s">
        <v>246</v>
      </c>
      <c r="N11" s="30" t="s">
        <v>246</v>
      </c>
      <c r="O11" s="30" t="s">
        <v>246</v>
      </c>
      <c r="P11" s="30" t="s">
        <v>246</v>
      </c>
      <c r="Q11" s="30" t="s">
        <v>246</v>
      </c>
      <c r="R11" s="30"/>
      <c r="S11" s="30"/>
      <c r="T11" s="30"/>
      <c r="U11" s="30"/>
      <c r="V11" s="30"/>
      <c r="W11" s="30"/>
      <c r="X11" s="475"/>
      <c r="Y11" s="475"/>
      <c r="Z11" s="476"/>
      <c r="AA11" s="451"/>
    </row>
    <row r="12" spans="1:27" s="14" customFormat="1" ht="51.75" customHeight="1">
      <c r="A12" s="7" t="s">
        <v>153</v>
      </c>
      <c r="B12" s="740" t="s">
        <v>1091</v>
      </c>
      <c r="C12" s="740"/>
      <c r="D12" s="740"/>
      <c r="E12" s="740"/>
      <c r="F12" s="740"/>
      <c r="G12" s="740"/>
      <c r="H12" s="740"/>
      <c r="I12" s="264">
        <v>40</v>
      </c>
      <c r="J12" s="265" t="s">
        <v>652</v>
      </c>
      <c r="K12" s="10"/>
      <c r="L12" s="30"/>
      <c r="M12" s="30" t="s">
        <v>246</v>
      </c>
      <c r="N12" s="30" t="s">
        <v>246</v>
      </c>
      <c r="O12" s="30" t="s">
        <v>246</v>
      </c>
      <c r="P12" s="30" t="s">
        <v>246</v>
      </c>
      <c r="Q12" s="30" t="s">
        <v>246</v>
      </c>
      <c r="R12" s="30"/>
      <c r="S12" s="30"/>
      <c r="T12" s="30"/>
      <c r="U12" s="30"/>
      <c r="V12" s="30"/>
      <c r="W12" s="30"/>
      <c r="X12" s="468"/>
      <c r="Y12" s="468"/>
      <c r="Z12" s="469"/>
      <c r="AA12" s="451"/>
    </row>
    <row r="13" spans="1:27"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741"/>
      <c r="AA13" s="451"/>
    </row>
    <row r="14" spans="1:27"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7"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7"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sheetData>
  <mergeCells count="39">
    <mergeCell ref="B11:H11"/>
    <mergeCell ref="B12:H12"/>
    <mergeCell ref="A13:E13"/>
    <mergeCell ref="F13:J13"/>
    <mergeCell ref="K13:N13"/>
    <mergeCell ref="O14:W17"/>
    <mergeCell ref="X14:Z17"/>
    <mergeCell ref="K16:K17"/>
    <mergeCell ref="L16:N17"/>
    <mergeCell ref="A14:E17"/>
    <mergeCell ref="F14:J17"/>
    <mergeCell ref="K14:K15"/>
    <mergeCell ref="L14:N15"/>
    <mergeCell ref="I6:I7"/>
    <mergeCell ref="O13:W13"/>
    <mergeCell ref="X13:Z13"/>
    <mergeCell ref="J6:J7"/>
    <mergeCell ref="X8:Z8"/>
    <mergeCell ref="X6:Z7"/>
    <mergeCell ref="K6:K7"/>
    <mergeCell ref="L6:W6"/>
    <mergeCell ref="X11:Z11"/>
    <mergeCell ref="X12:Z12"/>
    <mergeCell ref="A1:Y1"/>
    <mergeCell ref="AA1:AA13"/>
    <mergeCell ref="A2:Z2"/>
    <mergeCell ref="A3:F3"/>
    <mergeCell ref="G3:H3"/>
    <mergeCell ref="I3:Z4"/>
    <mergeCell ref="A4:F5"/>
    <mergeCell ref="G4:H4"/>
    <mergeCell ref="G5:H5"/>
    <mergeCell ref="I5:Z5"/>
    <mergeCell ref="B10:H10"/>
    <mergeCell ref="A6:A7"/>
    <mergeCell ref="B6:H7"/>
    <mergeCell ref="B8:H8"/>
    <mergeCell ref="B9:H9"/>
    <mergeCell ref="X9:Z9"/>
  </mergeCells>
  <printOptions horizontalCentered="1" verticalCentered="1"/>
  <pageMargins left="0" right="0" top="0" bottom="0" header="0" footer="0"/>
  <pageSetup paperSize="9" scale="43"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C19C-D69D-48FC-A09F-79F0C0BA74D6}">
  <dimension ref="A1:AA18"/>
  <sheetViews>
    <sheetView rightToLeft="1" view="pageBreakPreview" zoomScale="70" zoomScaleNormal="90" zoomScaleSheetLayoutView="70" workbookViewId="0">
      <selection activeCell="U12" sqref="U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1082</v>
      </c>
      <c r="B3" s="456"/>
      <c r="C3" s="456"/>
      <c r="D3" s="456"/>
      <c r="E3" s="456"/>
      <c r="F3" s="456"/>
      <c r="G3" s="457" t="s">
        <v>1081</v>
      </c>
      <c r="H3" s="457"/>
      <c r="I3" s="458" t="s">
        <v>1080</v>
      </c>
      <c r="J3" s="458"/>
      <c r="K3" s="458"/>
      <c r="L3" s="458"/>
      <c r="M3" s="458"/>
      <c r="N3" s="458"/>
      <c r="O3" s="458"/>
      <c r="P3" s="458"/>
      <c r="Q3" s="458"/>
      <c r="R3" s="458"/>
      <c r="S3" s="458"/>
      <c r="T3" s="458"/>
      <c r="U3" s="458"/>
      <c r="V3" s="458"/>
      <c r="W3" s="458"/>
      <c r="X3" s="458"/>
      <c r="Y3" s="458"/>
      <c r="Z3" s="459"/>
      <c r="AA3" s="451"/>
    </row>
    <row r="4" spans="1:27" s="3" customFormat="1" ht="28.5" customHeight="1">
      <c r="A4" s="460" t="s">
        <v>1041</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1042</v>
      </c>
      <c r="H5" s="456"/>
      <c r="I5" s="456" t="s">
        <v>1079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51.75" customHeight="1">
      <c r="A8" s="7" t="s">
        <v>28</v>
      </c>
      <c r="B8" s="740" t="s">
        <v>1078</v>
      </c>
      <c r="C8" s="740"/>
      <c r="D8" s="740"/>
      <c r="E8" s="740"/>
      <c r="F8" s="740"/>
      <c r="G8" s="740"/>
      <c r="H8" s="740"/>
      <c r="I8" s="264">
        <v>20</v>
      </c>
      <c r="J8" s="265" t="s">
        <v>669</v>
      </c>
      <c r="K8" s="10"/>
      <c r="L8" s="30" t="s">
        <v>246</v>
      </c>
      <c r="M8" s="30"/>
      <c r="N8" s="30"/>
      <c r="O8" s="30"/>
      <c r="P8" s="30"/>
      <c r="Q8" s="30"/>
      <c r="R8" s="30"/>
      <c r="S8" s="30"/>
      <c r="T8" s="30"/>
      <c r="U8" s="30"/>
      <c r="V8" s="30"/>
      <c r="W8" s="30"/>
      <c r="X8" s="475"/>
      <c r="Y8" s="475"/>
      <c r="Z8" s="476"/>
      <c r="AA8" s="451"/>
    </row>
    <row r="9" spans="1:27" s="14" customFormat="1" ht="51.75" customHeight="1">
      <c r="A9" s="7"/>
      <c r="B9" s="737" t="s">
        <v>1077</v>
      </c>
      <c r="C9" s="738"/>
      <c r="D9" s="738"/>
      <c r="E9" s="738"/>
      <c r="F9" s="738"/>
      <c r="G9" s="738"/>
      <c r="H9" s="739"/>
      <c r="I9" s="264">
        <v>10</v>
      </c>
      <c r="J9" s="265" t="s">
        <v>669</v>
      </c>
      <c r="K9" s="10"/>
      <c r="L9" s="30"/>
      <c r="M9" s="30" t="s">
        <v>246</v>
      </c>
      <c r="N9" s="30"/>
      <c r="O9" s="30"/>
      <c r="P9" s="30"/>
      <c r="Q9" s="30"/>
      <c r="R9" s="30"/>
      <c r="S9" s="30"/>
      <c r="T9" s="30"/>
      <c r="U9" s="30"/>
      <c r="V9" s="30"/>
      <c r="W9" s="30"/>
      <c r="X9" s="733"/>
      <c r="Y9" s="734"/>
      <c r="Z9" s="735"/>
      <c r="AA9" s="451"/>
    </row>
    <row r="10" spans="1:27" s="14" customFormat="1" ht="51.75" customHeight="1">
      <c r="A10" s="7" t="s">
        <v>66</v>
      </c>
      <c r="B10" s="740" t="s">
        <v>1076</v>
      </c>
      <c r="C10" s="740"/>
      <c r="D10" s="740"/>
      <c r="E10" s="740"/>
      <c r="F10" s="740"/>
      <c r="G10" s="740"/>
      <c r="H10" s="740"/>
      <c r="I10" s="264">
        <v>20</v>
      </c>
      <c r="J10" s="265" t="s">
        <v>614</v>
      </c>
      <c r="K10" s="10"/>
      <c r="L10" s="30"/>
      <c r="M10" s="30"/>
      <c r="N10" s="30" t="s">
        <v>246</v>
      </c>
      <c r="O10" s="30" t="s">
        <v>246</v>
      </c>
      <c r="P10" s="30" t="s">
        <v>246</v>
      </c>
      <c r="Q10" s="30" t="s">
        <v>246</v>
      </c>
      <c r="R10" s="30" t="s">
        <v>246</v>
      </c>
      <c r="S10" s="30" t="s">
        <v>246</v>
      </c>
      <c r="T10" s="30" t="s">
        <v>246</v>
      </c>
      <c r="U10" s="30" t="s">
        <v>246</v>
      </c>
      <c r="V10" s="30" t="s">
        <v>246</v>
      </c>
      <c r="W10" s="30" t="s">
        <v>246</v>
      </c>
      <c r="X10" s="475"/>
      <c r="Y10" s="475"/>
      <c r="Z10" s="476"/>
      <c r="AA10" s="451"/>
    </row>
    <row r="11" spans="1:27" s="14" customFormat="1" ht="51.75" customHeight="1">
      <c r="A11" s="7" t="s">
        <v>68</v>
      </c>
      <c r="B11" s="740" t="s">
        <v>1075</v>
      </c>
      <c r="C11" s="740"/>
      <c r="D11" s="740"/>
      <c r="E11" s="740"/>
      <c r="F11" s="740"/>
      <c r="G11" s="740"/>
      <c r="H11" s="740"/>
      <c r="I11" s="264">
        <v>25</v>
      </c>
      <c r="J11" s="265" t="s">
        <v>669</v>
      </c>
      <c r="K11" s="10"/>
      <c r="L11" s="30" t="s">
        <v>246</v>
      </c>
      <c r="M11" s="30" t="s">
        <v>246</v>
      </c>
      <c r="N11" s="30" t="s">
        <v>246</v>
      </c>
      <c r="O11" s="30" t="s">
        <v>246</v>
      </c>
      <c r="P11" s="30" t="s">
        <v>246</v>
      </c>
      <c r="Q11" s="30" t="s">
        <v>246</v>
      </c>
      <c r="R11" s="30"/>
      <c r="S11" s="30"/>
      <c r="T11" s="30"/>
      <c r="U11" s="30"/>
      <c r="V11" s="30"/>
      <c r="W11" s="30"/>
      <c r="X11" s="468"/>
      <c r="Y11" s="468"/>
      <c r="Z11" s="469"/>
      <c r="AA11" s="451"/>
    </row>
    <row r="12" spans="1:27" s="14" customFormat="1" ht="51.75" customHeight="1">
      <c r="A12" s="7" t="s">
        <v>70</v>
      </c>
      <c r="B12" s="740" t="s">
        <v>1074</v>
      </c>
      <c r="C12" s="740"/>
      <c r="D12" s="740"/>
      <c r="E12" s="740"/>
      <c r="F12" s="740"/>
      <c r="G12" s="740"/>
      <c r="H12" s="740"/>
      <c r="I12" s="264">
        <v>25</v>
      </c>
      <c r="J12" s="265" t="s">
        <v>669</v>
      </c>
      <c r="K12" s="10"/>
      <c r="L12" s="30"/>
      <c r="M12" s="30"/>
      <c r="N12" s="30"/>
      <c r="O12" s="30"/>
      <c r="P12" s="30"/>
      <c r="Q12" s="30"/>
      <c r="R12" s="30" t="s">
        <v>246</v>
      </c>
      <c r="S12" s="30" t="s">
        <v>246</v>
      </c>
      <c r="T12" s="30" t="s">
        <v>246</v>
      </c>
      <c r="U12" s="30" t="s">
        <v>246</v>
      </c>
      <c r="V12" s="30" t="s">
        <v>246</v>
      </c>
      <c r="W12" s="30" t="s">
        <v>246</v>
      </c>
      <c r="X12" s="468"/>
      <c r="Y12" s="468"/>
      <c r="Z12" s="469"/>
      <c r="AA12" s="451"/>
    </row>
    <row r="13" spans="1:27"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741"/>
      <c r="AA13" s="451"/>
    </row>
    <row r="14" spans="1:27"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7"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7"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G5:H5"/>
    <mergeCell ref="I5:Z5"/>
    <mergeCell ref="A6:A7"/>
    <mergeCell ref="B6:H7"/>
    <mergeCell ref="I6:I7"/>
    <mergeCell ref="J6:J7"/>
    <mergeCell ref="K6:K7"/>
    <mergeCell ref="L6:W6"/>
    <mergeCell ref="B9:H9"/>
    <mergeCell ref="X9:Z9"/>
    <mergeCell ref="AA1:AA13"/>
    <mergeCell ref="A2:Z2"/>
    <mergeCell ref="A3:F3"/>
    <mergeCell ref="G3:H3"/>
    <mergeCell ref="I3:Z4"/>
    <mergeCell ref="G4:H4"/>
    <mergeCell ref="X6:Z7"/>
    <mergeCell ref="B8:H8"/>
    <mergeCell ref="X8:Z8"/>
    <mergeCell ref="A13:E13"/>
    <mergeCell ref="F13:J13"/>
    <mergeCell ref="K13:N13"/>
    <mergeCell ref="A1:Y1"/>
    <mergeCell ref="A4:F5"/>
    <mergeCell ref="B10:H10"/>
    <mergeCell ref="O14:W17"/>
    <mergeCell ref="X13:Z13"/>
    <mergeCell ref="X14:Z17"/>
    <mergeCell ref="O13:W13"/>
    <mergeCell ref="F14:J17"/>
    <mergeCell ref="K16:K17"/>
    <mergeCell ref="L16:N17"/>
    <mergeCell ref="X12:Z12"/>
    <mergeCell ref="X11:Z11"/>
    <mergeCell ref="L14:N15"/>
    <mergeCell ref="X10:Z10"/>
    <mergeCell ref="A14:E17"/>
    <mergeCell ref="K14:K15"/>
    <mergeCell ref="B11:H11"/>
    <mergeCell ref="B12:H12"/>
  </mergeCells>
  <printOptions horizontalCentered="1" verticalCentered="1"/>
  <pageMargins left="0" right="0" top="0" bottom="0" header="0" footer="0"/>
  <pageSetup paperSize="9" scale="43"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FFE9-EFC5-4C44-9B40-0A09D364BD2E}">
  <dimension ref="A1:AA24"/>
  <sheetViews>
    <sheetView rightToLeft="1" zoomScale="70" zoomScaleNormal="70" zoomScaleSheetLayoutView="70" workbookViewId="0">
      <selection activeCell="J12" sqref="J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1064</v>
      </c>
      <c r="B3" s="456"/>
      <c r="C3" s="456"/>
      <c r="D3" s="456"/>
      <c r="E3" s="456"/>
      <c r="F3" s="456"/>
      <c r="G3" s="457" t="s">
        <v>1065</v>
      </c>
      <c r="H3" s="457"/>
      <c r="I3" s="458" t="s">
        <v>1066</v>
      </c>
      <c r="J3" s="458"/>
      <c r="K3" s="458"/>
      <c r="L3" s="458"/>
      <c r="M3" s="458"/>
      <c r="N3" s="458"/>
      <c r="O3" s="458"/>
      <c r="P3" s="458"/>
      <c r="Q3" s="458"/>
      <c r="R3" s="458"/>
      <c r="S3" s="458"/>
      <c r="T3" s="458"/>
      <c r="U3" s="458"/>
      <c r="V3" s="458"/>
      <c r="W3" s="458"/>
      <c r="X3" s="458"/>
      <c r="Y3" s="458"/>
      <c r="Z3" s="459"/>
      <c r="AA3" s="451"/>
    </row>
    <row r="4" spans="1:27" s="3" customFormat="1" ht="28.5" customHeight="1">
      <c r="A4" s="460" t="s">
        <v>1041</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1042</v>
      </c>
      <c r="H5" s="456"/>
      <c r="I5" s="456" t="s">
        <v>1054</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51.75" customHeight="1">
      <c r="A8" s="7" t="s">
        <v>28</v>
      </c>
      <c r="B8" s="740" t="s">
        <v>1067</v>
      </c>
      <c r="C8" s="740"/>
      <c r="D8" s="740"/>
      <c r="E8" s="740"/>
      <c r="F8" s="740"/>
      <c r="G8" s="740"/>
      <c r="H8" s="740"/>
      <c r="I8" s="8">
        <v>10</v>
      </c>
      <c r="J8" s="268" t="s">
        <v>669</v>
      </c>
      <c r="K8" s="10"/>
      <c r="L8" s="30" t="s">
        <v>246</v>
      </c>
      <c r="M8" s="30"/>
      <c r="N8" s="30"/>
      <c r="O8" s="30"/>
      <c r="P8" s="30"/>
      <c r="Q8" s="30"/>
      <c r="R8" s="30"/>
      <c r="S8" s="30"/>
      <c r="T8" s="30"/>
      <c r="U8" s="30"/>
      <c r="V8" s="30"/>
      <c r="W8" s="30"/>
      <c r="X8" s="475"/>
      <c r="Y8" s="475"/>
      <c r="Z8" s="476"/>
      <c r="AA8" s="451"/>
    </row>
    <row r="9" spans="1:27" s="14" customFormat="1" ht="51.75" customHeight="1">
      <c r="A9" s="7" t="s">
        <v>66</v>
      </c>
      <c r="B9" s="737" t="s">
        <v>1068</v>
      </c>
      <c r="C9" s="738"/>
      <c r="D9" s="738"/>
      <c r="E9" s="738"/>
      <c r="F9" s="738"/>
      <c r="G9" s="738"/>
      <c r="H9" s="739"/>
      <c r="I9" s="8">
        <v>5</v>
      </c>
      <c r="J9" s="268" t="s">
        <v>1058</v>
      </c>
      <c r="K9" s="10"/>
      <c r="L9" s="30" t="s">
        <v>246</v>
      </c>
      <c r="M9" s="30"/>
      <c r="N9" s="30"/>
      <c r="O9" s="30"/>
      <c r="P9" s="30"/>
      <c r="Q9" s="30"/>
      <c r="R9" s="30"/>
      <c r="S9" s="30"/>
      <c r="T9" s="30"/>
      <c r="U9" s="30"/>
      <c r="V9" s="30"/>
      <c r="W9" s="30"/>
      <c r="X9" s="733"/>
      <c r="Y9" s="734"/>
      <c r="Z9" s="735"/>
      <c r="AA9" s="451"/>
    </row>
    <row r="10" spans="1:27" s="14" customFormat="1" ht="51.75" customHeight="1">
      <c r="A10" s="7" t="s">
        <v>68</v>
      </c>
      <c r="B10" s="737" t="s">
        <v>1069</v>
      </c>
      <c r="C10" s="738"/>
      <c r="D10" s="738"/>
      <c r="E10" s="738"/>
      <c r="F10" s="738"/>
      <c r="G10" s="738"/>
      <c r="H10" s="739"/>
      <c r="I10" s="8">
        <v>5</v>
      </c>
      <c r="J10" s="268" t="s">
        <v>669</v>
      </c>
      <c r="K10" s="10"/>
      <c r="L10" s="30" t="s">
        <v>246</v>
      </c>
      <c r="M10" s="30"/>
      <c r="N10" s="30"/>
      <c r="O10" s="30"/>
      <c r="P10" s="30"/>
      <c r="Q10" s="30"/>
      <c r="R10" s="30"/>
      <c r="S10" s="30"/>
      <c r="T10" s="30"/>
      <c r="U10" s="30"/>
      <c r="V10" s="30"/>
      <c r="W10" s="30"/>
      <c r="X10" s="733"/>
      <c r="Y10" s="734"/>
      <c r="Z10" s="735"/>
      <c r="AA10" s="451"/>
    </row>
    <row r="11" spans="1:27" s="14" customFormat="1" ht="51.75" customHeight="1">
      <c r="A11" s="7" t="s">
        <v>70</v>
      </c>
      <c r="B11" s="737" t="s">
        <v>1062</v>
      </c>
      <c r="C11" s="738"/>
      <c r="D11" s="738"/>
      <c r="E11" s="738"/>
      <c r="F11" s="738"/>
      <c r="G11" s="738"/>
      <c r="H11" s="742"/>
      <c r="I11" s="8">
        <v>10</v>
      </c>
      <c r="J11" s="268" t="s">
        <v>652</v>
      </c>
      <c r="K11" s="10"/>
      <c r="L11" s="30"/>
      <c r="M11" s="30" t="s">
        <v>246</v>
      </c>
      <c r="N11" s="30"/>
      <c r="O11" s="30"/>
      <c r="P11" s="30"/>
      <c r="Q11" s="30"/>
      <c r="R11" s="30"/>
      <c r="S11" s="30"/>
      <c r="T11" s="30"/>
      <c r="U11" s="30"/>
      <c r="V11" s="30"/>
      <c r="W11" s="30"/>
      <c r="X11" s="733"/>
      <c r="Y11" s="734"/>
      <c r="Z11" s="735"/>
      <c r="AA11" s="451"/>
    </row>
    <row r="12" spans="1:27" s="14" customFormat="1" ht="51.75" customHeight="1">
      <c r="A12" s="7" t="s">
        <v>153</v>
      </c>
      <c r="B12" s="737" t="s">
        <v>1070</v>
      </c>
      <c r="C12" s="738"/>
      <c r="D12" s="738"/>
      <c r="E12" s="738"/>
      <c r="F12" s="738"/>
      <c r="G12" s="738"/>
      <c r="H12" s="739"/>
      <c r="I12" s="8">
        <v>10</v>
      </c>
      <c r="J12" s="268" t="s">
        <v>1071</v>
      </c>
      <c r="K12" s="10"/>
      <c r="L12" s="30"/>
      <c r="M12" s="30" t="s">
        <v>246</v>
      </c>
      <c r="N12" s="30"/>
      <c r="O12" s="30"/>
      <c r="P12" s="30"/>
      <c r="Q12" s="30"/>
      <c r="R12" s="30"/>
      <c r="S12" s="30"/>
      <c r="T12" s="30"/>
      <c r="U12" s="30"/>
      <c r="V12" s="30"/>
      <c r="W12" s="30"/>
      <c r="X12" s="733"/>
      <c r="Y12" s="734"/>
      <c r="Z12" s="735"/>
      <c r="AA12" s="451"/>
    </row>
    <row r="13" spans="1:27" s="14" customFormat="1" ht="51.75" customHeight="1">
      <c r="A13" s="7" t="s">
        <v>155</v>
      </c>
      <c r="B13" s="737" t="s">
        <v>1063</v>
      </c>
      <c r="C13" s="738"/>
      <c r="D13" s="738"/>
      <c r="E13" s="738"/>
      <c r="F13" s="738"/>
      <c r="G13" s="738"/>
      <c r="H13" s="739"/>
      <c r="I13" s="8">
        <v>10</v>
      </c>
      <c r="J13" s="268" t="s">
        <v>775</v>
      </c>
      <c r="K13" s="10"/>
      <c r="L13" s="30"/>
      <c r="M13" s="30" t="s">
        <v>246</v>
      </c>
      <c r="N13" s="30"/>
      <c r="O13" s="30"/>
      <c r="P13" s="30"/>
      <c r="Q13" s="30"/>
      <c r="R13" s="30"/>
      <c r="S13" s="30"/>
      <c r="T13" s="30"/>
      <c r="U13" s="30"/>
      <c r="V13" s="30"/>
      <c r="W13" s="30"/>
      <c r="X13" s="733"/>
      <c r="Y13" s="734"/>
      <c r="Z13" s="735"/>
      <c r="AA13" s="451"/>
    </row>
    <row r="14" spans="1:27" s="14" customFormat="1" ht="51.75" customHeight="1">
      <c r="A14" s="7" t="s">
        <v>156</v>
      </c>
      <c r="B14" s="740" t="s">
        <v>1072</v>
      </c>
      <c r="C14" s="740"/>
      <c r="D14" s="740"/>
      <c r="E14" s="740"/>
      <c r="F14" s="740"/>
      <c r="G14" s="740"/>
      <c r="H14" s="740"/>
      <c r="I14" s="8">
        <v>10</v>
      </c>
      <c r="J14" s="268" t="s">
        <v>669</v>
      </c>
      <c r="K14" s="10"/>
      <c r="L14" s="30"/>
      <c r="M14" s="30"/>
      <c r="N14" s="30"/>
      <c r="O14" s="30" t="s">
        <v>246</v>
      </c>
      <c r="P14" s="30"/>
      <c r="Q14" s="30"/>
      <c r="R14" s="30"/>
      <c r="S14" s="30"/>
      <c r="T14" s="30"/>
      <c r="U14" s="30"/>
      <c r="V14" s="30"/>
      <c r="W14" s="30"/>
      <c r="X14" s="733"/>
      <c r="Y14" s="734"/>
      <c r="Z14" s="735"/>
      <c r="AA14" s="451"/>
    </row>
    <row r="15" spans="1:27" s="14" customFormat="1" ht="51.75" customHeight="1">
      <c r="A15" s="7" t="s">
        <v>853</v>
      </c>
      <c r="B15" s="737" t="s">
        <v>1068</v>
      </c>
      <c r="C15" s="738"/>
      <c r="D15" s="738"/>
      <c r="E15" s="738"/>
      <c r="F15" s="738"/>
      <c r="G15" s="738"/>
      <c r="H15" s="739"/>
      <c r="I15" s="8">
        <v>5</v>
      </c>
      <c r="J15" s="268" t="s">
        <v>1058</v>
      </c>
      <c r="K15" s="10"/>
      <c r="L15" s="30"/>
      <c r="M15" s="30"/>
      <c r="N15" s="30"/>
      <c r="O15" s="30" t="s">
        <v>246</v>
      </c>
      <c r="P15" s="30"/>
      <c r="Q15" s="30"/>
      <c r="R15" s="30"/>
      <c r="S15" s="30"/>
      <c r="T15" s="30"/>
      <c r="U15" s="30"/>
      <c r="V15" s="30"/>
      <c r="W15" s="30"/>
      <c r="X15" s="733"/>
      <c r="Y15" s="734"/>
      <c r="Z15" s="735"/>
      <c r="AA15" s="451"/>
    </row>
    <row r="16" spans="1:27" s="14" customFormat="1" ht="51.75" customHeight="1">
      <c r="A16" s="7" t="s">
        <v>892</v>
      </c>
      <c r="B16" s="737" t="s">
        <v>1069</v>
      </c>
      <c r="C16" s="738"/>
      <c r="D16" s="738"/>
      <c r="E16" s="738"/>
      <c r="F16" s="738"/>
      <c r="G16" s="738"/>
      <c r="H16" s="739"/>
      <c r="I16" s="8">
        <v>5</v>
      </c>
      <c r="J16" s="268" t="s">
        <v>669</v>
      </c>
      <c r="K16" s="10"/>
      <c r="L16" s="30"/>
      <c r="M16" s="30"/>
      <c r="N16" s="30"/>
      <c r="O16" s="30"/>
      <c r="P16" s="30" t="s">
        <v>246</v>
      </c>
      <c r="Q16" s="30"/>
      <c r="R16" s="30"/>
      <c r="S16" s="30"/>
      <c r="T16" s="30"/>
      <c r="U16" s="30"/>
      <c r="V16" s="30"/>
      <c r="W16" s="30"/>
      <c r="X16" s="475"/>
      <c r="Y16" s="475"/>
      <c r="Z16" s="476"/>
      <c r="AA16" s="451"/>
    </row>
    <row r="17" spans="1:27" s="14" customFormat="1" ht="51.75" customHeight="1">
      <c r="A17" s="7" t="s">
        <v>894</v>
      </c>
      <c r="B17" s="737" t="s">
        <v>1062</v>
      </c>
      <c r="C17" s="738"/>
      <c r="D17" s="738"/>
      <c r="E17" s="738"/>
      <c r="F17" s="738"/>
      <c r="G17" s="738"/>
      <c r="H17" s="742"/>
      <c r="I17" s="8">
        <v>10</v>
      </c>
      <c r="J17" s="268" t="s">
        <v>652</v>
      </c>
      <c r="K17" s="10"/>
      <c r="L17" s="30"/>
      <c r="M17" s="30"/>
      <c r="N17" s="30"/>
      <c r="O17" s="30"/>
      <c r="P17" s="30"/>
      <c r="Q17" s="30" t="s">
        <v>246</v>
      </c>
      <c r="R17" s="30"/>
      <c r="S17" s="30"/>
      <c r="T17" s="30"/>
      <c r="U17" s="30"/>
      <c r="V17" s="30"/>
      <c r="W17" s="30"/>
      <c r="X17" s="733"/>
      <c r="Y17" s="734"/>
      <c r="Z17" s="735"/>
      <c r="AA17" s="451"/>
    </row>
    <row r="18" spans="1:27" s="14" customFormat="1" ht="51.75" customHeight="1">
      <c r="A18" s="7" t="s">
        <v>897</v>
      </c>
      <c r="B18" s="737" t="s">
        <v>1070</v>
      </c>
      <c r="C18" s="738"/>
      <c r="D18" s="738"/>
      <c r="E18" s="738"/>
      <c r="F18" s="738"/>
      <c r="G18" s="738"/>
      <c r="H18" s="739"/>
      <c r="I18" s="8">
        <v>10</v>
      </c>
      <c r="J18" s="268" t="s">
        <v>1071</v>
      </c>
      <c r="K18" s="10"/>
      <c r="L18" s="30"/>
      <c r="M18" s="30"/>
      <c r="N18" s="30"/>
      <c r="O18" s="30"/>
      <c r="P18" s="30"/>
      <c r="Q18" s="30" t="s">
        <v>246</v>
      </c>
      <c r="R18" s="30"/>
      <c r="S18" s="30"/>
      <c r="T18" s="30"/>
      <c r="U18" s="30"/>
      <c r="V18" s="30"/>
      <c r="W18" s="30"/>
      <c r="X18" s="468"/>
      <c r="Y18" s="468"/>
      <c r="Z18" s="469"/>
      <c r="AA18" s="451"/>
    </row>
    <row r="19" spans="1:27" s="14" customFormat="1" ht="51.75" customHeight="1">
      <c r="A19" s="7" t="s">
        <v>1073</v>
      </c>
      <c r="B19" s="737" t="s">
        <v>1063</v>
      </c>
      <c r="C19" s="738"/>
      <c r="D19" s="738"/>
      <c r="E19" s="738"/>
      <c r="F19" s="738"/>
      <c r="G19" s="738"/>
      <c r="H19" s="739"/>
      <c r="I19" s="8">
        <v>10</v>
      </c>
      <c r="J19" s="268" t="s">
        <v>775</v>
      </c>
      <c r="K19" s="10"/>
      <c r="L19" s="30"/>
      <c r="M19" s="30"/>
      <c r="N19" s="30"/>
      <c r="O19" s="30"/>
      <c r="P19" s="30"/>
      <c r="Q19" s="30" t="s">
        <v>246</v>
      </c>
      <c r="R19" s="30"/>
      <c r="S19" s="30"/>
      <c r="T19" s="30"/>
      <c r="U19" s="30"/>
      <c r="V19" s="30"/>
      <c r="W19" s="30"/>
      <c r="X19" s="468"/>
      <c r="Y19" s="468"/>
      <c r="Z19" s="469"/>
      <c r="AA19" s="451"/>
    </row>
    <row r="20" spans="1:27" ht="57.75" customHeight="1">
      <c r="A20" s="488" t="s">
        <v>42</v>
      </c>
      <c r="B20" s="489"/>
      <c r="C20" s="489"/>
      <c r="D20" s="489"/>
      <c r="E20" s="490"/>
      <c r="F20" s="472" t="s">
        <v>43</v>
      </c>
      <c r="G20" s="472"/>
      <c r="H20" s="472"/>
      <c r="I20" s="472"/>
      <c r="J20" s="472"/>
      <c r="K20" s="472" t="s">
        <v>44</v>
      </c>
      <c r="L20" s="472"/>
      <c r="M20" s="472"/>
      <c r="N20" s="472"/>
      <c r="O20" s="491" t="s">
        <v>45</v>
      </c>
      <c r="P20" s="492"/>
      <c r="Q20" s="492"/>
      <c r="R20" s="492"/>
      <c r="S20" s="492"/>
      <c r="T20" s="492"/>
      <c r="U20" s="492"/>
      <c r="V20" s="492"/>
      <c r="W20" s="493"/>
      <c r="X20" s="472" t="s">
        <v>46</v>
      </c>
      <c r="Y20" s="472"/>
      <c r="Z20" s="741"/>
      <c r="AA20" s="451"/>
    </row>
    <row r="21" spans="1:27" s="20" customFormat="1" ht="28.5">
      <c r="A21" s="494"/>
      <c r="B21" s="495"/>
      <c r="C21" s="495"/>
      <c r="D21" s="495"/>
      <c r="E21" s="496"/>
      <c r="F21" s="503"/>
      <c r="G21" s="504"/>
      <c r="H21" s="504"/>
      <c r="I21" s="504"/>
      <c r="J21" s="505"/>
      <c r="K21" s="486" t="s">
        <v>47</v>
      </c>
      <c r="L21" s="486"/>
      <c r="M21" s="486"/>
      <c r="N21" s="486"/>
      <c r="O21" s="477"/>
      <c r="P21" s="478"/>
      <c r="Q21" s="478"/>
      <c r="R21" s="478"/>
      <c r="S21" s="478"/>
      <c r="T21" s="478"/>
      <c r="U21" s="478"/>
      <c r="V21" s="478"/>
      <c r="W21" s="512"/>
      <c r="X21" s="477"/>
      <c r="Y21" s="478"/>
      <c r="Z21" s="479"/>
    </row>
    <row r="22" spans="1:27" s="20" customFormat="1" ht="28.5">
      <c r="A22" s="497"/>
      <c r="B22" s="498"/>
      <c r="C22" s="498"/>
      <c r="D22" s="498"/>
      <c r="E22" s="499"/>
      <c r="F22" s="506"/>
      <c r="G22" s="507"/>
      <c r="H22" s="507"/>
      <c r="I22" s="507"/>
      <c r="J22" s="508"/>
      <c r="K22" s="486"/>
      <c r="L22" s="486"/>
      <c r="M22" s="486"/>
      <c r="N22" s="486"/>
      <c r="O22" s="480"/>
      <c r="P22" s="481"/>
      <c r="Q22" s="481"/>
      <c r="R22" s="481"/>
      <c r="S22" s="481"/>
      <c r="T22" s="481"/>
      <c r="U22" s="481"/>
      <c r="V22" s="481"/>
      <c r="W22" s="513"/>
      <c r="X22" s="480"/>
      <c r="Y22" s="481"/>
      <c r="Z22" s="482"/>
    </row>
    <row r="23" spans="1:27" s="20" customFormat="1" ht="28.5">
      <c r="A23" s="497"/>
      <c r="B23" s="498"/>
      <c r="C23" s="498"/>
      <c r="D23" s="498"/>
      <c r="E23" s="499"/>
      <c r="F23" s="506"/>
      <c r="G23" s="507"/>
      <c r="H23" s="507"/>
      <c r="I23" s="507"/>
      <c r="J23" s="508"/>
      <c r="K23" s="486" t="s">
        <v>48</v>
      </c>
      <c r="L23" s="486"/>
      <c r="M23" s="486"/>
      <c r="N23" s="486"/>
      <c r="O23" s="480"/>
      <c r="P23" s="481"/>
      <c r="Q23" s="481"/>
      <c r="R23" s="481"/>
      <c r="S23" s="481"/>
      <c r="T23" s="481"/>
      <c r="U23" s="481"/>
      <c r="V23" s="481"/>
      <c r="W23" s="513"/>
      <c r="X23" s="480"/>
      <c r="Y23" s="481"/>
      <c r="Z23" s="482"/>
    </row>
    <row r="24" spans="1:27" s="20" customFormat="1" ht="29.25" thickBot="1">
      <c r="A24" s="500"/>
      <c r="B24" s="501"/>
      <c r="C24" s="501"/>
      <c r="D24" s="501"/>
      <c r="E24" s="502"/>
      <c r="F24" s="509"/>
      <c r="G24" s="510"/>
      <c r="H24" s="510"/>
      <c r="I24" s="510"/>
      <c r="J24" s="511"/>
      <c r="K24" s="487"/>
      <c r="L24" s="487"/>
      <c r="M24" s="487"/>
      <c r="N24" s="487"/>
      <c r="O24" s="483"/>
      <c r="P24" s="484"/>
      <c r="Q24" s="484"/>
      <c r="R24" s="484"/>
      <c r="S24" s="484"/>
      <c r="T24" s="484"/>
      <c r="U24" s="484"/>
      <c r="V24" s="484"/>
      <c r="W24" s="514"/>
      <c r="X24" s="483"/>
      <c r="Y24" s="484"/>
      <c r="Z24" s="485"/>
    </row>
  </sheetData>
  <mergeCells count="54">
    <mergeCell ref="B19:H19"/>
    <mergeCell ref="X19:Z19"/>
    <mergeCell ref="X21:Z24"/>
    <mergeCell ref="K23:K24"/>
    <mergeCell ref="L23:N24"/>
    <mergeCell ref="A20:E20"/>
    <mergeCell ref="F20:J20"/>
    <mergeCell ref="K20:N20"/>
    <mergeCell ref="O20:W20"/>
    <mergeCell ref="X20:Z20"/>
    <mergeCell ref="A21:E24"/>
    <mergeCell ref="F21:J24"/>
    <mergeCell ref="K21:K22"/>
    <mergeCell ref="L21:N22"/>
    <mergeCell ref="O21:W24"/>
    <mergeCell ref="B16:H16"/>
    <mergeCell ref="X16:Z16"/>
    <mergeCell ref="B17:H17"/>
    <mergeCell ref="X17:Z17"/>
    <mergeCell ref="B18:H18"/>
    <mergeCell ref="X18:Z18"/>
    <mergeCell ref="B13:H13"/>
    <mergeCell ref="X13:Z13"/>
    <mergeCell ref="B14:H14"/>
    <mergeCell ref="X14:Z14"/>
    <mergeCell ref="B15:H15"/>
    <mergeCell ref="X15:Z15"/>
    <mergeCell ref="B9:H9"/>
    <mergeCell ref="X9:Z9"/>
    <mergeCell ref="B11:H11"/>
    <mergeCell ref="X11:Z11"/>
    <mergeCell ref="B12:H12"/>
    <mergeCell ref="X12:Z12"/>
    <mergeCell ref="K6:K7"/>
    <mergeCell ref="L6:W6"/>
    <mergeCell ref="X6:Z7"/>
    <mergeCell ref="B8:H8"/>
    <mergeCell ref="X8:Z8"/>
    <mergeCell ref="A1:Y1"/>
    <mergeCell ref="AA1:AA20"/>
    <mergeCell ref="A2:Z2"/>
    <mergeCell ref="A3:F3"/>
    <mergeCell ref="G3:H3"/>
    <mergeCell ref="I3:Z4"/>
    <mergeCell ref="A4:F5"/>
    <mergeCell ref="G4:H4"/>
    <mergeCell ref="G5:H5"/>
    <mergeCell ref="I5:Z5"/>
    <mergeCell ref="B10:H10"/>
    <mergeCell ref="X10:Z10"/>
    <mergeCell ref="A6:A7"/>
    <mergeCell ref="B6:H7"/>
    <mergeCell ref="I6:I7"/>
    <mergeCell ref="J6:J7"/>
  </mergeCells>
  <printOptions horizontalCentered="1" verticalCentered="1"/>
  <pageMargins left="0" right="0" top="0" bottom="0" header="0" footer="0"/>
  <pageSetup paperSize="9" scale="43"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27A1-5B34-4FAA-966A-D17398BAF6C8}">
  <dimension ref="A1:AA20"/>
  <sheetViews>
    <sheetView rightToLeft="1" view="pageBreakPreview" topLeftCell="B1" zoomScale="70" zoomScaleNormal="70" zoomScaleSheetLayoutView="70" workbookViewId="0">
      <selection activeCell="B9" sqref="B8:N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1051</v>
      </c>
      <c r="B3" s="456"/>
      <c r="C3" s="456"/>
      <c r="D3" s="456"/>
      <c r="E3" s="456"/>
      <c r="F3" s="456"/>
      <c r="G3" s="457" t="s">
        <v>1052</v>
      </c>
      <c r="H3" s="457"/>
      <c r="I3" s="458" t="s">
        <v>1053</v>
      </c>
      <c r="J3" s="458"/>
      <c r="K3" s="458"/>
      <c r="L3" s="458"/>
      <c r="M3" s="458"/>
      <c r="N3" s="458"/>
      <c r="O3" s="458"/>
      <c r="P3" s="458"/>
      <c r="Q3" s="458"/>
      <c r="R3" s="458"/>
      <c r="S3" s="458"/>
      <c r="T3" s="458"/>
      <c r="U3" s="458"/>
      <c r="V3" s="458"/>
      <c r="W3" s="458"/>
      <c r="X3" s="458"/>
      <c r="Y3" s="458"/>
      <c r="Z3" s="459"/>
      <c r="AA3" s="451"/>
    </row>
    <row r="4" spans="1:27" s="3" customFormat="1" ht="28.5" customHeight="1">
      <c r="A4" s="460" t="s">
        <v>1041</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1042</v>
      </c>
      <c r="H5" s="456"/>
      <c r="I5" s="456" t="s">
        <v>1054</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51.75" customHeight="1">
      <c r="A8" s="7" t="s">
        <v>28</v>
      </c>
      <c r="B8" s="740" t="s">
        <v>1055</v>
      </c>
      <c r="C8" s="740"/>
      <c r="D8" s="740"/>
      <c r="E8" s="740"/>
      <c r="F8" s="740"/>
      <c r="G8" s="740"/>
      <c r="H8" s="740"/>
      <c r="I8" s="8">
        <v>15</v>
      </c>
      <c r="J8" s="268" t="s">
        <v>669</v>
      </c>
      <c r="K8" s="10"/>
      <c r="L8" s="30"/>
      <c r="M8" s="30"/>
      <c r="N8" s="30" t="s">
        <v>246</v>
      </c>
      <c r="O8" s="30"/>
      <c r="P8" s="30"/>
      <c r="Q8" s="30"/>
      <c r="R8" s="30"/>
      <c r="S8" s="30"/>
      <c r="T8" s="30"/>
      <c r="U8" s="30"/>
      <c r="V8" s="30"/>
      <c r="W8" s="30"/>
      <c r="X8" s="475"/>
      <c r="Y8" s="475"/>
      <c r="Z8" s="476"/>
      <c r="AA8" s="451"/>
    </row>
    <row r="9" spans="1:27" s="14" customFormat="1" ht="51.75" customHeight="1">
      <c r="A9" s="7" t="s">
        <v>66</v>
      </c>
      <c r="B9" s="737" t="s">
        <v>1056</v>
      </c>
      <c r="C9" s="738"/>
      <c r="D9" s="738"/>
      <c r="E9" s="738"/>
      <c r="F9" s="738"/>
      <c r="G9" s="738"/>
      <c r="H9" s="739"/>
      <c r="I9" s="8">
        <v>15</v>
      </c>
      <c r="J9" s="268" t="s">
        <v>669</v>
      </c>
      <c r="K9" s="10"/>
      <c r="L9" s="30"/>
      <c r="M9" s="30"/>
      <c r="N9" s="30" t="s">
        <v>246</v>
      </c>
      <c r="O9" s="30"/>
      <c r="P9" s="30"/>
      <c r="Q9" s="30"/>
      <c r="R9" s="30"/>
      <c r="S9" s="30"/>
      <c r="T9" s="30"/>
      <c r="U9" s="30"/>
      <c r="V9" s="30"/>
      <c r="W9" s="30"/>
      <c r="X9" s="733"/>
      <c r="Y9" s="734"/>
      <c r="Z9" s="735"/>
      <c r="AA9" s="451"/>
    </row>
    <row r="10" spans="1:27" s="14" customFormat="1" ht="51.75" customHeight="1">
      <c r="A10" s="7" t="s">
        <v>68</v>
      </c>
      <c r="B10" s="737" t="s">
        <v>1057</v>
      </c>
      <c r="C10" s="738"/>
      <c r="D10" s="738"/>
      <c r="E10" s="738"/>
      <c r="F10" s="738"/>
      <c r="G10" s="738"/>
      <c r="H10" s="742"/>
      <c r="I10" s="8">
        <v>10</v>
      </c>
      <c r="J10" s="268" t="s">
        <v>1058</v>
      </c>
      <c r="K10" s="10"/>
      <c r="L10" s="30"/>
      <c r="M10" s="30"/>
      <c r="N10" s="30"/>
      <c r="O10" s="30" t="s">
        <v>246</v>
      </c>
      <c r="P10" s="30"/>
      <c r="Q10" s="30"/>
      <c r="R10" s="30"/>
      <c r="S10" s="30"/>
      <c r="T10" s="30"/>
      <c r="U10" s="30"/>
      <c r="V10" s="30"/>
      <c r="W10" s="30"/>
      <c r="X10" s="163"/>
      <c r="Y10" s="164"/>
      <c r="Z10" s="165"/>
      <c r="AA10" s="451"/>
    </row>
    <row r="11" spans="1:27" s="14" customFormat="1" ht="51.75" customHeight="1">
      <c r="A11" s="7" t="s">
        <v>70</v>
      </c>
      <c r="B11" s="737" t="s">
        <v>1059</v>
      </c>
      <c r="C11" s="738"/>
      <c r="D11" s="738"/>
      <c r="E11" s="738"/>
      <c r="F11" s="738"/>
      <c r="G11" s="738"/>
      <c r="H11" s="742"/>
      <c r="I11" s="8">
        <v>10</v>
      </c>
      <c r="J11" s="268" t="s">
        <v>669</v>
      </c>
      <c r="K11" s="10"/>
      <c r="L11" s="30"/>
      <c r="M11" s="30"/>
      <c r="N11" s="30"/>
      <c r="O11" s="30"/>
      <c r="P11" s="30" t="s">
        <v>246</v>
      </c>
      <c r="Q11" s="30"/>
      <c r="R11" s="30"/>
      <c r="S11" s="30"/>
      <c r="T11" s="30"/>
      <c r="U11" s="30"/>
      <c r="V11" s="30"/>
      <c r="W11" s="30"/>
      <c r="X11" s="163"/>
      <c r="Y11" s="164"/>
      <c r="Z11" s="165"/>
      <c r="AA11" s="451"/>
    </row>
    <row r="12" spans="1:27" s="14" customFormat="1" ht="51.75" customHeight="1">
      <c r="A12" s="7" t="s">
        <v>153</v>
      </c>
      <c r="B12" s="737" t="s">
        <v>1060</v>
      </c>
      <c r="C12" s="738"/>
      <c r="D12" s="738"/>
      <c r="E12" s="738"/>
      <c r="F12" s="738"/>
      <c r="G12" s="738"/>
      <c r="H12" s="742"/>
      <c r="I12" s="8">
        <v>10</v>
      </c>
      <c r="J12" s="268" t="s">
        <v>669</v>
      </c>
      <c r="K12" s="10"/>
      <c r="L12" s="30"/>
      <c r="M12" s="30"/>
      <c r="N12" s="30"/>
      <c r="O12" s="30"/>
      <c r="P12" s="30" t="s">
        <v>246</v>
      </c>
      <c r="Q12" s="30"/>
      <c r="R12" s="30"/>
      <c r="S12" s="30"/>
      <c r="T12" s="30"/>
      <c r="U12" s="30"/>
      <c r="V12" s="30"/>
      <c r="W12" s="30"/>
      <c r="X12" s="163"/>
      <c r="Y12" s="164"/>
      <c r="Z12" s="165"/>
      <c r="AA12" s="451"/>
    </row>
    <row r="13" spans="1:27" s="14" customFormat="1" ht="51.75" customHeight="1">
      <c r="A13" s="7" t="s">
        <v>155</v>
      </c>
      <c r="B13" s="737" t="s">
        <v>1061</v>
      </c>
      <c r="C13" s="738"/>
      <c r="D13" s="738"/>
      <c r="E13" s="738"/>
      <c r="F13" s="738"/>
      <c r="G13" s="738"/>
      <c r="H13" s="739"/>
      <c r="I13" s="8">
        <v>5</v>
      </c>
      <c r="J13" s="268" t="s">
        <v>669</v>
      </c>
      <c r="K13" s="10"/>
      <c r="L13" s="30"/>
      <c r="M13" s="30"/>
      <c r="N13" s="30"/>
      <c r="O13" s="30"/>
      <c r="P13" s="30"/>
      <c r="Q13" s="30" t="s">
        <v>246</v>
      </c>
      <c r="R13" s="30"/>
      <c r="S13" s="30"/>
      <c r="T13" s="30"/>
      <c r="U13" s="30"/>
      <c r="V13" s="30"/>
      <c r="W13" s="30"/>
      <c r="X13" s="733"/>
      <c r="Y13" s="734"/>
      <c r="Z13" s="735"/>
      <c r="AA13" s="451"/>
    </row>
    <row r="14" spans="1:27" s="14" customFormat="1" ht="51.75" customHeight="1">
      <c r="A14" s="7" t="s">
        <v>156</v>
      </c>
      <c r="B14" s="737" t="s">
        <v>1062</v>
      </c>
      <c r="C14" s="738"/>
      <c r="D14" s="738"/>
      <c r="E14" s="738"/>
      <c r="F14" s="738"/>
      <c r="G14" s="738"/>
      <c r="H14" s="739"/>
      <c r="I14" s="8">
        <v>15</v>
      </c>
      <c r="J14" s="268" t="s">
        <v>652</v>
      </c>
      <c r="K14" s="10"/>
      <c r="L14" s="30"/>
      <c r="M14" s="30"/>
      <c r="N14" s="30"/>
      <c r="O14" s="30"/>
      <c r="P14" s="30"/>
      <c r="Q14" s="30" t="s">
        <v>246</v>
      </c>
      <c r="R14" s="30"/>
      <c r="S14" s="30"/>
      <c r="T14" s="30"/>
      <c r="U14" s="30"/>
      <c r="V14" s="30"/>
      <c r="W14" s="30"/>
      <c r="X14" s="733"/>
      <c r="Y14" s="734"/>
      <c r="Z14" s="735"/>
      <c r="AA14" s="451"/>
    </row>
    <row r="15" spans="1:27" s="14" customFormat="1" ht="51.75" customHeight="1">
      <c r="A15" s="7" t="s">
        <v>853</v>
      </c>
      <c r="B15" s="737" t="s">
        <v>1063</v>
      </c>
      <c r="C15" s="738"/>
      <c r="D15" s="738"/>
      <c r="E15" s="738"/>
      <c r="F15" s="738"/>
      <c r="G15" s="738"/>
      <c r="H15" s="739"/>
      <c r="I15" s="8">
        <v>20</v>
      </c>
      <c r="J15" s="268" t="s">
        <v>775</v>
      </c>
      <c r="K15" s="10"/>
      <c r="L15" s="30"/>
      <c r="M15" s="30"/>
      <c r="N15" s="30"/>
      <c r="O15" s="30"/>
      <c r="P15" s="30"/>
      <c r="Q15" s="30" t="s">
        <v>246</v>
      </c>
      <c r="R15" s="30"/>
      <c r="S15" s="30"/>
      <c r="T15" s="30"/>
      <c r="U15" s="30"/>
      <c r="V15" s="30"/>
      <c r="W15" s="30"/>
      <c r="X15" s="733"/>
      <c r="Y15" s="734"/>
      <c r="Z15" s="735"/>
      <c r="AA15" s="451"/>
    </row>
    <row r="16" spans="1:27" ht="57.75" customHeight="1">
      <c r="A16" s="488" t="s">
        <v>42</v>
      </c>
      <c r="B16" s="489"/>
      <c r="C16" s="489"/>
      <c r="D16" s="489"/>
      <c r="E16" s="490"/>
      <c r="F16" s="472" t="s">
        <v>43</v>
      </c>
      <c r="G16" s="472"/>
      <c r="H16" s="472"/>
      <c r="I16" s="472"/>
      <c r="J16" s="472"/>
      <c r="K16" s="472" t="s">
        <v>44</v>
      </c>
      <c r="L16" s="472"/>
      <c r="M16" s="472"/>
      <c r="N16" s="472"/>
      <c r="O16" s="491" t="s">
        <v>45</v>
      </c>
      <c r="P16" s="492"/>
      <c r="Q16" s="492"/>
      <c r="R16" s="492"/>
      <c r="S16" s="492"/>
      <c r="T16" s="492"/>
      <c r="U16" s="492"/>
      <c r="V16" s="492"/>
      <c r="W16" s="493"/>
      <c r="X16" s="472" t="s">
        <v>46</v>
      </c>
      <c r="Y16" s="472"/>
      <c r="Z16" s="741"/>
      <c r="AA16" s="451"/>
    </row>
    <row r="17" spans="1:26" s="20" customFormat="1" ht="28.5">
      <c r="A17" s="494"/>
      <c r="B17" s="495"/>
      <c r="C17" s="495"/>
      <c r="D17" s="495"/>
      <c r="E17" s="496"/>
      <c r="F17" s="503"/>
      <c r="G17" s="504"/>
      <c r="H17" s="504"/>
      <c r="I17" s="504"/>
      <c r="J17" s="505"/>
      <c r="K17" s="486" t="s">
        <v>47</v>
      </c>
      <c r="L17" s="486"/>
      <c r="M17" s="486"/>
      <c r="N17" s="486"/>
      <c r="O17" s="477"/>
      <c r="P17" s="478"/>
      <c r="Q17" s="478"/>
      <c r="R17" s="478"/>
      <c r="S17" s="478"/>
      <c r="T17" s="478"/>
      <c r="U17" s="478"/>
      <c r="V17" s="478"/>
      <c r="W17" s="512"/>
      <c r="X17" s="477"/>
      <c r="Y17" s="478"/>
      <c r="Z17" s="479"/>
    </row>
    <row r="18" spans="1:26" s="20" customFormat="1" ht="28.5">
      <c r="A18" s="497"/>
      <c r="B18" s="498"/>
      <c r="C18" s="498"/>
      <c r="D18" s="498"/>
      <c r="E18" s="499"/>
      <c r="F18" s="506"/>
      <c r="G18" s="507"/>
      <c r="H18" s="507"/>
      <c r="I18" s="507"/>
      <c r="J18" s="508"/>
      <c r="K18" s="486"/>
      <c r="L18" s="486"/>
      <c r="M18" s="486"/>
      <c r="N18" s="486"/>
      <c r="O18" s="480"/>
      <c r="P18" s="481"/>
      <c r="Q18" s="481"/>
      <c r="R18" s="481"/>
      <c r="S18" s="481"/>
      <c r="T18" s="481"/>
      <c r="U18" s="481"/>
      <c r="V18" s="481"/>
      <c r="W18" s="513"/>
      <c r="X18" s="480"/>
      <c r="Y18" s="481"/>
      <c r="Z18" s="482"/>
    </row>
    <row r="19" spans="1:26" s="20" customFormat="1" ht="28.5">
      <c r="A19" s="497"/>
      <c r="B19" s="498"/>
      <c r="C19" s="498"/>
      <c r="D19" s="498"/>
      <c r="E19" s="499"/>
      <c r="F19" s="506"/>
      <c r="G19" s="507"/>
      <c r="H19" s="507"/>
      <c r="I19" s="507"/>
      <c r="J19" s="508"/>
      <c r="K19" s="486" t="s">
        <v>48</v>
      </c>
      <c r="L19" s="486"/>
      <c r="M19" s="486"/>
      <c r="N19" s="486"/>
      <c r="O19" s="480"/>
      <c r="P19" s="481"/>
      <c r="Q19" s="481"/>
      <c r="R19" s="481"/>
      <c r="S19" s="481"/>
      <c r="T19" s="481"/>
      <c r="U19" s="481"/>
      <c r="V19" s="481"/>
      <c r="W19" s="513"/>
      <c r="X19" s="480"/>
      <c r="Y19" s="481"/>
      <c r="Z19" s="482"/>
    </row>
    <row r="20" spans="1:26" s="20" customFormat="1" ht="29.25" thickBot="1">
      <c r="A20" s="500"/>
      <c r="B20" s="501"/>
      <c r="C20" s="501"/>
      <c r="D20" s="501"/>
      <c r="E20" s="502"/>
      <c r="F20" s="509"/>
      <c r="G20" s="510"/>
      <c r="H20" s="510"/>
      <c r="I20" s="510"/>
      <c r="J20" s="511"/>
      <c r="K20" s="487"/>
      <c r="L20" s="487"/>
      <c r="M20" s="487"/>
      <c r="N20" s="487"/>
      <c r="O20" s="483"/>
      <c r="P20" s="484"/>
      <c r="Q20" s="484"/>
      <c r="R20" s="484"/>
      <c r="S20" s="484"/>
      <c r="T20" s="484"/>
      <c r="U20" s="484"/>
      <c r="V20" s="484"/>
      <c r="W20" s="514"/>
      <c r="X20" s="483"/>
      <c r="Y20" s="484"/>
      <c r="Z20" s="485"/>
    </row>
  </sheetData>
  <mergeCells count="43">
    <mergeCell ref="X17:Z20"/>
    <mergeCell ref="K19:K20"/>
    <mergeCell ref="L19:N20"/>
    <mergeCell ref="B15:H15"/>
    <mergeCell ref="X15:Z15"/>
    <mergeCell ref="A16:E16"/>
    <mergeCell ref="F16:J16"/>
    <mergeCell ref="K16:N16"/>
    <mergeCell ref="O16:W16"/>
    <mergeCell ref="X16:Z16"/>
    <mergeCell ref="A17:E20"/>
    <mergeCell ref="F17:J20"/>
    <mergeCell ref="K17:K18"/>
    <mergeCell ref="L17:N18"/>
    <mergeCell ref="O17:W20"/>
    <mergeCell ref="B11:H11"/>
    <mergeCell ref="B12:H12"/>
    <mergeCell ref="B13:H13"/>
    <mergeCell ref="X13:Z13"/>
    <mergeCell ref="B14:H14"/>
    <mergeCell ref="X14:Z14"/>
    <mergeCell ref="B8:H8"/>
    <mergeCell ref="X8:Z8"/>
    <mergeCell ref="B9:H9"/>
    <mergeCell ref="X9:Z9"/>
    <mergeCell ref="K6:K7"/>
    <mergeCell ref="L6:W6"/>
    <mergeCell ref="A1:Y1"/>
    <mergeCell ref="AA1:AA16"/>
    <mergeCell ref="A2:Z2"/>
    <mergeCell ref="A3:F3"/>
    <mergeCell ref="G3:H3"/>
    <mergeCell ref="I3:Z4"/>
    <mergeCell ref="A4:F5"/>
    <mergeCell ref="G4:H4"/>
    <mergeCell ref="G5:H5"/>
    <mergeCell ref="I5:Z5"/>
    <mergeCell ref="B10:H10"/>
    <mergeCell ref="A6:A7"/>
    <mergeCell ref="B6:H7"/>
    <mergeCell ref="I6:I7"/>
    <mergeCell ref="J6:J7"/>
    <mergeCell ref="X6:Z7"/>
  </mergeCells>
  <printOptions horizontalCentered="1" verticalCentered="1"/>
  <pageMargins left="0" right="0" top="0" bottom="0" header="0" footer="0"/>
  <pageSetup paperSize="9" scale="43"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879C-9C28-499A-A21B-2904D9F5974B}">
  <dimension ref="A1:AA20"/>
  <sheetViews>
    <sheetView rightToLeft="1" zoomScale="70" zoomScaleNormal="70" zoomScaleSheetLayoutView="70" workbookViewId="0">
      <selection activeCell="I9" sqref="I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9.710937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2514</v>
      </c>
      <c r="B3" s="456"/>
      <c r="C3" s="456"/>
      <c r="D3" s="456"/>
      <c r="E3" s="456"/>
      <c r="F3" s="456"/>
      <c r="G3" s="457" t="s">
        <v>2515</v>
      </c>
      <c r="H3" s="457"/>
      <c r="I3" s="730" t="s">
        <v>2516</v>
      </c>
      <c r="J3" s="730"/>
      <c r="K3" s="730"/>
      <c r="L3" s="730"/>
      <c r="M3" s="730"/>
      <c r="N3" s="730"/>
      <c r="O3" s="730"/>
      <c r="P3" s="730"/>
      <c r="Q3" s="730"/>
      <c r="R3" s="730"/>
      <c r="S3" s="730"/>
      <c r="T3" s="730"/>
      <c r="U3" s="730"/>
      <c r="V3" s="730"/>
      <c r="W3" s="730"/>
      <c r="X3" s="730"/>
      <c r="Y3" s="730"/>
      <c r="Z3" s="731"/>
      <c r="AA3" s="451"/>
    </row>
    <row r="4" spans="1:27" s="3" customFormat="1" ht="28.5" customHeight="1">
      <c r="A4" s="460" t="s">
        <v>2517</v>
      </c>
      <c r="B4" s="461"/>
      <c r="C4" s="461"/>
      <c r="D4" s="461"/>
      <c r="E4" s="461"/>
      <c r="F4" s="462"/>
      <c r="G4" s="457" t="s">
        <v>144</v>
      </c>
      <c r="H4" s="457"/>
      <c r="I4" s="730"/>
      <c r="J4" s="730"/>
      <c r="K4" s="730"/>
      <c r="L4" s="730"/>
      <c r="M4" s="730"/>
      <c r="N4" s="730"/>
      <c r="O4" s="730"/>
      <c r="P4" s="730"/>
      <c r="Q4" s="730"/>
      <c r="R4" s="730"/>
      <c r="S4" s="730"/>
      <c r="T4" s="730"/>
      <c r="U4" s="730"/>
      <c r="V4" s="730"/>
      <c r="W4" s="730"/>
      <c r="X4" s="730"/>
      <c r="Y4" s="730"/>
      <c r="Z4" s="731"/>
      <c r="AA4" s="451"/>
    </row>
    <row r="5" spans="1:27" s="3" customFormat="1" ht="28.5" customHeight="1">
      <c r="A5" s="463"/>
      <c r="B5" s="464"/>
      <c r="C5" s="464"/>
      <c r="D5" s="464"/>
      <c r="E5" s="464"/>
      <c r="F5" s="465"/>
      <c r="G5" s="456" t="s">
        <v>1042</v>
      </c>
      <c r="H5" s="456"/>
      <c r="I5" s="456" t="s">
        <v>1054</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60" customHeight="1">
      <c r="A8" s="7" t="s">
        <v>28</v>
      </c>
      <c r="B8" s="740" t="s">
        <v>2518</v>
      </c>
      <c r="C8" s="740"/>
      <c r="D8" s="740"/>
      <c r="E8" s="740"/>
      <c r="F8" s="740"/>
      <c r="G8" s="740"/>
      <c r="H8" s="740"/>
      <c r="I8" s="8">
        <v>30</v>
      </c>
      <c r="J8" s="268" t="s">
        <v>2519</v>
      </c>
      <c r="K8" s="426"/>
      <c r="L8" s="134" t="s">
        <v>246</v>
      </c>
      <c r="M8" s="134" t="s">
        <v>246</v>
      </c>
      <c r="N8" s="134" t="s">
        <v>246</v>
      </c>
      <c r="O8" s="134"/>
      <c r="P8" s="134"/>
      <c r="Q8" s="134"/>
      <c r="R8" s="134"/>
      <c r="S8" s="134"/>
      <c r="T8" s="134"/>
      <c r="U8" s="134"/>
      <c r="V8" s="134"/>
      <c r="W8" s="134"/>
      <c r="X8" s="475"/>
      <c r="Y8" s="475"/>
      <c r="Z8" s="476"/>
      <c r="AA8" s="451"/>
    </row>
    <row r="9" spans="1:27" s="14" customFormat="1" ht="60" customHeight="1">
      <c r="A9" s="7" t="s">
        <v>66</v>
      </c>
      <c r="B9" s="740" t="s">
        <v>2520</v>
      </c>
      <c r="C9" s="740"/>
      <c r="D9" s="740"/>
      <c r="E9" s="740"/>
      <c r="F9" s="740"/>
      <c r="G9" s="740"/>
      <c r="H9" s="740"/>
      <c r="I9" s="8">
        <v>20</v>
      </c>
      <c r="J9" s="268" t="s">
        <v>2502</v>
      </c>
      <c r="K9" s="426"/>
      <c r="L9" s="134"/>
      <c r="M9" s="134" t="s">
        <v>246</v>
      </c>
      <c r="N9" s="134"/>
      <c r="O9" s="134"/>
      <c r="P9" s="134"/>
      <c r="Q9" s="134"/>
      <c r="R9" s="134"/>
      <c r="S9" s="134"/>
      <c r="T9" s="134"/>
      <c r="U9" s="134"/>
      <c r="V9" s="134"/>
      <c r="W9" s="134"/>
      <c r="X9" s="475"/>
      <c r="Y9" s="475"/>
      <c r="Z9" s="476"/>
      <c r="AA9" s="451"/>
    </row>
    <row r="10" spans="1:27" s="14" customFormat="1" ht="60" customHeight="1">
      <c r="A10" s="7" t="s">
        <v>68</v>
      </c>
      <c r="B10" s="737" t="s">
        <v>2521</v>
      </c>
      <c r="C10" s="738"/>
      <c r="D10" s="738"/>
      <c r="E10" s="738"/>
      <c r="F10" s="738"/>
      <c r="G10" s="738"/>
      <c r="H10" s="742"/>
      <c r="I10" s="8">
        <v>5</v>
      </c>
      <c r="J10" s="427" t="s">
        <v>929</v>
      </c>
      <c r="K10" s="426"/>
      <c r="L10" s="134"/>
      <c r="M10" s="134" t="s">
        <v>246</v>
      </c>
      <c r="N10" s="134"/>
      <c r="O10" s="134"/>
      <c r="P10" s="134"/>
      <c r="Q10" s="134"/>
      <c r="R10" s="134"/>
      <c r="S10" s="134"/>
      <c r="T10" s="134"/>
      <c r="U10" s="134"/>
      <c r="V10" s="134"/>
      <c r="W10" s="134"/>
      <c r="X10" s="468"/>
      <c r="Y10" s="468"/>
      <c r="Z10" s="469"/>
      <c r="AA10" s="451"/>
    </row>
    <row r="11" spans="1:27" s="14" customFormat="1" ht="60" customHeight="1">
      <c r="A11" s="7" t="s">
        <v>70</v>
      </c>
      <c r="B11" s="737" t="s">
        <v>2522</v>
      </c>
      <c r="C11" s="738"/>
      <c r="D11" s="738"/>
      <c r="E11" s="738"/>
      <c r="F11" s="738"/>
      <c r="G11" s="738"/>
      <c r="H11" s="742"/>
      <c r="I11" s="8">
        <v>5</v>
      </c>
      <c r="J11" s="268" t="s">
        <v>669</v>
      </c>
      <c r="K11" s="426"/>
      <c r="L11" s="134"/>
      <c r="M11" s="134"/>
      <c r="N11" s="134" t="s">
        <v>246</v>
      </c>
      <c r="O11" s="134"/>
      <c r="P11" s="134"/>
      <c r="Q11" s="134"/>
      <c r="R11" s="134"/>
      <c r="S11" s="134"/>
      <c r="T11" s="134"/>
      <c r="U11" s="134"/>
      <c r="V11" s="134"/>
      <c r="W11" s="134"/>
      <c r="X11" s="468"/>
      <c r="Y11" s="468"/>
      <c r="Z11" s="469"/>
      <c r="AA11" s="451"/>
    </row>
    <row r="12" spans="1:27" s="14" customFormat="1" ht="60" customHeight="1">
      <c r="A12" s="7" t="s">
        <v>153</v>
      </c>
      <c r="B12" s="737" t="s">
        <v>2523</v>
      </c>
      <c r="C12" s="738"/>
      <c r="D12" s="738"/>
      <c r="E12" s="738"/>
      <c r="F12" s="738"/>
      <c r="G12" s="738"/>
      <c r="H12" s="742"/>
      <c r="I12" s="8">
        <v>10</v>
      </c>
      <c r="J12" s="427" t="s">
        <v>929</v>
      </c>
      <c r="K12" s="426"/>
      <c r="L12" s="134"/>
      <c r="M12" s="134"/>
      <c r="N12" s="134"/>
      <c r="O12" s="134" t="s">
        <v>246</v>
      </c>
      <c r="P12" s="134"/>
      <c r="Q12" s="134"/>
      <c r="R12" s="134"/>
      <c r="S12" s="134"/>
      <c r="T12" s="134"/>
      <c r="U12" s="134"/>
      <c r="V12" s="134"/>
      <c r="W12" s="134"/>
      <c r="X12" s="733"/>
      <c r="Y12" s="734"/>
      <c r="Z12" s="735"/>
      <c r="AA12" s="451"/>
    </row>
    <row r="13" spans="1:27" s="14" customFormat="1" ht="60" customHeight="1">
      <c r="A13" s="7" t="s">
        <v>155</v>
      </c>
      <c r="B13" s="740" t="s">
        <v>2524</v>
      </c>
      <c r="C13" s="740"/>
      <c r="D13" s="740"/>
      <c r="E13" s="740"/>
      <c r="F13" s="740"/>
      <c r="G13" s="740"/>
      <c r="H13" s="740"/>
      <c r="I13" s="8">
        <v>20</v>
      </c>
      <c r="J13" s="268" t="s">
        <v>2525</v>
      </c>
      <c r="K13" s="426"/>
      <c r="L13" s="134"/>
      <c r="M13" s="134"/>
      <c r="N13" s="134"/>
      <c r="O13" s="134"/>
      <c r="P13" s="134" t="s">
        <v>246</v>
      </c>
      <c r="Q13" s="134"/>
      <c r="R13" s="134"/>
      <c r="S13" s="134"/>
      <c r="T13" s="134"/>
      <c r="U13" s="134"/>
      <c r="V13" s="134"/>
      <c r="W13" s="134"/>
      <c r="X13" s="475"/>
      <c r="Y13" s="475"/>
      <c r="Z13" s="476"/>
      <c r="AA13" s="451"/>
    </row>
    <row r="14" spans="1:27" s="14" customFormat="1" ht="60" customHeight="1">
      <c r="A14" s="7" t="s">
        <v>156</v>
      </c>
      <c r="B14" s="740" t="s">
        <v>2526</v>
      </c>
      <c r="C14" s="740"/>
      <c r="D14" s="740"/>
      <c r="E14" s="740"/>
      <c r="F14" s="740"/>
      <c r="G14" s="740"/>
      <c r="H14" s="740"/>
      <c r="I14" s="8">
        <v>10</v>
      </c>
      <c r="J14" s="268" t="s">
        <v>614</v>
      </c>
      <c r="K14" s="426"/>
      <c r="L14" s="134"/>
      <c r="M14" s="134"/>
      <c r="N14" s="134"/>
      <c r="O14" s="134"/>
      <c r="P14" s="134"/>
      <c r="Q14" s="134" t="s">
        <v>246</v>
      </c>
      <c r="R14" s="134"/>
      <c r="S14" s="134"/>
      <c r="T14" s="134"/>
      <c r="U14" s="134"/>
      <c r="V14" s="134"/>
      <c r="W14" s="134"/>
      <c r="X14" s="468"/>
      <c r="Y14" s="468"/>
      <c r="Z14" s="469"/>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741"/>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BF79-4FF3-4B86-AC73-14660F7A6878}">
  <dimension ref="A1:AA19"/>
  <sheetViews>
    <sheetView rightToLeft="1" zoomScale="70" zoomScaleNormal="70" zoomScaleSheetLayoutView="70" workbookViewId="0">
      <selection activeCell="M14" sqref="M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1038</v>
      </c>
      <c r="B3" s="456"/>
      <c r="C3" s="456"/>
      <c r="D3" s="456"/>
      <c r="E3" s="456"/>
      <c r="F3" s="456"/>
      <c r="G3" s="457" t="s">
        <v>1039</v>
      </c>
      <c r="H3" s="457"/>
      <c r="I3" s="458" t="s">
        <v>1040</v>
      </c>
      <c r="J3" s="458"/>
      <c r="K3" s="458"/>
      <c r="L3" s="458"/>
      <c r="M3" s="458"/>
      <c r="N3" s="458"/>
      <c r="O3" s="458"/>
      <c r="P3" s="458"/>
      <c r="Q3" s="458"/>
      <c r="R3" s="458"/>
      <c r="S3" s="458"/>
      <c r="T3" s="458"/>
      <c r="U3" s="458"/>
      <c r="V3" s="458"/>
      <c r="W3" s="458"/>
      <c r="X3" s="458"/>
      <c r="Y3" s="458"/>
      <c r="Z3" s="459"/>
      <c r="AA3" s="451"/>
    </row>
    <row r="4" spans="1:27" s="3" customFormat="1" ht="28.5" customHeight="1">
      <c r="A4" s="460" t="s">
        <v>1041</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1042</v>
      </c>
      <c r="H5" s="456"/>
      <c r="I5" s="456" t="s">
        <v>1043</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51.75" customHeight="1">
      <c r="A8" s="7" t="s">
        <v>28</v>
      </c>
      <c r="B8" s="740" t="s">
        <v>1044</v>
      </c>
      <c r="C8" s="740"/>
      <c r="D8" s="740"/>
      <c r="E8" s="740"/>
      <c r="F8" s="740"/>
      <c r="G8" s="740"/>
      <c r="H8" s="740"/>
      <c r="I8" s="264">
        <v>10</v>
      </c>
      <c r="J8" s="265" t="s">
        <v>775</v>
      </c>
      <c r="K8" s="10"/>
      <c r="L8" s="30" t="s">
        <v>246</v>
      </c>
      <c r="M8" s="30"/>
      <c r="N8" s="30"/>
      <c r="O8" s="30"/>
      <c r="P8" s="30"/>
      <c r="Q8" s="30"/>
      <c r="R8" s="30"/>
      <c r="S8" s="30"/>
      <c r="T8" s="30"/>
      <c r="U8" s="30"/>
      <c r="V8" s="30"/>
      <c r="W8" s="30"/>
      <c r="X8" s="475"/>
      <c r="Y8" s="475"/>
      <c r="Z8" s="476"/>
      <c r="AA8" s="451"/>
    </row>
    <row r="9" spans="1:27" s="14" customFormat="1" ht="51.75" customHeight="1">
      <c r="A9" s="7" t="s">
        <v>66</v>
      </c>
      <c r="B9" s="737" t="s">
        <v>1045</v>
      </c>
      <c r="C9" s="738"/>
      <c r="D9" s="738"/>
      <c r="E9" s="738"/>
      <c r="F9" s="738"/>
      <c r="G9" s="738"/>
      <c r="H9" s="739"/>
      <c r="I9" s="264">
        <v>10</v>
      </c>
      <c r="J9" s="265" t="s">
        <v>669</v>
      </c>
      <c r="K9" s="10"/>
      <c r="L9" s="30"/>
      <c r="M9" s="30" t="s">
        <v>246</v>
      </c>
      <c r="N9" s="30"/>
      <c r="O9" s="30"/>
      <c r="P9" s="30"/>
      <c r="Q9" s="30"/>
      <c r="R9" s="30"/>
      <c r="S9" s="30"/>
      <c r="T9" s="30"/>
      <c r="U9" s="30"/>
      <c r="V9" s="30"/>
      <c r="W9" s="30"/>
      <c r="X9" s="733"/>
      <c r="Y9" s="734"/>
      <c r="Z9" s="735"/>
      <c r="AA9" s="451"/>
    </row>
    <row r="10" spans="1:27" s="14" customFormat="1" ht="51.75" customHeight="1">
      <c r="A10" s="7" t="s">
        <v>68</v>
      </c>
      <c r="B10" s="737" t="s">
        <v>1046</v>
      </c>
      <c r="C10" s="738"/>
      <c r="D10" s="738"/>
      <c r="E10" s="738"/>
      <c r="F10" s="738"/>
      <c r="G10" s="738"/>
      <c r="H10" s="739"/>
      <c r="I10" s="264">
        <v>25</v>
      </c>
      <c r="J10" s="265" t="s">
        <v>1047</v>
      </c>
      <c r="K10" s="10"/>
      <c r="L10" s="30"/>
      <c r="M10" s="30"/>
      <c r="N10" s="30" t="s">
        <v>246</v>
      </c>
      <c r="O10" s="30"/>
      <c r="P10" s="30"/>
      <c r="Q10" s="30"/>
      <c r="R10" s="30"/>
      <c r="S10" s="30"/>
      <c r="T10" s="30"/>
      <c r="U10" s="30"/>
      <c r="V10" s="30"/>
      <c r="W10" s="30"/>
      <c r="X10" s="163"/>
      <c r="Y10" s="164"/>
      <c r="Z10" s="165"/>
      <c r="AA10" s="451"/>
    </row>
    <row r="11" spans="1:27" s="14" customFormat="1" ht="51.75" customHeight="1">
      <c r="A11" s="7" t="s">
        <v>70</v>
      </c>
      <c r="B11" s="740" t="s">
        <v>1048</v>
      </c>
      <c r="C11" s="740"/>
      <c r="D11" s="740"/>
      <c r="E11" s="740"/>
      <c r="F11" s="740"/>
      <c r="G11" s="740"/>
      <c r="H11" s="740"/>
      <c r="I11" s="264">
        <v>10</v>
      </c>
      <c r="J11" s="265" t="s">
        <v>669</v>
      </c>
      <c r="K11" s="10"/>
      <c r="L11" s="30"/>
      <c r="M11" s="30"/>
      <c r="N11" s="30"/>
      <c r="O11" s="30" t="s">
        <v>246</v>
      </c>
      <c r="P11" s="30"/>
      <c r="Q11" s="30"/>
      <c r="R11" s="30" t="s">
        <v>246</v>
      </c>
      <c r="S11" s="30"/>
      <c r="T11" s="30"/>
      <c r="U11" s="30" t="s">
        <v>246</v>
      </c>
      <c r="V11" s="30"/>
      <c r="W11" s="30"/>
      <c r="X11" s="475"/>
      <c r="Y11" s="475"/>
      <c r="Z11" s="476"/>
      <c r="AA11" s="451"/>
    </row>
    <row r="12" spans="1:27" s="14" customFormat="1" ht="51.75" customHeight="1">
      <c r="A12" s="7" t="s">
        <v>153</v>
      </c>
      <c r="B12" s="740" t="s">
        <v>1046</v>
      </c>
      <c r="C12" s="740"/>
      <c r="D12" s="740"/>
      <c r="E12" s="740"/>
      <c r="F12" s="740"/>
      <c r="G12" s="740"/>
      <c r="H12" s="740"/>
      <c r="I12" s="264">
        <v>25</v>
      </c>
      <c r="J12" s="265" t="s">
        <v>1047</v>
      </c>
      <c r="K12" s="10"/>
      <c r="L12" s="30"/>
      <c r="M12" s="30"/>
      <c r="N12" s="30"/>
      <c r="O12" s="30" t="s">
        <v>246</v>
      </c>
      <c r="P12" s="30"/>
      <c r="Q12" s="30"/>
      <c r="R12" s="30" t="s">
        <v>246</v>
      </c>
      <c r="S12" s="30"/>
      <c r="T12" s="30"/>
      <c r="U12" s="30" t="s">
        <v>246</v>
      </c>
      <c r="V12" s="30"/>
      <c r="W12" s="30"/>
      <c r="X12" s="468"/>
      <c r="Y12" s="468"/>
      <c r="Z12" s="469"/>
      <c r="AA12" s="451"/>
    </row>
    <row r="13" spans="1:27" s="14" customFormat="1" ht="51.75" customHeight="1">
      <c r="A13" s="7" t="s">
        <v>155</v>
      </c>
      <c r="B13" s="740" t="s">
        <v>1049</v>
      </c>
      <c r="C13" s="740"/>
      <c r="D13" s="740"/>
      <c r="E13" s="740"/>
      <c r="F13" s="740"/>
      <c r="G13" s="740"/>
      <c r="H13" s="740"/>
      <c r="I13" s="264">
        <v>10</v>
      </c>
      <c r="J13" s="265" t="s">
        <v>669</v>
      </c>
      <c r="K13" s="10"/>
      <c r="L13" s="30"/>
      <c r="M13" s="30" t="s">
        <v>246</v>
      </c>
      <c r="N13" s="30" t="s">
        <v>246</v>
      </c>
      <c r="O13" s="30" t="s">
        <v>246</v>
      </c>
      <c r="P13" s="30" t="s">
        <v>246</v>
      </c>
      <c r="Q13" s="30" t="s">
        <v>246</v>
      </c>
      <c r="R13" s="30" t="s">
        <v>246</v>
      </c>
      <c r="S13" s="30" t="s">
        <v>246</v>
      </c>
      <c r="T13" s="30" t="s">
        <v>246</v>
      </c>
      <c r="U13" s="30" t="s">
        <v>246</v>
      </c>
      <c r="V13" s="30" t="s">
        <v>246</v>
      </c>
      <c r="W13" s="30"/>
      <c r="X13" s="468"/>
      <c r="Y13" s="468"/>
      <c r="Z13" s="469"/>
      <c r="AA13" s="451"/>
    </row>
    <row r="14" spans="1:27" s="14" customFormat="1" ht="51.75" customHeight="1">
      <c r="A14" s="267"/>
      <c r="B14" s="266"/>
      <c r="C14" s="738" t="s">
        <v>1050</v>
      </c>
      <c r="D14" s="738"/>
      <c r="E14" s="738"/>
      <c r="F14" s="738"/>
      <c r="G14" s="738"/>
      <c r="H14" s="739"/>
      <c r="I14" s="264">
        <v>10</v>
      </c>
      <c r="J14" s="265" t="s">
        <v>669</v>
      </c>
      <c r="K14" s="10"/>
      <c r="L14" s="30"/>
      <c r="M14" s="30" t="s">
        <v>246</v>
      </c>
      <c r="N14" s="30" t="s">
        <v>246</v>
      </c>
      <c r="O14" s="30" t="s">
        <v>246</v>
      </c>
      <c r="P14" s="30" t="s">
        <v>246</v>
      </c>
      <c r="Q14" s="30" t="s">
        <v>246</v>
      </c>
      <c r="R14" s="30" t="s">
        <v>246</v>
      </c>
      <c r="S14" s="30" t="s">
        <v>246</v>
      </c>
      <c r="T14" s="30" t="s">
        <v>246</v>
      </c>
      <c r="U14" s="30" t="s">
        <v>246</v>
      </c>
      <c r="V14" s="30" t="s">
        <v>246</v>
      </c>
      <c r="W14" s="30"/>
      <c r="X14" s="743"/>
      <c r="Y14" s="744"/>
      <c r="Z14" s="745"/>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741"/>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sheetData>
  <mergeCells count="43">
    <mergeCell ref="X16:Z19"/>
    <mergeCell ref="K18:K19"/>
    <mergeCell ref="L18:N19"/>
    <mergeCell ref="C14:H14"/>
    <mergeCell ref="X14:Z14"/>
    <mergeCell ref="A15:E15"/>
    <mergeCell ref="F15:J15"/>
    <mergeCell ref="K15:N15"/>
    <mergeCell ref="O15:W15"/>
    <mergeCell ref="X15:Z15"/>
    <mergeCell ref="A16:E19"/>
    <mergeCell ref="F16:J19"/>
    <mergeCell ref="K16:K17"/>
    <mergeCell ref="L16:N17"/>
    <mergeCell ref="O16:W19"/>
    <mergeCell ref="B11:H11"/>
    <mergeCell ref="X11:Z11"/>
    <mergeCell ref="B12:H12"/>
    <mergeCell ref="X12:Z12"/>
    <mergeCell ref="B13:H13"/>
    <mergeCell ref="X13:Z13"/>
    <mergeCell ref="B8:H8"/>
    <mergeCell ref="X8:Z8"/>
    <mergeCell ref="B9:H9"/>
    <mergeCell ref="X9:Z9"/>
    <mergeCell ref="K6:K7"/>
    <mergeCell ref="L6:W6"/>
    <mergeCell ref="A1:Y1"/>
    <mergeCell ref="AA1:AA15"/>
    <mergeCell ref="A2:Z2"/>
    <mergeCell ref="A3:F3"/>
    <mergeCell ref="G3:H3"/>
    <mergeCell ref="I3:Z4"/>
    <mergeCell ref="A4:F5"/>
    <mergeCell ref="G4:H4"/>
    <mergeCell ref="G5:H5"/>
    <mergeCell ref="I5:Z5"/>
    <mergeCell ref="B10:H10"/>
    <mergeCell ref="A6:A7"/>
    <mergeCell ref="B6:H7"/>
    <mergeCell ref="I6:I7"/>
    <mergeCell ref="J6:J7"/>
    <mergeCell ref="X6:Z7"/>
  </mergeCells>
  <printOptions horizontalCentered="1" verticalCentered="1"/>
  <pageMargins left="0" right="0" top="0" bottom="0" header="0" footer="0"/>
  <pageSetup paperSize="9" scale="43"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8C67-870E-49EE-813E-19767EF84B87}">
  <dimension ref="A1:AA24"/>
  <sheetViews>
    <sheetView rightToLeft="1" view="pageBreakPreview" zoomScale="70" zoomScaleNormal="90" zoomScaleSheetLayoutView="70" workbookViewId="0">
      <selection activeCell="I9" sqref="I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2495</v>
      </c>
      <c r="B3" s="456"/>
      <c r="C3" s="456"/>
      <c r="D3" s="456"/>
      <c r="E3" s="456"/>
      <c r="F3" s="456"/>
      <c r="G3" s="457" t="s">
        <v>2496</v>
      </c>
      <c r="H3" s="457"/>
      <c r="I3" s="458" t="s">
        <v>2497</v>
      </c>
      <c r="J3" s="458"/>
      <c r="K3" s="458"/>
      <c r="L3" s="458"/>
      <c r="M3" s="458"/>
      <c r="N3" s="458"/>
      <c r="O3" s="458"/>
      <c r="P3" s="458"/>
      <c r="Q3" s="458"/>
      <c r="R3" s="458"/>
      <c r="S3" s="458"/>
      <c r="T3" s="458"/>
      <c r="U3" s="458"/>
      <c r="V3" s="458"/>
      <c r="W3" s="458"/>
      <c r="X3" s="458"/>
      <c r="Y3" s="458"/>
      <c r="Z3" s="459"/>
      <c r="AA3" s="451"/>
    </row>
    <row r="4" spans="1:27" s="3" customFormat="1" ht="28.5" customHeight="1">
      <c r="A4" s="460" t="s">
        <v>1041</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1042</v>
      </c>
      <c r="H5" s="456"/>
      <c r="I5" s="456" t="s">
        <v>1079</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81.75" customHeight="1">
      <c r="A8" s="7" t="s">
        <v>28</v>
      </c>
      <c r="B8" s="740" t="s">
        <v>2498</v>
      </c>
      <c r="C8" s="740"/>
      <c r="D8" s="740"/>
      <c r="E8" s="740"/>
      <c r="F8" s="740"/>
      <c r="G8" s="740"/>
      <c r="H8" s="740"/>
      <c r="I8" s="264">
        <v>20</v>
      </c>
      <c r="J8" s="265" t="s">
        <v>2499</v>
      </c>
      <c r="K8" s="10"/>
      <c r="L8" s="30" t="s">
        <v>246</v>
      </c>
      <c r="M8" s="30" t="s">
        <v>246</v>
      </c>
      <c r="N8" s="30" t="s">
        <v>246</v>
      </c>
      <c r="O8" s="30"/>
      <c r="P8" s="30"/>
      <c r="Q8" s="30"/>
      <c r="R8" s="30"/>
      <c r="S8" s="30"/>
      <c r="T8" s="30"/>
      <c r="U8" s="30"/>
      <c r="V8" s="30"/>
      <c r="W8" s="30"/>
      <c r="X8" s="475"/>
      <c r="Y8" s="475"/>
      <c r="Z8" s="476"/>
      <c r="AA8" s="451"/>
    </row>
    <row r="9" spans="1:27" s="14" customFormat="1" ht="51.75" customHeight="1">
      <c r="A9" s="7" t="s">
        <v>66</v>
      </c>
      <c r="B9" s="737" t="s">
        <v>2500</v>
      </c>
      <c r="C9" s="738"/>
      <c r="D9" s="738"/>
      <c r="E9" s="738"/>
      <c r="F9" s="738"/>
      <c r="G9" s="738"/>
      <c r="H9" s="739"/>
      <c r="I9" s="264">
        <v>10</v>
      </c>
      <c r="J9" s="265" t="s">
        <v>439</v>
      </c>
      <c r="K9" s="10"/>
      <c r="L9" s="30"/>
      <c r="M9" s="30"/>
      <c r="N9" s="30" t="s">
        <v>246</v>
      </c>
      <c r="O9" s="30"/>
      <c r="P9" s="30"/>
      <c r="Q9" s="30"/>
      <c r="R9" s="30"/>
      <c r="S9" s="30"/>
      <c r="T9" s="30"/>
      <c r="U9" s="30"/>
      <c r="V9" s="30"/>
      <c r="W9" s="30"/>
      <c r="X9" s="163"/>
      <c r="Y9" s="164"/>
      <c r="Z9" s="165"/>
      <c r="AA9" s="451"/>
    </row>
    <row r="10" spans="1:27" s="14" customFormat="1" ht="51.75" customHeight="1">
      <c r="A10" s="7" t="s">
        <v>68</v>
      </c>
      <c r="B10" s="740" t="s">
        <v>2501</v>
      </c>
      <c r="C10" s="740"/>
      <c r="D10" s="740"/>
      <c r="E10" s="740"/>
      <c r="F10" s="740"/>
      <c r="G10" s="740"/>
      <c r="H10" s="740"/>
      <c r="I10" s="264">
        <v>15</v>
      </c>
      <c r="J10" s="265" t="s">
        <v>2502</v>
      </c>
      <c r="K10" s="10"/>
      <c r="L10" s="30"/>
      <c r="M10" s="30"/>
      <c r="N10" s="30"/>
      <c r="O10" s="30" t="s">
        <v>246</v>
      </c>
      <c r="P10" s="30"/>
      <c r="Q10" s="30"/>
      <c r="R10" s="30"/>
      <c r="S10" s="30"/>
      <c r="T10" s="30"/>
      <c r="U10" s="30"/>
      <c r="V10" s="30"/>
      <c r="W10" s="30"/>
      <c r="X10" s="163"/>
      <c r="Y10" s="164"/>
      <c r="Z10" s="165"/>
      <c r="AA10" s="451"/>
    </row>
    <row r="11" spans="1:27" s="14" customFormat="1" ht="51.75" customHeight="1">
      <c r="A11" s="7" t="s">
        <v>70</v>
      </c>
      <c r="B11" s="737" t="s">
        <v>2503</v>
      </c>
      <c r="C11" s="738"/>
      <c r="D11" s="738"/>
      <c r="E11" s="738"/>
      <c r="F11" s="738"/>
      <c r="G11" s="738"/>
      <c r="H11" s="739"/>
      <c r="I11" s="264">
        <v>5</v>
      </c>
      <c r="J11" s="265" t="s">
        <v>669</v>
      </c>
      <c r="K11" s="10"/>
      <c r="L11" s="30"/>
      <c r="N11" s="30"/>
      <c r="O11" s="30" t="s">
        <v>246</v>
      </c>
      <c r="P11" s="30"/>
      <c r="Q11" s="30"/>
      <c r="R11" s="30"/>
      <c r="S11" s="30"/>
      <c r="T11" s="30"/>
      <c r="U11" s="30"/>
      <c r="V11" s="30"/>
      <c r="W11" s="30"/>
      <c r="X11" s="733"/>
      <c r="Y11" s="734"/>
      <c r="Z11" s="735"/>
      <c r="AA11" s="451"/>
    </row>
    <row r="12" spans="1:27" s="14" customFormat="1" ht="51.75" customHeight="1">
      <c r="A12" s="7" t="s">
        <v>153</v>
      </c>
      <c r="B12" s="737" t="s">
        <v>2504</v>
      </c>
      <c r="C12" s="738"/>
      <c r="D12" s="738"/>
      <c r="E12" s="738"/>
      <c r="F12" s="738"/>
      <c r="G12" s="738"/>
      <c r="H12" s="739"/>
      <c r="I12" s="264">
        <v>5</v>
      </c>
      <c r="J12" s="265" t="s">
        <v>669</v>
      </c>
      <c r="K12" s="10"/>
      <c r="L12" s="30"/>
      <c r="M12" s="30"/>
      <c r="N12" s="30"/>
      <c r="O12" s="30" t="s">
        <v>246</v>
      </c>
      <c r="P12" s="30"/>
      <c r="Q12" s="30"/>
      <c r="R12" s="30"/>
      <c r="S12" s="30"/>
      <c r="T12" s="30"/>
      <c r="U12" s="30"/>
      <c r="V12" s="30"/>
      <c r="W12" s="30"/>
      <c r="X12" s="733"/>
      <c r="Y12" s="734"/>
      <c r="Z12" s="735"/>
      <c r="AA12" s="451"/>
    </row>
    <row r="13" spans="1:27" s="14" customFormat="1" ht="51.75" customHeight="1">
      <c r="A13" s="7" t="s">
        <v>155</v>
      </c>
      <c r="B13" s="737" t="s">
        <v>2505</v>
      </c>
      <c r="C13" s="738"/>
      <c r="D13" s="738"/>
      <c r="E13" s="738"/>
      <c r="F13" s="738"/>
      <c r="G13" s="738"/>
      <c r="H13" s="739"/>
      <c r="I13" s="264">
        <v>10</v>
      </c>
      <c r="J13" s="265" t="s">
        <v>353</v>
      </c>
      <c r="K13" s="10" t="s">
        <v>2506</v>
      </c>
      <c r="L13" s="30"/>
      <c r="M13" s="30"/>
      <c r="N13" s="30"/>
      <c r="O13" s="30"/>
      <c r="P13" s="30" t="s">
        <v>246</v>
      </c>
      <c r="Q13" s="30"/>
      <c r="R13" s="30"/>
      <c r="S13" s="30"/>
      <c r="T13" s="30"/>
      <c r="U13" s="30"/>
      <c r="V13" s="30"/>
      <c r="W13" s="30"/>
      <c r="X13" s="163"/>
      <c r="Y13" s="164"/>
      <c r="Z13" s="165"/>
      <c r="AA13" s="451"/>
    </row>
    <row r="14" spans="1:27" s="14" customFormat="1" ht="51.75" customHeight="1">
      <c r="A14" s="7" t="s">
        <v>156</v>
      </c>
      <c r="B14" s="737" t="s">
        <v>2507</v>
      </c>
      <c r="C14" s="738"/>
      <c r="D14" s="738"/>
      <c r="E14" s="738"/>
      <c r="F14" s="738"/>
      <c r="G14" s="738"/>
      <c r="H14" s="739"/>
      <c r="I14" s="264">
        <v>10</v>
      </c>
      <c r="J14" s="265" t="s">
        <v>2508</v>
      </c>
      <c r="K14" s="10"/>
      <c r="L14" s="30"/>
      <c r="M14" s="30"/>
      <c r="N14" s="30"/>
      <c r="O14" s="30"/>
      <c r="P14" s="30" t="s">
        <v>246</v>
      </c>
      <c r="Q14" s="30"/>
      <c r="R14" s="30"/>
      <c r="S14" s="30"/>
      <c r="T14" s="30"/>
      <c r="U14" s="30"/>
      <c r="V14" s="30"/>
      <c r="W14" s="30"/>
      <c r="X14" s="733"/>
      <c r="Y14" s="734"/>
      <c r="Z14" s="735"/>
      <c r="AA14" s="451"/>
    </row>
    <row r="15" spans="1:27" s="14" customFormat="1" ht="51.75" customHeight="1">
      <c r="A15" s="7" t="s">
        <v>853</v>
      </c>
      <c r="B15" s="740" t="s">
        <v>2509</v>
      </c>
      <c r="C15" s="740"/>
      <c r="D15" s="740"/>
      <c r="E15" s="740"/>
      <c r="F15" s="740"/>
      <c r="G15" s="740"/>
      <c r="H15" s="740"/>
      <c r="I15" s="264">
        <v>10</v>
      </c>
      <c r="J15" s="265" t="s">
        <v>353</v>
      </c>
      <c r="K15" s="10"/>
      <c r="L15" s="30"/>
      <c r="M15" s="30"/>
      <c r="N15" s="30"/>
      <c r="O15" s="30"/>
      <c r="P15" s="30" t="s">
        <v>246</v>
      </c>
      <c r="Q15" s="30" t="s">
        <v>246</v>
      </c>
      <c r="R15" s="30" t="s">
        <v>246</v>
      </c>
      <c r="S15" s="30" t="s">
        <v>246</v>
      </c>
      <c r="T15" s="30" t="s">
        <v>246</v>
      </c>
      <c r="U15" s="30" t="s">
        <v>246</v>
      </c>
      <c r="V15" s="30" t="s">
        <v>246</v>
      </c>
      <c r="W15" s="30" t="s">
        <v>246</v>
      </c>
      <c r="X15" s="475"/>
      <c r="Y15" s="475"/>
      <c r="Z15" s="476"/>
      <c r="AA15" s="451"/>
    </row>
    <row r="16" spans="1:27" s="14" customFormat="1" ht="51.75" customHeight="1">
      <c r="A16" s="7" t="s">
        <v>892</v>
      </c>
      <c r="B16" s="740" t="s">
        <v>2510</v>
      </c>
      <c r="C16" s="740"/>
      <c r="D16" s="740"/>
      <c r="E16" s="740"/>
      <c r="F16" s="740"/>
      <c r="G16" s="740"/>
      <c r="H16" s="740"/>
      <c r="I16" s="264">
        <v>5</v>
      </c>
      <c r="J16" s="265" t="s">
        <v>2508</v>
      </c>
      <c r="K16" s="10"/>
      <c r="L16" s="30"/>
      <c r="M16" s="30"/>
      <c r="N16" s="30"/>
      <c r="O16" s="30"/>
      <c r="P16" s="30" t="s">
        <v>246</v>
      </c>
      <c r="Q16" s="30" t="s">
        <v>246</v>
      </c>
      <c r="R16" s="30" t="s">
        <v>246</v>
      </c>
      <c r="S16" s="30" t="s">
        <v>246</v>
      </c>
      <c r="T16" s="30" t="s">
        <v>246</v>
      </c>
      <c r="U16" s="30" t="s">
        <v>246</v>
      </c>
      <c r="V16" s="30" t="s">
        <v>246</v>
      </c>
      <c r="W16" s="30" t="s">
        <v>246</v>
      </c>
      <c r="X16" s="468"/>
      <c r="Y16" s="468"/>
      <c r="Z16" s="469"/>
      <c r="AA16" s="451"/>
    </row>
    <row r="17" spans="1:27" s="14" customFormat="1" ht="51.75" customHeight="1">
      <c r="A17" s="7" t="s">
        <v>894</v>
      </c>
      <c r="B17" s="740" t="s">
        <v>2511</v>
      </c>
      <c r="C17" s="740"/>
      <c r="D17" s="740"/>
      <c r="E17" s="740"/>
      <c r="F17" s="740"/>
      <c r="G17" s="740"/>
      <c r="H17" s="740"/>
      <c r="I17" s="264">
        <v>5</v>
      </c>
      <c r="J17" s="265" t="s">
        <v>669</v>
      </c>
      <c r="K17" s="10"/>
      <c r="L17" s="30"/>
      <c r="M17" s="30"/>
      <c r="N17" s="30"/>
      <c r="O17" s="30"/>
      <c r="P17" s="30"/>
      <c r="Q17" s="30" t="s">
        <v>246</v>
      </c>
      <c r="R17" s="30"/>
      <c r="S17" s="30"/>
      <c r="T17" s="30" t="s">
        <v>246</v>
      </c>
      <c r="U17" s="30"/>
      <c r="V17" s="30"/>
      <c r="W17" s="30" t="s">
        <v>246</v>
      </c>
      <c r="X17" s="468"/>
      <c r="Y17" s="468"/>
      <c r="Z17" s="469"/>
      <c r="AA17" s="451"/>
    </row>
    <row r="18" spans="1:27" s="14" customFormat="1" ht="51.75" customHeight="1">
      <c r="A18" s="7" t="s">
        <v>897</v>
      </c>
      <c r="B18" s="740" t="s">
        <v>2512</v>
      </c>
      <c r="C18" s="740"/>
      <c r="D18" s="740"/>
      <c r="E18" s="740"/>
      <c r="F18" s="740"/>
      <c r="G18" s="740"/>
      <c r="H18" s="740"/>
      <c r="I18" s="264">
        <v>5</v>
      </c>
      <c r="J18" s="265" t="s">
        <v>669</v>
      </c>
      <c r="K18" s="10"/>
      <c r="L18" s="746" t="s">
        <v>2513</v>
      </c>
      <c r="M18" s="747"/>
      <c r="N18" s="747"/>
      <c r="O18" s="747"/>
      <c r="P18" s="747"/>
      <c r="Q18" s="747"/>
      <c r="R18" s="747"/>
      <c r="S18" s="747"/>
      <c r="T18" s="747"/>
      <c r="U18" s="747"/>
      <c r="V18" s="747"/>
      <c r="W18" s="748"/>
      <c r="X18" s="475"/>
      <c r="Y18" s="475"/>
      <c r="Z18" s="476"/>
      <c r="AA18" s="451"/>
    </row>
    <row r="19" spans="1:27" ht="57.75" customHeight="1">
      <c r="A19" s="488" t="s">
        <v>42</v>
      </c>
      <c r="B19" s="489"/>
      <c r="C19" s="489"/>
      <c r="D19" s="489"/>
      <c r="E19" s="490"/>
      <c r="F19" s="472" t="s">
        <v>43</v>
      </c>
      <c r="G19" s="472"/>
      <c r="H19" s="472"/>
      <c r="I19" s="472"/>
      <c r="J19" s="472"/>
      <c r="K19" s="472" t="s">
        <v>44</v>
      </c>
      <c r="L19" s="472"/>
      <c r="M19" s="472"/>
      <c r="N19" s="472"/>
      <c r="O19" s="491" t="s">
        <v>45</v>
      </c>
      <c r="P19" s="492"/>
      <c r="Q19" s="492"/>
      <c r="R19" s="492"/>
      <c r="S19" s="492"/>
      <c r="T19" s="492"/>
      <c r="U19" s="492"/>
      <c r="V19" s="492"/>
      <c r="W19" s="493"/>
      <c r="X19" s="472" t="s">
        <v>46</v>
      </c>
      <c r="Y19" s="472"/>
      <c r="Z19" s="741"/>
      <c r="AA19" s="451"/>
    </row>
    <row r="20" spans="1:27" s="20" customFormat="1" ht="28.5">
      <c r="A20" s="494"/>
      <c r="B20" s="495"/>
      <c r="C20" s="495"/>
      <c r="D20" s="495"/>
      <c r="E20" s="496"/>
      <c r="F20" s="503"/>
      <c r="G20" s="504"/>
      <c r="H20" s="504"/>
      <c r="I20" s="504"/>
      <c r="J20" s="505"/>
      <c r="K20" s="486" t="s">
        <v>47</v>
      </c>
      <c r="L20" s="486"/>
      <c r="M20" s="486"/>
      <c r="N20" s="486"/>
      <c r="O20" s="477"/>
      <c r="P20" s="478"/>
      <c r="Q20" s="478"/>
      <c r="R20" s="478"/>
      <c r="S20" s="478"/>
      <c r="T20" s="478"/>
      <c r="U20" s="478"/>
      <c r="V20" s="478"/>
      <c r="W20" s="512"/>
      <c r="X20" s="477"/>
      <c r="Y20" s="478"/>
      <c r="Z20" s="479"/>
    </row>
    <row r="21" spans="1:27" s="20" customFormat="1" ht="28.5">
      <c r="A21" s="497"/>
      <c r="B21" s="498"/>
      <c r="C21" s="498"/>
      <c r="D21" s="498"/>
      <c r="E21" s="499"/>
      <c r="F21" s="506"/>
      <c r="G21" s="507"/>
      <c r="H21" s="507"/>
      <c r="I21" s="507"/>
      <c r="J21" s="508"/>
      <c r="K21" s="486"/>
      <c r="L21" s="486"/>
      <c r="M21" s="486"/>
      <c r="N21" s="486"/>
      <c r="O21" s="480"/>
      <c r="P21" s="481"/>
      <c r="Q21" s="481"/>
      <c r="R21" s="481"/>
      <c r="S21" s="481"/>
      <c r="T21" s="481"/>
      <c r="U21" s="481"/>
      <c r="V21" s="481"/>
      <c r="W21" s="513"/>
      <c r="X21" s="480"/>
      <c r="Y21" s="481"/>
      <c r="Z21" s="482"/>
    </row>
    <row r="22" spans="1:27" s="20" customFormat="1" ht="28.5">
      <c r="A22" s="497"/>
      <c r="B22" s="498"/>
      <c r="C22" s="498"/>
      <c r="D22" s="498"/>
      <c r="E22" s="499"/>
      <c r="F22" s="506"/>
      <c r="G22" s="507"/>
      <c r="H22" s="507"/>
      <c r="I22" s="507"/>
      <c r="J22" s="508"/>
      <c r="K22" s="486" t="s">
        <v>48</v>
      </c>
      <c r="L22" s="486"/>
      <c r="M22" s="486"/>
      <c r="N22" s="486"/>
      <c r="O22" s="480"/>
      <c r="P22" s="481"/>
      <c r="Q22" s="481"/>
      <c r="R22" s="481"/>
      <c r="S22" s="481"/>
      <c r="T22" s="481"/>
      <c r="U22" s="481"/>
      <c r="V22" s="481"/>
      <c r="W22" s="513"/>
      <c r="X22" s="480"/>
      <c r="Y22" s="481"/>
      <c r="Z22" s="482"/>
    </row>
    <row r="23" spans="1:27" s="20" customFormat="1" ht="29.25" thickBot="1">
      <c r="A23" s="500"/>
      <c r="B23" s="501"/>
      <c r="C23" s="501"/>
      <c r="D23" s="501"/>
      <c r="E23" s="502"/>
      <c r="F23" s="509"/>
      <c r="G23" s="510"/>
      <c r="H23" s="510"/>
      <c r="I23" s="510"/>
      <c r="J23" s="511"/>
      <c r="K23" s="487"/>
      <c r="L23" s="487"/>
      <c r="M23" s="487"/>
      <c r="N23" s="487"/>
      <c r="O23" s="483"/>
      <c r="P23" s="484"/>
      <c r="Q23" s="484"/>
      <c r="R23" s="484"/>
      <c r="S23" s="484"/>
      <c r="T23" s="484"/>
      <c r="U23" s="484"/>
      <c r="V23" s="484"/>
      <c r="W23" s="514"/>
      <c r="X23" s="483"/>
      <c r="Y23" s="484"/>
      <c r="Z23" s="485"/>
    </row>
    <row r="24" spans="1:27" ht="18.75" thickTop="1"/>
  </sheetData>
  <mergeCells count="50">
    <mergeCell ref="X20:Z23"/>
    <mergeCell ref="K22:K23"/>
    <mergeCell ref="L22:N23"/>
    <mergeCell ref="A19:E19"/>
    <mergeCell ref="F19:J19"/>
    <mergeCell ref="K19:N19"/>
    <mergeCell ref="O19:W19"/>
    <mergeCell ref="X19:Z19"/>
    <mergeCell ref="A20:E23"/>
    <mergeCell ref="F20:J23"/>
    <mergeCell ref="K20:K21"/>
    <mergeCell ref="L20:N21"/>
    <mergeCell ref="O20:W23"/>
    <mergeCell ref="B16:H16"/>
    <mergeCell ref="X16:Z16"/>
    <mergeCell ref="B17:H17"/>
    <mergeCell ref="X17:Z17"/>
    <mergeCell ref="B18:H18"/>
    <mergeCell ref="L18:W18"/>
    <mergeCell ref="X18:Z18"/>
    <mergeCell ref="X15:Z15"/>
    <mergeCell ref="X6:Z7"/>
    <mergeCell ref="B8:H8"/>
    <mergeCell ref="X8:Z8"/>
    <mergeCell ref="B9:H9"/>
    <mergeCell ref="B10:H10"/>
    <mergeCell ref="B11:H11"/>
    <mergeCell ref="X11:Z11"/>
    <mergeCell ref="L6:W6"/>
    <mergeCell ref="B12:H12"/>
    <mergeCell ref="X12:Z12"/>
    <mergeCell ref="B13:H13"/>
    <mergeCell ref="B14:H14"/>
    <mergeCell ref="X14:Z14"/>
    <mergeCell ref="A1:Y1"/>
    <mergeCell ref="AA1:AA19"/>
    <mergeCell ref="A2:Z2"/>
    <mergeCell ref="A3:F3"/>
    <mergeCell ref="G3:H3"/>
    <mergeCell ref="I3:Z4"/>
    <mergeCell ref="A4:F5"/>
    <mergeCell ref="G4:H4"/>
    <mergeCell ref="G5:H5"/>
    <mergeCell ref="I5:Z5"/>
    <mergeCell ref="A6:A7"/>
    <mergeCell ref="B6:H7"/>
    <mergeCell ref="I6:I7"/>
    <mergeCell ref="J6:J7"/>
    <mergeCell ref="K6:K7"/>
    <mergeCell ref="B15:H15"/>
  </mergeCells>
  <printOptions horizontalCentered="1" verticalCentered="1"/>
  <pageMargins left="0" right="0" top="0" bottom="0" header="0" footer="0"/>
  <pageSetup paperSize="9" scale="43"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DA92-5242-4AB7-9721-538C5C239D61}">
  <dimension ref="A1:Z20"/>
  <sheetViews>
    <sheetView rightToLeft="1" zoomScale="90" zoomScaleNormal="90" zoomScaleSheetLayoutView="90" workbookViewId="0">
      <selection activeCell="B14" sqref="B14:G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1845</v>
      </c>
      <c r="B3" s="657"/>
      <c r="C3" s="657"/>
      <c r="D3" s="657"/>
      <c r="E3" s="658"/>
      <c r="F3" s="659" t="s">
        <v>178</v>
      </c>
      <c r="G3" s="660"/>
      <c r="H3" s="661" t="s">
        <v>1005</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1846</v>
      </c>
      <c r="B5" s="673"/>
      <c r="C5" s="673"/>
      <c r="D5" s="673"/>
      <c r="E5" s="674"/>
      <c r="F5" s="675" t="s">
        <v>1847</v>
      </c>
      <c r="G5" s="675"/>
      <c r="H5" s="676" t="s">
        <v>1848</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30" t="s">
        <v>1849</v>
      </c>
      <c r="C8" s="531"/>
      <c r="D8" s="531"/>
      <c r="E8" s="531"/>
      <c r="F8" s="531"/>
      <c r="G8" s="532"/>
      <c r="H8" s="15">
        <v>15</v>
      </c>
      <c r="I8" s="9" t="s">
        <v>1850</v>
      </c>
      <c r="J8" s="9"/>
      <c r="K8" s="16"/>
      <c r="L8" s="16"/>
      <c r="M8" s="16"/>
      <c r="N8" s="263"/>
      <c r="O8" s="263"/>
      <c r="P8" s="16"/>
      <c r="Q8" s="16"/>
      <c r="R8" s="16"/>
      <c r="S8" s="16"/>
      <c r="T8" s="16"/>
      <c r="U8" s="16"/>
      <c r="V8" s="16"/>
      <c r="W8" s="594"/>
      <c r="X8" s="595"/>
      <c r="Y8" s="596"/>
      <c r="Z8" s="451"/>
    </row>
    <row r="9" spans="1:26" s="14" customFormat="1" ht="24">
      <c r="A9" s="23" t="s">
        <v>66</v>
      </c>
      <c r="B9" s="530" t="s">
        <v>1851</v>
      </c>
      <c r="C9" s="531"/>
      <c r="D9" s="531"/>
      <c r="E9" s="531"/>
      <c r="F9" s="531"/>
      <c r="G9" s="532"/>
      <c r="H9" s="15">
        <v>15</v>
      </c>
      <c r="I9" s="9" t="s">
        <v>595</v>
      </c>
      <c r="J9" s="9"/>
      <c r="K9" s="19"/>
      <c r="L9" s="16"/>
      <c r="M9" s="16"/>
      <c r="N9" s="263"/>
      <c r="O9" s="263"/>
      <c r="P9" s="16"/>
      <c r="Q9" s="16"/>
      <c r="R9" s="16"/>
      <c r="S9" s="16"/>
      <c r="T9" s="16"/>
      <c r="U9" s="16"/>
      <c r="V9" s="16"/>
      <c r="W9" s="597"/>
      <c r="X9" s="597"/>
      <c r="Y9" s="597"/>
      <c r="Z9" s="451"/>
    </row>
    <row r="10" spans="1:26" s="14" customFormat="1" ht="24">
      <c r="A10" s="23" t="s">
        <v>68</v>
      </c>
      <c r="B10" s="530" t="s">
        <v>1852</v>
      </c>
      <c r="C10" s="531"/>
      <c r="D10" s="531"/>
      <c r="E10" s="531"/>
      <c r="F10" s="531"/>
      <c r="G10" s="532"/>
      <c r="H10" s="15">
        <v>10</v>
      </c>
      <c r="I10" s="9" t="s">
        <v>595</v>
      </c>
      <c r="J10" s="9"/>
      <c r="K10" s="16"/>
      <c r="L10" s="16"/>
      <c r="M10" s="16"/>
      <c r="N10" s="16"/>
      <c r="O10" s="263"/>
      <c r="P10" s="263"/>
      <c r="Q10" s="16"/>
      <c r="R10" s="16"/>
      <c r="S10" s="16"/>
      <c r="T10" s="16"/>
      <c r="U10" s="16"/>
      <c r="V10" s="16"/>
      <c r="W10" s="518"/>
      <c r="X10" s="518"/>
      <c r="Y10" s="518"/>
      <c r="Z10" s="451"/>
    </row>
    <row r="11" spans="1:26" s="14" customFormat="1" ht="24">
      <c r="A11" s="23" t="s">
        <v>70</v>
      </c>
      <c r="B11" s="530" t="s">
        <v>1853</v>
      </c>
      <c r="C11" s="531"/>
      <c r="D11" s="531"/>
      <c r="E11" s="531"/>
      <c r="F11" s="531"/>
      <c r="G11" s="532"/>
      <c r="H11" s="15">
        <v>20</v>
      </c>
      <c r="I11" s="9" t="s">
        <v>595</v>
      </c>
      <c r="J11" s="9"/>
      <c r="K11" s="16"/>
      <c r="L11" s="16"/>
      <c r="M11" s="16"/>
      <c r="N11" s="16"/>
      <c r="O11" s="263"/>
      <c r="P11" s="263"/>
      <c r="Q11" s="16"/>
      <c r="R11" s="16"/>
      <c r="S11" s="16"/>
      <c r="T11" s="16"/>
      <c r="U11" s="16"/>
      <c r="V11" s="16"/>
      <c r="W11" s="518"/>
      <c r="X11" s="518"/>
      <c r="Y11" s="518"/>
      <c r="Z11" s="451"/>
    </row>
    <row r="12" spans="1:26" s="14" customFormat="1" ht="24">
      <c r="A12" s="23" t="s">
        <v>153</v>
      </c>
      <c r="B12" s="530" t="s">
        <v>1854</v>
      </c>
      <c r="C12" s="531"/>
      <c r="D12" s="531"/>
      <c r="E12" s="531"/>
      <c r="F12" s="531"/>
      <c r="G12" s="532"/>
      <c r="H12" s="15">
        <v>20</v>
      </c>
      <c r="I12" s="9" t="s">
        <v>595</v>
      </c>
      <c r="J12" s="9"/>
      <c r="K12" s="16"/>
      <c r="L12" s="16"/>
      <c r="M12" s="16"/>
      <c r="N12" s="16"/>
      <c r="O12" s="16"/>
      <c r="P12" s="263"/>
      <c r="Q12" s="16"/>
      <c r="R12" s="16"/>
      <c r="S12" s="16"/>
      <c r="T12" s="16"/>
      <c r="U12" s="16"/>
      <c r="V12" s="16"/>
      <c r="W12" s="632"/>
      <c r="X12" s="633"/>
      <c r="Y12" s="634"/>
      <c r="Z12" s="451"/>
    </row>
    <row r="13" spans="1:26" s="14" customFormat="1" ht="24">
      <c r="A13" s="23" t="s">
        <v>153</v>
      </c>
      <c r="B13" s="530" t="s">
        <v>1855</v>
      </c>
      <c r="C13" s="531"/>
      <c r="D13" s="531"/>
      <c r="E13" s="531"/>
      <c r="F13" s="531"/>
      <c r="G13" s="532"/>
      <c r="H13" s="15">
        <v>10</v>
      </c>
      <c r="I13" s="9" t="s">
        <v>595</v>
      </c>
      <c r="J13" s="9"/>
      <c r="K13" s="16"/>
      <c r="L13" s="16"/>
      <c r="M13" s="16"/>
      <c r="N13" s="16"/>
      <c r="O13" s="16"/>
      <c r="P13" s="263"/>
      <c r="Q13" s="16"/>
      <c r="R13" s="16"/>
      <c r="S13" s="16"/>
      <c r="T13" s="16"/>
      <c r="U13" s="16"/>
      <c r="V13" s="16"/>
      <c r="W13" s="632"/>
      <c r="X13" s="633"/>
      <c r="Y13" s="634"/>
      <c r="Z13" s="451"/>
    </row>
    <row r="14" spans="1:26" s="14" customFormat="1" ht="24.75" thickBot="1">
      <c r="A14" s="23" t="s">
        <v>155</v>
      </c>
      <c r="B14" s="530" t="s">
        <v>1856</v>
      </c>
      <c r="C14" s="531"/>
      <c r="D14" s="531"/>
      <c r="E14" s="531"/>
      <c r="F14" s="531"/>
      <c r="G14" s="532"/>
      <c r="H14" s="15">
        <v>10</v>
      </c>
      <c r="I14" s="9" t="s">
        <v>1850</v>
      </c>
      <c r="J14" s="9"/>
      <c r="K14" s="16"/>
      <c r="L14" s="16"/>
      <c r="M14" s="16"/>
      <c r="N14" s="16"/>
      <c r="O14" s="16"/>
      <c r="P14" s="16"/>
      <c r="Q14" s="263"/>
      <c r="R14" s="16"/>
      <c r="S14" s="16"/>
      <c r="T14" s="16"/>
      <c r="U14" s="16"/>
      <c r="V14" s="16"/>
      <c r="W14" s="597"/>
      <c r="X14" s="597"/>
      <c r="Y14" s="597"/>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3B5B-9057-4E6B-AB04-C7BE6DC91D89}">
  <dimension ref="A1:AB18"/>
  <sheetViews>
    <sheetView rightToLeft="1" zoomScale="85" zoomScaleNormal="85" zoomScaleSheetLayoutView="100" workbookViewId="0">
      <selection activeCell="AB10" sqref="AB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5.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1837</v>
      </c>
      <c r="B3" s="657"/>
      <c r="C3" s="657"/>
      <c r="D3" s="657"/>
      <c r="E3" s="658"/>
      <c r="F3" s="659" t="s">
        <v>178</v>
      </c>
      <c r="G3" s="660"/>
      <c r="H3" s="661" t="s">
        <v>1838</v>
      </c>
      <c r="I3" s="662"/>
      <c r="J3" s="662"/>
      <c r="K3" s="662"/>
      <c r="L3" s="662"/>
      <c r="M3" s="662"/>
      <c r="N3" s="662"/>
      <c r="O3" s="662"/>
      <c r="P3" s="662"/>
      <c r="Q3" s="662"/>
      <c r="R3" s="662"/>
      <c r="S3" s="662"/>
      <c r="T3" s="662"/>
      <c r="U3" s="662"/>
      <c r="V3" s="662"/>
      <c r="W3" s="662"/>
      <c r="X3" s="662"/>
      <c r="Y3" s="663"/>
      <c r="Z3" s="451"/>
    </row>
    <row r="4" spans="1:28" s="3" customFormat="1" ht="28.5">
      <c r="A4" s="667" t="s">
        <v>143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1839</v>
      </c>
      <c r="B5" s="673"/>
      <c r="C5" s="673"/>
      <c r="D5" s="673"/>
      <c r="E5" s="674"/>
      <c r="F5" s="675" t="s">
        <v>56</v>
      </c>
      <c r="G5" s="675"/>
      <c r="H5" s="676" t="s">
        <v>725</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51" t="s">
        <v>1840</v>
      </c>
      <c r="C8" s="551"/>
      <c r="D8" s="551"/>
      <c r="E8" s="551"/>
      <c r="F8" s="551"/>
      <c r="G8" s="551"/>
      <c r="H8" s="15">
        <v>5</v>
      </c>
      <c r="I8" s="9" t="s">
        <v>595</v>
      </c>
      <c r="J8" s="9"/>
      <c r="K8" s="16"/>
      <c r="L8" s="16"/>
      <c r="M8" s="263"/>
      <c r="N8" s="16"/>
      <c r="O8" s="16"/>
      <c r="P8" s="16"/>
      <c r="Q8" s="16"/>
      <c r="R8" s="16"/>
      <c r="S8" s="16"/>
      <c r="T8" s="16"/>
      <c r="U8" s="16"/>
      <c r="V8" s="16"/>
      <c r="W8" s="594"/>
      <c r="X8" s="595"/>
      <c r="Y8" s="596"/>
      <c r="Z8" s="451"/>
      <c r="AB8" s="14">
        <v>5</v>
      </c>
    </row>
    <row r="9" spans="1:28" s="14" customFormat="1" ht="24">
      <c r="A9" s="23" t="s">
        <v>66</v>
      </c>
      <c r="B9" s="551" t="s">
        <v>1841</v>
      </c>
      <c r="C9" s="551"/>
      <c r="D9" s="551"/>
      <c r="E9" s="551"/>
      <c r="F9" s="551"/>
      <c r="G9" s="551"/>
      <c r="H9" s="15">
        <v>80</v>
      </c>
      <c r="I9" s="9" t="s">
        <v>595</v>
      </c>
      <c r="J9" s="9"/>
      <c r="K9" s="16"/>
      <c r="L9" s="16"/>
      <c r="M9" s="263"/>
      <c r="N9" s="263"/>
      <c r="O9" s="16"/>
      <c r="P9" s="16"/>
      <c r="Q9" s="16"/>
      <c r="R9" s="16"/>
      <c r="S9" s="16"/>
      <c r="T9" s="16"/>
      <c r="U9" s="16"/>
      <c r="V9" s="16"/>
      <c r="W9" s="597"/>
      <c r="X9" s="597"/>
      <c r="Y9" s="597"/>
      <c r="Z9" s="451"/>
      <c r="AB9" s="14">
        <v>40</v>
      </c>
    </row>
    <row r="10" spans="1:28" s="14" customFormat="1" ht="24">
      <c r="A10" s="23" t="s">
        <v>68</v>
      </c>
      <c r="B10" s="530" t="s">
        <v>1842</v>
      </c>
      <c r="C10" s="531"/>
      <c r="D10" s="531"/>
      <c r="E10" s="531"/>
      <c r="F10" s="531"/>
      <c r="G10" s="532"/>
      <c r="H10" s="9">
        <v>5</v>
      </c>
      <c r="I10" s="9" t="s">
        <v>595</v>
      </c>
      <c r="J10" s="16"/>
      <c r="K10" s="16"/>
      <c r="L10" s="16"/>
      <c r="M10" s="16"/>
      <c r="N10" s="16"/>
      <c r="O10" s="263"/>
      <c r="P10" s="263"/>
      <c r="Q10" s="16"/>
      <c r="R10" s="16"/>
      <c r="S10" s="16"/>
      <c r="T10" s="16"/>
      <c r="U10" s="16"/>
      <c r="V10" s="311"/>
      <c r="W10" s="594"/>
      <c r="X10" s="595"/>
      <c r="Y10" s="596"/>
      <c r="Z10" s="451"/>
    </row>
    <row r="11" spans="1:28" s="14" customFormat="1" ht="24">
      <c r="A11" s="23" t="s">
        <v>70</v>
      </c>
      <c r="B11" s="530" t="s">
        <v>1843</v>
      </c>
      <c r="C11" s="531"/>
      <c r="D11" s="531"/>
      <c r="E11" s="531"/>
      <c r="F11" s="531"/>
      <c r="G11" s="532"/>
      <c r="H11" s="9">
        <v>5</v>
      </c>
      <c r="I11" s="9" t="s">
        <v>595</v>
      </c>
      <c r="J11" s="16"/>
      <c r="K11" s="16"/>
      <c r="L11" s="16"/>
      <c r="M11" s="16"/>
      <c r="N11" s="16"/>
      <c r="O11" s="16"/>
      <c r="P11" s="263"/>
      <c r="Q11" s="16"/>
      <c r="R11" s="16"/>
      <c r="S11" s="16"/>
      <c r="T11" s="16"/>
      <c r="U11" s="16"/>
      <c r="V11" s="311"/>
      <c r="W11" s="594"/>
      <c r="X11" s="595"/>
      <c r="Y11" s="596"/>
      <c r="Z11" s="451"/>
    </row>
    <row r="12" spans="1:28" s="14" customFormat="1" ht="24.75" thickBot="1">
      <c r="A12" s="23" t="s">
        <v>153</v>
      </c>
      <c r="B12" s="749" t="s">
        <v>1844</v>
      </c>
      <c r="C12" s="750"/>
      <c r="D12" s="750"/>
      <c r="E12" s="750"/>
      <c r="F12" s="750"/>
      <c r="G12" s="751"/>
      <c r="H12" s="9">
        <v>5</v>
      </c>
      <c r="I12" s="9" t="s">
        <v>595</v>
      </c>
      <c r="J12" s="16"/>
      <c r="K12" s="16"/>
      <c r="L12" s="16"/>
      <c r="M12" s="16"/>
      <c r="N12" s="16"/>
      <c r="O12" s="16"/>
      <c r="P12" s="263"/>
      <c r="Q12" s="16"/>
      <c r="R12" s="16"/>
      <c r="S12" s="16"/>
      <c r="T12" s="16"/>
      <c r="U12" s="16"/>
      <c r="V12" s="311"/>
      <c r="W12" s="640"/>
      <c r="X12" s="641"/>
      <c r="Y12" s="642"/>
      <c r="Z12" s="451"/>
    </row>
    <row r="13" spans="1:28" ht="30" thickTop="1" thickBot="1">
      <c r="A13" s="519" t="s">
        <v>72</v>
      </c>
      <c r="B13" s="520"/>
      <c r="C13" s="520"/>
      <c r="D13" s="521"/>
      <c r="E13" s="527" t="s">
        <v>73</v>
      </c>
      <c r="F13" s="528"/>
      <c r="G13" s="528"/>
      <c r="H13" s="528"/>
      <c r="I13" s="528"/>
      <c r="J13" s="527" t="s">
        <v>74</v>
      </c>
      <c r="K13" s="528"/>
      <c r="L13" s="528"/>
      <c r="M13" s="529"/>
      <c r="N13" s="543" t="s">
        <v>75</v>
      </c>
      <c r="O13" s="544"/>
      <c r="P13" s="544"/>
      <c r="Q13" s="544"/>
      <c r="R13" s="544"/>
      <c r="S13" s="544"/>
      <c r="T13" s="544"/>
      <c r="U13" s="544"/>
      <c r="V13" s="545"/>
      <c r="W13" s="543" t="s">
        <v>76</v>
      </c>
      <c r="X13" s="544"/>
      <c r="Y13" s="545"/>
      <c r="Z13" s="451"/>
    </row>
    <row r="14" spans="1:28" s="20" customFormat="1" ht="29.25" thickTop="1">
      <c r="A14" s="522"/>
      <c r="B14" s="498"/>
      <c r="C14" s="498"/>
      <c r="D14" s="523"/>
      <c r="E14" s="533"/>
      <c r="F14" s="534"/>
      <c r="G14" s="533"/>
      <c r="H14" s="539"/>
      <c r="I14" s="534"/>
      <c r="J14" s="541" t="s">
        <v>47</v>
      </c>
      <c r="K14" s="539"/>
      <c r="L14" s="539"/>
      <c r="M14" s="534"/>
      <c r="N14" s="546"/>
      <c r="O14" s="481"/>
      <c r="P14" s="481"/>
      <c r="Q14" s="481"/>
      <c r="R14" s="481"/>
      <c r="S14" s="481"/>
      <c r="T14" s="481"/>
      <c r="U14" s="481"/>
      <c r="V14" s="547"/>
      <c r="W14" s="546"/>
      <c r="X14" s="481"/>
      <c r="Y14" s="547"/>
    </row>
    <row r="15" spans="1:28" s="20" customFormat="1" ht="29.25" thickBot="1">
      <c r="A15" s="522"/>
      <c r="B15" s="498"/>
      <c r="C15" s="498"/>
      <c r="D15" s="523"/>
      <c r="E15" s="535"/>
      <c r="F15" s="536"/>
      <c r="G15" s="535"/>
      <c r="H15" s="507"/>
      <c r="I15" s="536"/>
      <c r="J15" s="542"/>
      <c r="K15" s="540"/>
      <c r="L15" s="540"/>
      <c r="M15" s="538"/>
      <c r="N15" s="546"/>
      <c r="O15" s="481"/>
      <c r="P15" s="481"/>
      <c r="Q15" s="481"/>
      <c r="R15" s="481"/>
      <c r="S15" s="481"/>
      <c r="T15" s="481"/>
      <c r="U15" s="481"/>
      <c r="V15" s="547"/>
      <c r="W15" s="546"/>
      <c r="X15" s="481"/>
      <c r="Y15" s="547"/>
    </row>
    <row r="16" spans="1:28" s="20" customFormat="1" ht="29.25" thickTop="1">
      <c r="A16" s="522"/>
      <c r="B16" s="498"/>
      <c r="C16" s="498"/>
      <c r="D16" s="523"/>
      <c r="E16" s="535"/>
      <c r="F16" s="536"/>
      <c r="G16" s="535"/>
      <c r="H16" s="507"/>
      <c r="I16" s="536"/>
      <c r="J16" s="541" t="s">
        <v>48</v>
      </c>
      <c r="K16" s="539"/>
      <c r="L16" s="539"/>
      <c r="M16" s="534"/>
      <c r="N16" s="546"/>
      <c r="O16" s="481"/>
      <c r="P16" s="481"/>
      <c r="Q16" s="481"/>
      <c r="R16" s="481"/>
      <c r="S16" s="481"/>
      <c r="T16" s="481"/>
      <c r="U16" s="481"/>
      <c r="V16" s="547"/>
      <c r="W16" s="546"/>
      <c r="X16" s="481"/>
      <c r="Y16" s="547"/>
    </row>
    <row r="17" spans="1:25" s="20" customFormat="1" ht="29.25" thickBot="1">
      <c r="A17" s="524"/>
      <c r="B17" s="525"/>
      <c r="C17" s="525"/>
      <c r="D17" s="526"/>
      <c r="E17" s="537"/>
      <c r="F17" s="538"/>
      <c r="G17" s="537"/>
      <c r="H17" s="540"/>
      <c r="I17" s="538"/>
      <c r="J17" s="542"/>
      <c r="K17" s="540"/>
      <c r="L17" s="540"/>
      <c r="M17" s="538"/>
      <c r="N17" s="548"/>
      <c r="O17" s="549"/>
      <c r="P17" s="549"/>
      <c r="Q17" s="549"/>
      <c r="R17" s="549"/>
      <c r="S17" s="549"/>
      <c r="T17" s="549"/>
      <c r="U17" s="549"/>
      <c r="V17" s="550"/>
      <c r="W17" s="548"/>
      <c r="X17" s="549"/>
      <c r="Y17" s="550"/>
    </row>
    <row r="18" spans="1:25" ht="18.75" thickTop="1"/>
  </sheetData>
  <mergeCells count="39">
    <mergeCell ref="A1:Y1"/>
    <mergeCell ref="Z1:Z13"/>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A13:D17"/>
    <mergeCell ref="E13:I13"/>
    <mergeCell ref="J13:M13"/>
    <mergeCell ref="N13:V17"/>
    <mergeCell ref="W13:Y17"/>
    <mergeCell ref="E14:F17"/>
    <mergeCell ref="G14:I17"/>
    <mergeCell ref="J14:J15"/>
    <mergeCell ref="K14:M15"/>
    <mergeCell ref="J16:J17"/>
    <mergeCell ref="K16:M17"/>
  </mergeCells>
  <printOptions horizontalCentered="1" verticalCentered="1"/>
  <pageMargins left="0" right="0" top="0" bottom="0" header="0" footer="0"/>
  <pageSetup scale="45"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746F8-E464-4A9D-AC15-991048432C42}">
  <dimension ref="A1:Z20"/>
  <sheetViews>
    <sheetView rightToLeft="1" topLeftCell="C2" zoomScale="90" zoomScaleNormal="90" zoomScaleSheetLayoutView="100" workbookViewId="0">
      <selection activeCell="AB8" sqref="AB8:AB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1031</v>
      </c>
      <c r="B3" s="657"/>
      <c r="C3" s="657"/>
      <c r="D3" s="657"/>
      <c r="E3" s="658"/>
      <c r="F3" s="659" t="s">
        <v>178</v>
      </c>
      <c r="G3" s="660"/>
      <c r="H3" s="661" t="s">
        <v>1032</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1033</v>
      </c>
      <c r="B5" s="673"/>
      <c r="C5" s="673"/>
      <c r="D5" s="673"/>
      <c r="E5" s="674"/>
      <c r="F5" s="675" t="s">
        <v>56</v>
      </c>
      <c r="G5" s="675"/>
      <c r="H5" s="676" t="s">
        <v>999</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1034</v>
      </c>
      <c r="C8" s="551"/>
      <c r="D8" s="551"/>
      <c r="E8" s="551"/>
      <c r="F8" s="551"/>
      <c r="G8" s="551"/>
      <c r="H8" s="15">
        <v>5</v>
      </c>
      <c r="I8" s="9" t="s">
        <v>595</v>
      </c>
      <c r="J8" s="9"/>
      <c r="K8" s="16"/>
      <c r="L8" s="16"/>
      <c r="M8" s="16"/>
      <c r="N8" s="263"/>
      <c r="O8" s="263"/>
      <c r="P8" s="263"/>
      <c r="Q8" s="16"/>
      <c r="R8" s="16"/>
      <c r="S8" s="16"/>
      <c r="T8" s="16"/>
      <c r="U8" s="16"/>
      <c r="V8" s="16"/>
      <c r="W8" s="594"/>
      <c r="X8" s="595"/>
      <c r="Y8" s="596"/>
      <c r="Z8" s="451"/>
    </row>
    <row r="9" spans="1:26" s="14" customFormat="1" ht="24">
      <c r="A9" s="23" t="s">
        <v>66</v>
      </c>
      <c r="B9" s="551" t="s">
        <v>1035</v>
      </c>
      <c r="C9" s="551"/>
      <c r="D9" s="551"/>
      <c r="E9" s="551"/>
      <c r="F9" s="551"/>
      <c r="G9" s="551"/>
      <c r="H9" s="15">
        <v>5</v>
      </c>
      <c r="I9" s="9" t="s">
        <v>595</v>
      </c>
      <c r="J9" s="9"/>
      <c r="K9" s="16"/>
      <c r="L9" s="16"/>
      <c r="M9" s="16"/>
      <c r="N9" s="263"/>
      <c r="O9" s="263"/>
      <c r="P9" s="263"/>
      <c r="Q9" s="16"/>
      <c r="R9" s="16"/>
      <c r="S9" s="16"/>
      <c r="T9" s="16"/>
      <c r="U9" s="16"/>
      <c r="V9" s="16"/>
      <c r="W9" s="597"/>
      <c r="X9" s="597"/>
      <c r="Y9" s="597"/>
      <c r="Z9" s="451"/>
    </row>
    <row r="10" spans="1:26" s="14" customFormat="1" ht="24">
      <c r="A10" s="23" t="s">
        <v>68</v>
      </c>
      <c r="B10" s="551" t="s">
        <v>1036</v>
      </c>
      <c r="C10" s="551"/>
      <c r="D10" s="551"/>
      <c r="E10" s="551"/>
      <c r="F10" s="551"/>
      <c r="G10" s="551"/>
      <c r="H10" s="15">
        <v>40</v>
      </c>
      <c r="I10" s="9" t="s">
        <v>595</v>
      </c>
      <c r="J10" s="9"/>
      <c r="K10" s="16"/>
      <c r="L10" s="16"/>
      <c r="M10" s="16"/>
      <c r="N10" s="263"/>
      <c r="O10" s="263"/>
      <c r="P10" s="263"/>
      <c r="Q10" s="263"/>
      <c r="R10" s="263"/>
      <c r="S10" s="263"/>
      <c r="T10" s="263"/>
      <c r="U10" s="263"/>
      <c r="V10" s="263"/>
      <c r="W10" s="518"/>
      <c r="X10" s="518"/>
      <c r="Y10" s="518"/>
      <c r="Z10" s="451"/>
    </row>
    <row r="11" spans="1:26" s="14" customFormat="1" ht="24">
      <c r="A11" s="23" t="s">
        <v>70</v>
      </c>
      <c r="B11" s="551" t="s">
        <v>1037</v>
      </c>
      <c r="C11" s="551"/>
      <c r="D11" s="551"/>
      <c r="E11" s="551"/>
      <c r="F11" s="551"/>
      <c r="G11" s="551"/>
      <c r="H11" s="15">
        <v>50</v>
      </c>
      <c r="I11" s="9" t="s">
        <v>595</v>
      </c>
      <c r="J11" s="9"/>
      <c r="K11" s="16"/>
      <c r="L11" s="16"/>
      <c r="M11" s="16"/>
      <c r="N11" s="263"/>
      <c r="O11" s="263"/>
      <c r="P11" s="263"/>
      <c r="Q11" s="263"/>
      <c r="R11" s="263"/>
      <c r="S11" s="263"/>
      <c r="T11" s="263"/>
      <c r="U11" s="263"/>
      <c r="V11" s="263"/>
      <c r="W11" s="518"/>
      <c r="X11" s="518"/>
      <c r="Y11" s="518"/>
      <c r="Z11" s="451"/>
    </row>
    <row r="12" spans="1:26"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368A-C8D3-4BE5-A021-F94B69EA93F0}">
  <dimension ref="A1:AB17"/>
  <sheetViews>
    <sheetView rightToLeft="1" zoomScale="85" zoomScaleNormal="85" zoomScaleSheetLayoutView="100" workbookViewId="0">
      <selection activeCell="AB10" sqref="AB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1023</v>
      </c>
      <c r="B3" s="657"/>
      <c r="C3" s="657"/>
      <c r="D3" s="657"/>
      <c r="E3" s="658"/>
      <c r="F3" s="659" t="s">
        <v>178</v>
      </c>
      <c r="G3" s="660"/>
      <c r="H3" s="661" t="s">
        <v>1024</v>
      </c>
      <c r="I3" s="662"/>
      <c r="J3" s="662"/>
      <c r="K3" s="662"/>
      <c r="L3" s="662"/>
      <c r="M3" s="662"/>
      <c r="N3" s="662"/>
      <c r="O3" s="662"/>
      <c r="P3" s="662"/>
      <c r="Q3" s="662"/>
      <c r="R3" s="662"/>
      <c r="S3" s="662"/>
      <c r="T3" s="662"/>
      <c r="U3" s="662"/>
      <c r="V3" s="662"/>
      <c r="W3" s="662"/>
      <c r="X3" s="662"/>
      <c r="Y3" s="663"/>
      <c r="Z3" s="451"/>
    </row>
    <row r="4" spans="1:28" s="3" customFormat="1" ht="28.5">
      <c r="A4" s="667" t="s">
        <v>143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1025</v>
      </c>
      <c r="B5" s="673"/>
      <c r="C5" s="673"/>
      <c r="D5" s="673"/>
      <c r="E5" s="674"/>
      <c r="F5" s="675" t="s">
        <v>56</v>
      </c>
      <c r="G5" s="675"/>
      <c r="H5" s="676" t="s">
        <v>999</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51" t="s">
        <v>1026</v>
      </c>
      <c r="C8" s="551"/>
      <c r="D8" s="551"/>
      <c r="E8" s="551"/>
      <c r="F8" s="551"/>
      <c r="G8" s="551"/>
      <c r="H8" s="15">
        <v>5</v>
      </c>
      <c r="I8" s="9" t="s">
        <v>1027</v>
      </c>
      <c r="J8" s="9"/>
      <c r="K8" s="263"/>
      <c r="L8" s="263"/>
      <c r="M8" s="263"/>
      <c r="N8" s="16"/>
      <c r="O8" s="16"/>
      <c r="P8" s="16"/>
      <c r="Q8" s="16"/>
      <c r="R8" s="16"/>
      <c r="S8" s="16"/>
      <c r="T8" s="16"/>
      <c r="U8" s="16"/>
      <c r="V8" s="16"/>
      <c r="W8" s="594"/>
      <c r="X8" s="595"/>
      <c r="Y8" s="596"/>
      <c r="Z8" s="451"/>
      <c r="AB8" s="14">
        <v>5</v>
      </c>
    </row>
    <row r="9" spans="1:28" s="14" customFormat="1" ht="24">
      <c r="A9" s="23" t="s">
        <v>66</v>
      </c>
      <c r="B9" s="551" t="s">
        <v>1028</v>
      </c>
      <c r="C9" s="551"/>
      <c r="D9" s="551"/>
      <c r="E9" s="551"/>
      <c r="F9" s="551"/>
      <c r="G9" s="551"/>
      <c r="H9" s="15">
        <v>5</v>
      </c>
      <c r="I9" s="9" t="s">
        <v>595</v>
      </c>
      <c r="J9" s="9"/>
      <c r="K9" s="263"/>
      <c r="L9" s="263"/>
      <c r="M9" s="263"/>
      <c r="N9" s="263"/>
      <c r="O9" s="263"/>
      <c r="P9" s="263"/>
      <c r="Q9" s="263"/>
      <c r="R9" s="263"/>
      <c r="S9" s="263"/>
      <c r="T9" s="263"/>
      <c r="U9" s="263"/>
      <c r="V9" s="263"/>
      <c r="W9" s="597"/>
      <c r="X9" s="597"/>
      <c r="Y9" s="597"/>
      <c r="Z9" s="451"/>
      <c r="AB9" s="14">
        <f>(5/12)*3</f>
        <v>1.25</v>
      </c>
    </row>
    <row r="10" spans="1:28" s="14" customFormat="1" ht="24">
      <c r="A10" s="23" t="s">
        <v>68</v>
      </c>
      <c r="B10" s="551" t="s">
        <v>1029</v>
      </c>
      <c r="C10" s="551"/>
      <c r="D10" s="551"/>
      <c r="E10" s="551"/>
      <c r="F10" s="551"/>
      <c r="G10" s="551"/>
      <c r="H10" s="15">
        <v>60</v>
      </c>
      <c r="I10" s="9" t="s">
        <v>595</v>
      </c>
      <c r="J10" s="9"/>
      <c r="K10" s="263"/>
      <c r="L10" s="263"/>
      <c r="M10" s="263"/>
      <c r="N10" s="263"/>
      <c r="O10" s="263"/>
      <c r="P10" s="263"/>
      <c r="Q10" s="263"/>
      <c r="R10" s="263"/>
      <c r="S10" s="263"/>
      <c r="T10" s="263"/>
      <c r="U10" s="263"/>
      <c r="V10" s="263"/>
      <c r="W10" s="518"/>
      <c r="X10" s="518"/>
      <c r="Y10" s="518"/>
      <c r="Z10" s="451"/>
      <c r="AB10" s="14">
        <f>(60/12)*3</f>
        <v>15</v>
      </c>
    </row>
    <row r="11" spans="1:28" s="14" customFormat="1" ht="24.75" thickBot="1">
      <c r="A11" s="23" t="s">
        <v>70</v>
      </c>
      <c r="B11" s="551" t="s">
        <v>1030</v>
      </c>
      <c r="C11" s="551"/>
      <c r="D11" s="551"/>
      <c r="E11" s="551"/>
      <c r="F11" s="551"/>
      <c r="G11" s="551"/>
      <c r="H11" s="15">
        <v>30</v>
      </c>
      <c r="I11" s="9" t="s">
        <v>595</v>
      </c>
      <c r="J11" s="9"/>
      <c r="K11" s="263"/>
      <c r="L11" s="263"/>
      <c r="M11" s="263"/>
      <c r="N11" s="263"/>
      <c r="O11" s="263"/>
      <c r="P11" s="263"/>
      <c r="Q11" s="263"/>
      <c r="R11" s="263"/>
      <c r="S11" s="263"/>
      <c r="T11" s="263"/>
      <c r="U11" s="263"/>
      <c r="V11" s="263"/>
      <c r="W11" s="518"/>
      <c r="X11" s="518"/>
      <c r="Y11" s="518"/>
      <c r="Z11" s="451"/>
      <c r="AB11" s="14">
        <f>(30/12)*3</f>
        <v>7.5</v>
      </c>
    </row>
    <row r="12" spans="1:28" ht="30" thickTop="1" thickBot="1">
      <c r="A12" s="519" t="s">
        <v>72</v>
      </c>
      <c r="B12" s="520"/>
      <c r="C12" s="520"/>
      <c r="D12" s="521"/>
      <c r="E12" s="527" t="s">
        <v>73</v>
      </c>
      <c r="F12" s="528"/>
      <c r="G12" s="528"/>
      <c r="H12" s="528"/>
      <c r="I12" s="528"/>
      <c r="J12" s="527" t="s">
        <v>74</v>
      </c>
      <c r="K12" s="528"/>
      <c r="L12" s="528"/>
      <c r="M12" s="529"/>
      <c r="N12" s="543" t="s">
        <v>75</v>
      </c>
      <c r="O12" s="544"/>
      <c r="P12" s="544"/>
      <c r="Q12" s="544"/>
      <c r="R12" s="544"/>
      <c r="S12" s="544"/>
      <c r="T12" s="544"/>
      <c r="U12" s="544"/>
      <c r="V12" s="545"/>
      <c r="W12" s="543" t="s">
        <v>76</v>
      </c>
      <c r="X12" s="544"/>
      <c r="Y12" s="545"/>
      <c r="Z12" s="451"/>
    </row>
    <row r="13" spans="1:28" s="20" customFormat="1" ht="29.25" thickTop="1">
      <c r="A13" s="522"/>
      <c r="B13" s="498"/>
      <c r="C13" s="498"/>
      <c r="D13" s="523"/>
      <c r="E13" s="533"/>
      <c r="F13" s="534"/>
      <c r="G13" s="533"/>
      <c r="H13" s="539"/>
      <c r="I13" s="534"/>
      <c r="J13" s="541" t="s">
        <v>47</v>
      </c>
      <c r="K13" s="539"/>
      <c r="L13" s="539"/>
      <c r="M13" s="534"/>
      <c r="N13" s="546"/>
      <c r="O13" s="481"/>
      <c r="P13" s="481"/>
      <c r="Q13" s="481"/>
      <c r="R13" s="481"/>
      <c r="S13" s="481"/>
      <c r="T13" s="481"/>
      <c r="U13" s="481"/>
      <c r="V13" s="547"/>
      <c r="W13" s="546"/>
      <c r="X13" s="481"/>
      <c r="Y13" s="547"/>
    </row>
    <row r="14" spans="1:28" s="20" customFormat="1" ht="29.25" thickBot="1">
      <c r="A14" s="522"/>
      <c r="B14" s="498"/>
      <c r="C14" s="498"/>
      <c r="D14" s="523"/>
      <c r="E14" s="535"/>
      <c r="F14" s="536"/>
      <c r="G14" s="535"/>
      <c r="H14" s="507"/>
      <c r="I14" s="536"/>
      <c r="J14" s="542"/>
      <c r="K14" s="540"/>
      <c r="L14" s="540"/>
      <c r="M14" s="538"/>
      <c r="N14" s="546"/>
      <c r="O14" s="481"/>
      <c r="P14" s="481"/>
      <c r="Q14" s="481"/>
      <c r="R14" s="481"/>
      <c r="S14" s="481"/>
      <c r="T14" s="481"/>
      <c r="U14" s="481"/>
      <c r="V14" s="547"/>
      <c r="W14" s="546"/>
      <c r="X14" s="481"/>
      <c r="Y14" s="547"/>
    </row>
    <row r="15" spans="1:28" s="20" customFormat="1" ht="29.25" thickTop="1">
      <c r="A15" s="522"/>
      <c r="B15" s="498"/>
      <c r="C15" s="498"/>
      <c r="D15" s="523"/>
      <c r="E15" s="535"/>
      <c r="F15" s="536"/>
      <c r="G15" s="535"/>
      <c r="H15" s="507"/>
      <c r="I15" s="536"/>
      <c r="J15" s="541" t="s">
        <v>48</v>
      </c>
      <c r="K15" s="539"/>
      <c r="L15" s="539"/>
      <c r="M15" s="534"/>
      <c r="N15" s="546"/>
      <c r="O15" s="481"/>
      <c r="P15" s="481"/>
      <c r="Q15" s="481"/>
      <c r="R15" s="481"/>
      <c r="S15" s="481"/>
      <c r="T15" s="481"/>
      <c r="U15" s="481"/>
      <c r="V15" s="547"/>
      <c r="W15" s="546"/>
      <c r="X15" s="481"/>
      <c r="Y15" s="547"/>
    </row>
    <row r="16" spans="1:28" s="20" customFormat="1" ht="29.25" thickBot="1">
      <c r="A16" s="524"/>
      <c r="B16" s="525"/>
      <c r="C16" s="525"/>
      <c r="D16" s="526"/>
      <c r="E16" s="537"/>
      <c r="F16" s="538"/>
      <c r="G16" s="537"/>
      <c r="H16" s="540"/>
      <c r="I16" s="538"/>
      <c r="J16" s="542"/>
      <c r="K16" s="540"/>
      <c r="L16" s="540"/>
      <c r="M16" s="538"/>
      <c r="N16" s="548"/>
      <c r="O16" s="549"/>
      <c r="P16" s="549"/>
      <c r="Q16" s="549"/>
      <c r="R16" s="549"/>
      <c r="S16" s="549"/>
      <c r="T16" s="549"/>
      <c r="U16" s="549"/>
      <c r="V16" s="550"/>
      <c r="W16" s="548"/>
      <c r="X16" s="549"/>
      <c r="Y16" s="550"/>
    </row>
    <row r="17" ht="18.75" thickTop="1"/>
  </sheetData>
  <mergeCells count="37">
    <mergeCell ref="A1:Y1"/>
    <mergeCell ref="Z1:Z12"/>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K13:M14"/>
    <mergeCell ref="J15:J16"/>
    <mergeCell ref="K15:M16"/>
    <mergeCell ref="B11:G11"/>
    <mergeCell ref="W11:Y11"/>
    <mergeCell ref="A12:D16"/>
    <mergeCell ref="E12:I12"/>
    <mergeCell ref="J12:M12"/>
    <mergeCell ref="N12:V16"/>
    <mergeCell ref="W12:Y16"/>
    <mergeCell ref="E13:F16"/>
    <mergeCell ref="G13:I16"/>
    <mergeCell ref="J13:J14"/>
  </mergeCells>
  <printOptions horizontalCentered="1" verticalCentered="1"/>
  <pageMargins left="0" right="0" top="0" bottom="0" header="0" footer="0"/>
  <pageSetup scale="45"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663A1-91BA-42BE-A932-4966624C2C0F}">
  <dimension ref="A1:AB19"/>
  <sheetViews>
    <sheetView rightToLeft="1" zoomScale="85" zoomScaleNormal="85" zoomScaleSheetLayoutView="90" workbookViewId="0">
      <selection activeCell="AB14" sqref="AB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1012</v>
      </c>
      <c r="B3" s="657"/>
      <c r="C3" s="657"/>
      <c r="D3" s="657"/>
      <c r="E3" s="658"/>
      <c r="F3" s="659" t="s">
        <v>178</v>
      </c>
      <c r="G3" s="660"/>
      <c r="H3" s="661" t="s">
        <v>1013</v>
      </c>
      <c r="I3" s="662"/>
      <c r="J3" s="662"/>
      <c r="K3" s="662"/>
      <c r="L3" s="662"/>
      <c r="M3" s="662"/>
      <c r="N3" s="662"/>
      <c r="O3" s="662"/>
      <c r="P3" s="662"/>
      <c r="Q3" s="662"/>
      <c r="R3" s="662"/>
      <c r="S3" s="662"/>
      <c r="T3" s="662"/>
      <c r="U3" s="662"/>
      <c r="V3" s="662"/>
      <c r="W3" s="662"/>
      <c r="X3" s="662"/>
      <c r="Y3" s="663"/>
      <c r="Z3" s="451"/>
    </row>
    <row r="4" spans="1:28" s="3" customFormat="1" ht="28.5">
      <c r="A4" s="667" t="s">
        <v>143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1014</v>
      </c>
      <c r="B5" s="673"/>
      <c r="C5" s="673"/>
      <c r="D5" s="673"/>
      <c r="E5" s="674"/>
      <c r="F5" s="675" t="s">
        <v>998</v>
      </c>
      <c r="G5" s="675"/>
      <c r="H5" s="676" t="s">
        <v>1015</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51" t="s">
        <v>1016</v>
      </c>
      <c r="C8" s="551"/>
      <c r="D8" s="551"/>
      <c r="E8" s="551"/>
      <c r="F8" s="551"/>
      <c r="G8" s="551"/>
      <c r="H8" s="15">
        <v>10</v>
      </c>
      <c r="I8" s="9" t="s">
        <v>595</v>
      </c>
      <c r="J8" s="9"/>
      <c r="K8" s="263"/>
      <c r="L8" s="263"/>
      <c r="M8" s="263"/>
      <c r="N8" s="263"/>
      <c r="O8" s="16"/>
      <c r="P8" s="16"/>
      <c r="Q8" s="16"/>
      <c r="R8" s="16"/>
      <c r="S8" s="16"/>
      <c r="T8" s="16"/>
      <c r="U8" s="16"/>
      <c r="V8" s="16"/>
      <c r="W8" s="594"/>
      <c r="X8" s="595"/>
      <c r="Y8" s="596"/>
      <c r="Z8" s="451"/>
      <c r="AB8" s="14">
        <f>(H8/4)*3</f>
        <v>7.5</v>
      </c>
    </row>
    <row r="9" spans="1:28" s="14" customFormat="1" ht="24">
      <c r="A9" s="23" t="s">
        <v>66</v>
      </c>
      <c r="B9" s="551" t="s">
        <v>1017</v>
      </c>
      <c r="C9" s="551"/>
      <c r="D9" s="551"/>
      <c r="E9" s="551"/>
      <c r="F9" s="551"/>
      <c r="G9" s="551"/>
      <c r="H9" s="15">
        <v>10</v>
      </c>
      <c r="I9" s="9" t="s">
        <v>595</v>
      </c>
      <c r="J9" s="9"/>
      <c r="K9" s="263"/>
      <c r="L9" s="263"/>
      <c r="M9" s="263"/>
      <c r="N9" s="263"/>
      <c r="O9" s="16"/>
      <c r="P9" s="16"/>
      <c r="Q9" s="16"/>
      <c r="R9" s="16"/>
      <c r="S9" s="16"/>
      <c r="T9" s="16"/>
      <c r="U9" s="16"/>
      <c r="V9" s="16"/>
      <c r="W9" s="597"/>
      <c r="X9" s="597"/>
      <c r="Y9" s="597"/>
      <c r="Z9" s="451"/>
      <c r="AB9" s="14">
        <f t="shared" ref="AB9:AB11" si="0">(H9/4)*3</f>
        <v>7.5</v>
      </c>
    </row>
    <row r="10" spans="1:28" s="14" customFormat="1" ht="24">
      <c r="A10" s="23" t="s">
        <v>68</v>
      </c>
      <c r="B10" s="551" t="s">
        <v>1018</v>
      </c>
      <c r="C10" s="551"/>
      <c r="D10" s="551"/>
      <c r="E10" s="551"/>
      <c r="F10" s="551"/>
      <c r="G10" s="551"/>
      <c r="H10" s="15">
        <v>10</v>
      </c>
      <c r="I10" s="9" t="s">
        <v>1019</v>
      </c>
      <c r="J10" s="9"/>
      <c r="K10" s="263"/>
      <c r="L10" s="263"/>
      <c r="M10" s="263"/>
      <c r="N10" s="263"/>
      <c r="O10" s="16"/>
      <c r="P10" s="16"/>
      <c r="Q10" s="16"/>
      <c r="R10" s="16"/>
      <c r="S10" s="16"/>
      <c r="T10" s="16"/>
      <c r="U10" s="16"/>
      <c r="V10" s="16"/>
      <c r="W10" s="518"/>
      <c r="X10" s="518"/>
      <c r="Y10" s="518"/>
      <c r="Z10" s="451"/>
      <c r="AB10" s="14">
        <f t="shared" si="0"/>
        <v>7.5</v>
      </c>
    </row>
    <row r="11" spans="1:28" s="14" customFormat="1" ht="24">
      <c r="A11" s="23" t="s">
        <v>70</v>
      </c>
      <c r="B11" s="551" t="s">
        <v>1020</v>
      </c>
      <c r="C11" s="551"/>
      <c r="D11" s="551"/>
      <c r="E11" s="551"/>
      <c r="F11" s="551"/>
      <c r="G11" s="551"/>
      <c r="H11" s="15">
        <v>10</v>
      </c>
      <c r="I11" s="9" t="s">
        <v>1019</v>
      </c>
      <c r="J11" s="9"/>
      <c r="K11" s="263"/>
      <c r="L11" s="263"/>
      <c r="M11" s="263"/>
      <c r="N11" s="263"/>
      <c r="O11" s="16"/>
      <c r="P11" s="16"/>
      <c r="Q11" s="16"/>
      <c r="R11" s="16"/>
      <c r="S11" s="16"/>
      <c r="T11" s="16"/>
      <c r="U11" s="16"/>
      <c r="V11" s="16"/>
      <c r="W11" s="518"/>
      <c r="X11" s="518"/>
      <c r="Y11" s="518"/>
      <c r="Z11" s="451"/>
      <c r="AB11" s="14">
        <f t="shared" si="0"/>
        <v>7.5</v>
      </c>
    </row>
    <row r="12" spans="1:28" s="14" customFormat="1" ht="24">
      <c r="A12" s="23" t="s">
        <v>153</v>
      </c>
      <c r="B12" s="551" t="s">
        <v>1021</v>
      </c>
      <c r="C12" s="551"/>
      <c r="D12" s="551"/>
      <c r="E12" s="551"/>
      <c r="F12" s="551"/>
      <c r="G12" s="551"/>
      <c r="H12" s="15">
        <v>10</v>
      </c>
      <c r="I12" s="9" t="s">
        <v>1019</v>
      </c>
      <c r="J12" s="9"/>
      <c r="K12" s="263"/>
      <c r="L12" s="263"/>
      <c r="M12" s="263"/>
      <c r="N12" s="263"/>
      <c r="O12" s="263"/>
      <c r="P12" s="263"/>
      <c r="Q12" s="16"/>
      <c r="R12" s="16"/>
      <c r="S12" s="16"/>
      <c r="T12" s="16"/>
      <c r="U12" s="16"/>
      <c r="V12" s="16"/>
      <c r="W12" s="597"/>
      <c r="X12" s="597"/>
      <c r="Y12" s="597"/>
      <c r="Z12" s="451"/>
      <c r="AB12" s="14">
        <f>(H12/6)*3</f>
        <v>5</v>
      </c>
    </row>
    <row r="13" spans="1:28" s="14" customFormat="1" ht="24.75" thickBot="1">
      <c r="A13" s="23" t="s">
        <v>155</v>
      </c>
      <c r="B13" s="530" t="s">
        <v>1022</v>
      </c>
      <c r="C13" s="531"/>
      <c r="D13" s="531"/>
      <c r="E13" s="531"/>
      <c r="F13" s="531"/>
      <c r="G13" s="532"/>
      <c r="H13" s="15">
        <v>50</v>
      </c>
      <c r="I13" s="9" t="s">
        <v>1019</v>
      </c>
      <c r="J13" s="9"/>
      <c r="K13" s="263"/>
      <c r="L13" s="263"/>
      <c r="M13" s="263"/>
      <c r="N13" s="263"/>
      <c r="O13" s="263"/>
      <c r="P13" s="263"/>
      <c r="Q13" s="16"/>
      <c r="R13" s="16"/>
      <c r="S13" s="16"/>
      <c r="T13" s="16"/>
      <c r="U13" s="16"/>
      <c r="V13" s="16"/>
      <c r="W13" s="518"/>
      <c r="X13" s="518"/>
      <c r="Y13" s="518"/>
      <c r="Z13" s="451"/>
      <c r="AB13" s="14">
        <f>(H13/6)*3</f>
        <v>25</v>
      </c>
    </row>
    <row r="14" spans="1:28" ht="30" thickTop="1" thickBot="1">
      <c r="A14" s="519" t="s">
        <v>72</v>
      </c>
      <c r="B14" s="520"/>
      <c r="C14" s="520"/>
      <c r="D14" s="521"/>
      <c r="E14" s="527" t="s">
        <v>73</v>
      </c>
      <c r="F14" s="528"/>
      <c r="G14" s="528"/>
      <c r="H14" s="528"/>
      <c r="I14" s="528"/>
      <c r="J14" s="527" t="s">
        <v>74</v>
      </c>
      <c r="K14" s="528"/>
      <c r="L14" s="528"/>
      <c r="M14" s="529"/>
      <c r="N14" s="543" t="s">
        <v>75</v>
      </c>
      <c r="O14" s="544"/>
      <c r="P14" s="544"/>
      <c r="Q14" s="544"/>
      <c r="R14" s="544"/>
      <c r="S14" s="544"/>
      <c r="T14" s="544"/>
      <c r="U14" s="544"/>
      <c r="V14" s="545"/>
      <c r="W14" s="543" t="s">
        <v>76</v>
      </c>
      <c r="X14" s="544"/>
      <c r="Y14" s="545"/>
      <c r="Z14" s="451"/>
      <c r="AB14" s="14"/>
    </row>
    <row r="15" spans="1:28" s="20" customFormat="1" ht="29.25" thickTop="1">
      <c r="A15" s="522"/>
      <c r="B15" s="498"/>
      <c r="C15" s="498"/>
      <c r="D15" s="523"/>
      <c r="E15" s="533"/>
      <c r="F15" s="534"/>
      <c r="G15" s="533"/>
      <c r="H15" s="539"/>
      <c r="I15" s="534"/>
      <c r="J15" s="541" t="s">
        <v>47</v>
      </c>
      <c r="K15" s="539"/>
      <c r="L15" s="539"/>
      <c r="M15" s="534"/>
      <c r="N15" s="546"/>
      <c r="O15" s="481"/>
      <c r="P15" s="481"/>
      <c r="Q15" s="481"/>
      <c r="R15" s="481"/>
      <c r="S15" s="481"/>
      <c r="T15" s="481"/>
      <c r="U15" s="481"/>
      <c r="V15" s="547"/>
      <c r="W15" s="546"/>
      <c r="X15" s="481"/>
      <c r="Y15" s="547"/>
    </row>
    <row r="16" spans="1:28" s="20" customFormat="1" ht="29.25" thickBot="1">
      <c r="A16" s="522"/>
      <c r="B16" s="498"/>
      <c r="C16" s="498"/>
      <c r="D16" s="523"/>
      <c r="E16" s="535"/>
      <c r="F16" s="536"/>
      <c r="G16" s="535"/>
      <c r="H16" s="507"/>
      <c r="I16" s="536"/>
      <c r="J16" s="542"/>
      <c r="K16" s="540"/>
      <c r="L16" s="540"/>
      <c r="M16" s="538"/>
      <c r="N16" s="546"/>
      <c r="O16" s="481"/>
      <c r="P16" s="481"/>
      <c r="Q16" s="481"/>
      <c r="R16" s="481"/>
      <c r="S16" s="481"/>
      <c r="T16" s="481"/>
      <c r="U16" s="481"/>
      <c r="V16" s="547"/>
      <c r="W16" s="546"/>
      <c r="X16" s="481"/>
      <c r="Y16" s="547"/>
    </row>
    <row r="17" spans="1:25" s="20" customFormat="1" ht="29.25" thickTop="1">
      <c r="A17" s="522"/>
      <c r="B17" s="498"/>
      <c r="C17" s="498"/>
      <c r="D17" s="523"/>
      <c r="E17" s="535"/>
      <c r="F17" s="536"/>
      <c r="G17" s="535"/>
      <c r="H17" s="507"/>
      <c r="I17" s="536"/>
      <c r="J17" s="541" t="s">
        <v>48</v>
      </c>
      <c r="K17" s="539"/>
      <c r="L17" s="539"/>
      <c r="M17" s="534"/>
      <c r="N17" s="546"/>
      <c r="O17" s="481"/>
      <c r="P17" s="481"/>
      <c r="Q17" s="481"/>
      <c r="R17" s="481"/>
      <c r="S17" s="481"/>
      <c r="T17" s="481"/>
      <c r="U17" s="481"/>
      <c r="V17" s="547"/>
      <c r="W17" s="546"/>
      <c r="X17" s="481"/>
      <c r="Y17" s="547"/>
    </row>
    <row r="18" spans="1:25" s="20" customFormat="1" ht="29.25" thickBot="1">
      <c r="A18" s="524"/>
      <c r="B18" s="525"/>
      <c r="C18" s="525"/>
      <c r="D18" s="526"/>
      <c r="E18" s="537"/>
      <c r="F18" s="538"/>
      <c r="G18" s="537"/>
      <c r="H18" s="540"/>
      <c r="I18" s="538"/>
      <c r="J18" s="542"/>
      <c r="K18" s="540"/>
      <c r="L18" s="540"/>
      <c r="M18" s="538"/>
      <c r="N18" s="548"/>
      <c r="O18" s="549"/>
      <c r="P18" s="549"/>
      <c r="Q18" s="549"/>
      <c r="R18" s="549"/>
      <c r="S18" s="549"/>
      <c r="T18" s="549"/>
      <c r="U18" s="549"/>
      <c r="V18" s="550"/>
      <c r="W18" s="548"/>
      <c r="X18" s="549"/>
      <c r="Y18" s="550"/>
    </row>
    <row r="19" spans="1:25" ht="18.75" thickTop="1"/>
  </sheetData>
  <mergeCells count="41">
    <mergeCell ref="A1:Y1"/>
    <mergeCell ref="Z1:Z14"/>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W14:Y18"/>
    <mergeCell ref="E15:F18"/>
    <mergeCell ref="G15:I18"/>
    <mergeCell ref="J15:J16"/>
    <mergeCell ref="K15:M16"/>
    <mergeCell ref="J17:J18"/>
    <mergeCell ref="K17:M18"/>
    <mergeCell ref="A14:D18"/>
    <mergeCell ref="E14:I14"/>
    <mergeCell ref="J14:M14"/>
    <mergeCell ref="N14:V18"/>
  </mergeCells>
  <printOptions horizontalCentered="1" verticalCentered="1"/>
  <pageMargins left="0" right="0" top="0" bottom="0" header="0" footer="0"/>
  <pageSetup scale="45"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6D112-D734-4A4A-A972-2E5145483CB7}">
  <dimension ref="A1:AB18"/>
  <sheetViews>
    <sheetView rightToLeft="1" zoomScale="85" zoomScaleNormal="85" zoomScaleSheetLayoutView="90" workbookViewId="0">
      <selection activeCell="AB9" sqref="AB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1004</v>
      </c>
      <c r="B3" s="657"/>
      <c r="C3" s="657"/>
      <c r="D3" s="657"/>
      <c r="E3" s="658"/>
      <c r="F3" s="659" t="s">
        <v>178</v>
      </c>
      <c r="G3" s="660"/>
      <c r="H3" s="661" t="s">
        <v>1005</v>
      </c>
      <c r="I3" s="662"/>
      <c r="J3" s="662"/>
      <c r="K3" s="662"/>
      <c r="L3" s="662"/>
      <c r="M3" s="662"/>
      <c r="N3" s="662"/>
      <c r="O3" s="662"/>
      <c r="P3" s="662"/>
      <c r="Q3" s="662"/>
      <c r="R3" s="662"/>
      <c r="S3" s="662"/>
      <c r="T3" s="662"/>
      <c r="U3" s="662"/>
      <c r="V3" s="662"/>
      <c r="W3" s="662"/>
      <c r="X3" s="662"/>
      <c r="Y3" s="663"/>
      <c r="Z3" s="451"/>
    </row>
    <row r="4" spans="1:28" s="3" customFormat="1" ht="28.5">
      <c r="A4" s="667" t="s">
        <v>143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1006</v>
      </c>
      <c r="B5" s="673"/>
      <c r="C5" s="673"/>
      <c r="D5" s="673"/>
      <c r="E5" s="674"/>
      <c r="F5" s="675" t="s">
        <v>998</v>
      </c>
      <c r="G5" s="675"/>
      <c r="H5" s="676" t="s">
        <v>999</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30" t="s">
        <v>1007</v>
      </c>
      <c r="C8" s="531"/>
      <c r="D8" s="531"/>
      <c r="E8" s="531"/>
      <c r="F8" s="531"/>
      <c r="G8" s="532"/>
      <c r="H8" s="15">
        <v>15</v>
      </c>
      <c r="I8" s="9" t="s">
        <v>595</v>
      </c>
      <c r="J8" s="9"/>
      <c r="K8" s="263"/>
      <c r="L8" s="263"/>
      <c r="M8" s="263"/>
      <c r="N8" s="263"/>
      <c r="O8" s="16"/>
      <c r="P8" s="16"/>
      <c r="Q8" s="16"/>
      <c r="R8" s="16"/>
      <c r="S8" s="16"/>
      <c r="T8" s="16"/>
      <c r="U8" s="16"/>
      <c r="V8" s="16"/>
      <c r="W8" s="594"/>
      <c r="X8" s="595"/>
      <c r="Y8" s="596"/>
      <c r="Z8" s="451"/>
      <c r="AB8" s="14">
        <f>(15/4)*3</f>
        <v>11.25</v>
      </c>
    </row>
    <row r="9" spans="1:28" s="14" customFormat="1" ht="24">
      <c r="A9" s="23" t="s">
        <v>66</v>
      </c>
      <c r="B9" s="530" t="s">
        <v>1008</v>
      </c>
      <c r="C9" s="531"/>
      <c r="D9" s="531"/>
      <c r="E9" s="531"/>
      <c r="F9" s="531"/>
      <c r="G9" s="532"/>
      <c r="H9" s="15">
        <v>15</v>
      </c>
      <c r="I9" s="9" t="s">
        <v>595</v>
      </c>
      <c r="J9" s="9"/>
      <c r="K9" s="19"/>
      <c r="L9" s="19"/>
      <c r="M9" s="19"/>
      <c r="N9" s="263"/>
      <c r="O9" s="263"/>
      <c r="P9" s="263"/>
      <c r="Q9" s="263"/>
      <c r="R9" s="16"/>
      <c r="S9" s="16"/>
      <c r="T9" s="16"/>
      <c r="U9" s="16"/>
      <c r="V9" s="16"/>
      <c r="W9" s="597"/>
      <c r="X9" s="597"/>
      <c r="Y9" s="597"/>
      <c r="Z9" s="451"/>
    </row>
    <row r="10" spans="1:28" s="14" customFormat="1" ht="24">
      <c r="A10" s="23" t="s">
        <v>68</v>
      </c>
      <c r="B10" s="530" t="s">
        <v>1009</v>
      </c>
      <c r="C10" s="531"/>
      <c r="D10" s="531"/>
      <c r="E10" s="531"/>
      <c r="F10" s="531"/>
      <c r="G10" s="532"/>
      <c r="H10" s="15">
        <v>15</v>
      </c>
      <c r="I10" s="9" t="s">
        <v>595</v>
      </c>
      <c r="J10" s="9"/>
      <c r="K10" s="16"/>
      <c r="L10" s="16"/>
      <c r="M10" s="16"/>
      <c r="N10" s="19"/>
      <c r="O10" s="19"/>
      <c r="P10" s="19"/>
      <c r="Q10" s="263"/>
      <c r="R10" s="263"/>
      <c r="S10" s="263"/>
      <c r="T10" s="16"/>
      <c r="U10" s="16"/>
      <c r="V10" s="16"/>
      <c r="W10" s="518"/>
      <c r="X10" s="518"/>
      <c r="Y10" s="518"/>
      <c r="Z10" s="451"/>
    </row>
    <row r="11" spans="1:28" s="14" customFormat="1" ht="24">
      <c r="A11" s="23" t="s">
        <v>70</v>
      </c>
      <c r="B11" s="530" t="s">
        <v>1010</v>
      </c>
      <c r="C11" s="531"/>
      <c r="D11" s="531"/>
      <c r="E11" s="531"/>
      <c r="F11" s="531"/>
      <c r="G11" s="532"/>
      <c r="H11" s="15">
        <v>20</v>
      </c>
      <c r="I11" s="9" t="s">
        <v>595</v>
      </c>
      <c r="J11" s="9"/>
      <c r="K11" s="16"/>
      <c r="L11" s="16"/>
      <c r="M11" s="16"/>
      <c r="N11" s="19"/>
      <c r="O11" s="19"/>
      <c r="P11" s="19"/>
      <c r="Q11" s="263"/>
      <c r="R11" s="263"/>
      <c r="S11" s="263"/>
      <c r="T11" s="263"/>
      <c r="U11" s="263"/>
      <c r="V11" s="263"/>
      <c r="W11" s="518"/>
      <c r="X11" s="518"/>
      <c r="Y11" s="518"/>
      <c r="Z11" s="451"/>
    </row>
    <row r="12" spans="1:28" s="14" customFormat="1" ht="24.75" thickBot="1">
      <c r="A12" s="23" t="s">
        <v>153</v>
      </c>
      <c r="B12" s="530" t="s">
        <v>1011</v>
      </c>
      <c r="C12" s="531"/>
      <c r="D12" s="531"/>
      <c r="E12" s="531"/>
      <c r="F12" s="531"/>
      <c r="G12" s="532"/>
      <c r="H12" s="15">
        <v>35</v>
      </c>
      <c r="I12" s="9" t="s">
        <v>595</v>
      </c>
      <c r="J12" s="9"/>
      <c r="K12" s="16"/>
      <c r="L12" s="16"/>
      <c r="M12" s="16"/>
      <c r="N12" s="16"/>
      <c r="O12" s="16"/>
      <c r="P12" s="16"/>
      <c r="Q12" s="16"/>
      <c r="R12" s="16"/>
      <c r="S12" s="16"/>
      <c r="T12" s="263"/>
      <c r="U12" s="263"/>
      <c r="V12" s="263"/>
      <c r="W12" s="597"/>
      <c r="X12" s="597"/>
      <c r="Y12" s="597"/>
      <c r="Z12" s="451"/>
    </row>
    <row r="13" spans="1:28" ht="30" thickTop="1" thickBot="1">
      <c r="A13" s="519" t="s">
        <v>72</v>
      </c>
      <c r="B13" s="520"/>
      <c r="C13" s="520"/>
      <c r="D13" s="521"/>
      <c r="E13" s="527" t="s">
        <v>73</v>
      </c>
      <c r="F13" s="528"/>
      <c r="G13" s="528"/>
      <c r="H13" s="528"/>
      <c r="I13" s="528"/>
      <c r="J13" s="527" t="s">
        <v>74</v>
      </c>
      <c r="K13" s="528"/>
      <c r="L13" s="528"/>
      <c r="M13" s="529"/>
      <c r="N13" s="543" t="s">
        <v>75</v>
      </c>
      <c r="O13" s="544"/>
      <c r="P13" s="544"/>
      <c r="Q13" s="544"/>
      <c r="R13" s="544"/>
      <c r="S13" s="544"/>
      <c r="T13" s="544"/>
      <c r="U13" s="544"/>
      <c r="V13" s="545"/>
      <c r="W13" s="543" t="s">
        <v>76</v>
      </c>
      <c r="X13" s="544"/>
      <c r="Y13" s="545"/>
      <c r="Z13" s="451"/>
    </row>
    <row r="14" spans="1:28" s="20" customFormat="1" ht="29.25" thickTop="1">
      <c r="A14" s="522"/>
      <c r="B14" s="498"/>
      <c r="C14" s="498"/>
      <c r="D14" s="523"/>
      <c r="E14" s="533"/>
      <c r="F14" s="534"/>
      <c r="G14" s="533"/>
      <c r="H14" s="539"/>
      <c r="I14" s="534"/>
      <c r="J14" s="541" t="s">
        <v>47</v>
      </c>
      <c r="K14" s="539"/>
      <c r="L14" s="539"/>
      <c r="M14" s="534"/>
      <c r="N14" s="546"/>
      <c r="O14" s="481"/>
      <c r="P14" s="481"/>
      <c r="Q14" s="481"/>
      <c r="R14" s="481"/>
      <c r="S14" s="481"/>
      <c r="T14" s="481"/>
      <c r="U14" s="481"/>
      <c r="V14" s="547"/>
      <c r="W14" s="546"/>
      <c r="X14" s="481"/>
      <c r="Y14" s="547"/>
    </row>
    <row r="15" spans="1:28" s="20" customFormat="1" ht="29.25" thickBot="1">
      <c r="A15" s="522"/>
      <c r="B15" s="498"/>
      <c r="C15" s="498"/>
      <c r="D15" s="523"/>
      <c r="E15" s="535"/>
      <c r="F15" s="536"/>
      <c r="G15" s="535"/>
      <c r="H15" s="507"/>
      <c r="I15" s="536"/>
      <c r="J15" s="542"/>
      <c r="K15" s="540"/>
      <c r="L15" s="540"/>
      <c r="M15" s="538"/>
      <c r="N15" s="546"/>
      <c r="O15" s="481"/>
      <c r="P15" s="481"/>
      <c r="Q15" s="481"/>
      <c r="R15" s="481"/>
      <c r="S15" s="481"/>
      <c r="T15" s="481"/>
      <c r="U15" s="481"/>
      <c r="V15" s="547"/>
      <c r="W15" s="546"/>
      <c r="X15" s="481"/>
      <c r="Y15" s="547"/>
    </row>
    <row r="16" spans="1:28" s="20" customFormat="1" ht="29.25" thickTop="1">
      <c r="A16" s="522"/>
      <c r="B16" s="498"/>
      <c r="C16" s="498"/>
      <c r="D16" s="523"/>
      <c r="E16" s="535"/>
      <c r="F16" s="536"/>
      <c r="G16" s="535"/>
      <c r="H16" s="507"/>
      <c r="I16" s="536"/>
      <c r="J16" s="541" t="s">
        <v>48</v>
      </c>
      <c r="K16" s="539"/>
      <c r="L16" s="539"/>
      <c r="M16" s="534"/>
      <c r="N16" s="546"/>
      <c r="O16" s="481"/>
      <c r="P16" s="481"/>
      <c r="Q16" s="481"/>
      <c r="R16" s="481"/>
      <c r="S16" s="481"/>
      <c r="T16" s="481"/>
      <c r="U16" s="481"/>
      <c r="V16" s="547"/>
      <c r="W16" s="546"/>
      <c r="X16" s="481"/>
      <c r="Y16" s="547"/>
    </row>
    <row r="17" spans="1:25" s="20" customFormat="1" ht="29.25" thickBot="1">
      <c r="A17" s="524"/>
      <c r="B17" s="525"/>
      <c r="C17" s="525"/>
      <c r="D17" s="526"/>
      <c r="E17" s="537"/>
      <c r="F17" s="538"/>
      <c r="G17" s="537"/>
      <c r="H17" s="540"/>
      <c r="I17" s="538"/>
      <c r="J17" s="542"/>
      <c r="K17" s="540"/>
      <c r="L17" s="540"/>
      <c r="M17" s="538"/>
      <c r="N17" s="548"/>
      <c r="O17" s="549"/>
      <c r="P17" s="549"/>
      <c r="Q17" s="549"/>
      <c r="R17" s="549"/>
      <c r="S17" s="549"/>
      <c r="T17" s="549"/>
      <c r="U17" s="549"/>
      <c r="V17" s="550"/>
      <c r="W17" s="548"/>
      <c r="X17" s="549"/>
      <c r="Y17" s="550"/>
    </row>
    <row r="18" spans="1:25" ht="18.75" thickTop="1"/>
  </sheetData>
  <mergeCells count="39">
    <mergeCell ref="A1:Y1"/>
    <mergeCell ref="Z1:Z13"/>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A13:D17"/>
    <mergeCell ref="E13:I13"/>
    <mergeCell ref="J13:M13"/>
    <mergeCell ref="N13:V17"/>
    <mergeCell ref="W13:Y17"/>
    <mergeCell ref="E14:F17"/>
    <mergeCell ref="G14:I17"/>
    <mergeCell ref="J14:J15"/>
    <mergeCell ref="K14:M15"/>
    <mergeCell ref="J16:J17"/>
    <mergeCell ref="K16:M17"/>
  </mergeCells>
  <printOptions horizontalCentered="1" verticalCentered="1"/>
  <pageMargins left="0" right="0" top="0" bottom="0" header="0" footer="0"/>
  <pageSetup scale="45"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B2DF2-CC42-404B-BB69-FF230E93B3C8}">
  <dimension ref="A1:Z16"/>
  <sheetViews>
    <sheetView rightToLeft="1" zoomScale="90" zoomScaleNormal="90" zoomScaleSheetLayoutView="70" workbookViewId="0">
      <selection activeCell="G18" activeCellId="1" sqref="B10:G10 G1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995</v>
      </c>
      <c r="B3" s="657"/>
      <c r="C3" s="657"/>
      <c r="D3" s="657"/>
      <c r="E3" s="658"/>
      <c r="F3" s="659" t="s">
        <v>178</v>
      </c>
      <c r="G3" s="660"/>
      <c r="H3" s="661" t="s">
        <v>996</v>
      </c>
      <c r="I3" s="662"/>
      <c r="J3" s="662"/>
      <c r="K3" s="662"/>
      <c r="L3" s="662"/>
      <c r="M3" s="662"/>
      <c r="N3" s="662"/>
      <c r="O3" s="662"/>
      <c r="P3" s="662"/>
      <c r="Q3" s="662"/>
      <c r="R3" s="662"/>
      <c r="S3" s="662"/>
      <c r="T3" s="662"/>
      <c r="U3" s="662"/>
      <c r="V3" s="662"/>
      <c r="W3" s="662"/>
      <c r="X3" s="662"/>
      <c r="Y3" s="663"/>
      <c r="Z3" s="451"/>
    </row>
    <row r="4" spans="1:26" s="3" customFormat="1" ht="28.5">
      <c r="A4" s="667" t="s">
        <v>143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997</v>
      </c>
      <c r="B5" s="673"/>
      <c r="C5" s="673"/>
      <c r="D5" s="673"/>
      <c r="E5" s="674"/>
      <c r="F5" s="675" t="s">
        <v>998</v>
      </c>
      <c r="G5" s="675"/>
      <c r="H5" s="676" t="s">
        <v>999</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45">
      <c r="A8" s="23" t="s">
        <v>28</v>
      </c>
      <c r="B8" s="530" t="s">
        <v>1000</v>
      </c>
      <c r="C8" s="531"/>
      <c r="D8" s="531"/>
      <c r="E8" s="531"/>
      <c r="F8" s="531"/>
      <c r="G8" s="532"/>
      <c r="H8" s="15">
        <v>40</v>
      </c>
      <c r="I8" s="9" t="s">
        <v>1001</v>
      </c>
      <c r="J8" s="9"/>
      <c r="K8" s="19"/>
      <c r="L8" s="19"/>
      <c r="M8" s="19"/>
      <c r="N8" s="263"/>
      <c r="O8" s="263"/>
      <c r="P8" s="263"/>
      <c r="Q8" s="263"/>
      <c r="R8" s="263"/>
      <c r="S8" s="263"/>
      <c r="T8" s="263"/>
      <c r="U8" s="263"/>
      <c r="V8" s="263"/>
      <c r="W8" s="594"/>
      <c r="X8" s="595"/>
      <c r="Y8" s="596"/>
      <c r="Z8" s="451"/>
    </row>
    <row r="9" spans="1:26" s="14" customFormat="1" ht="24">
      <c r="A9" s="23" t="s">
        <v>66</v>
      </c>
      <c r="B9" s="530" t="s">
        <v>1002</v>
      </c>
      <c r="C9" s="531"/>
      <c r="D9" s="531"/>
      <c r="E9" s="531"/>
      <c r="F9" s="531"/>
      <c r="G9" s="532"/>
      <c r="H9" s="15">
        <v>30</v>
      </c>
      <c r="I9" s="9" t="s">
        <v>595</v>
      </c>
      <c r="J9" s="9"/>
      <c r="K9" s="19"/>
      <c r="L9" s="19"/>
      <c r="M9" s="19"/>
      <c r="N9" s="263"/>
      <c r="O9" s="263"/>
      <c r="P9" s="263"/>
      <c r="Q9" s="263"/>
      <c r="R9" s="263"/>
      <c r="S9" s="263"/>
      <c r="T9" s="263"/>
      <c r="U9" s="263"/>
      <c r="V9" s="263"/>
      <c r="W9" s="597"/>
      <c r="X9" s="597"/>
      <c r="Y9" s="597"/>
      <c r="Z9" s="451"/>
    </row>
    <row r="10" spans="1:26" s="14" customFormat="1" ht="24.75" thickBot="1">
      <c r="A10" s="23" t="s">
        <v>68</v>
      </c>
      <c r="B10" s="530" t="s">
        <v>1003</v>
      </c>
      <c r="C10" s="531"/>
      <c r="D10" s="531"/>
      <c r="E10" s="531"/>
      <c r="F10" s="531"/>
      <c r="G10" s="532"/>
      <c r="H10" s="15">
        <v>30</v>
      </c>
      <c r="I10" s="9" t="s">
        <v>595</v>
      </c>
      <c r="J10" s="9"/>
      <c r="K10" s="16"/>
      <c r="L10" s="19"/>
      <c r="M10" s="19"/>
      <c r="N10" s="263"/>
      <c r="O10" s="263"/>
      <c r="P10" s="263"/>
      <c r="Q10" s="263"/>
      <c r="R10" s="263"/>
      <c r="S10" s="263"/>
      <c r="T10" s="263"/>
      <c r="U10" s="263"/>
      <c r="V10" s="263"/>
      <c r="W10" s="518"/>
      <c r="X10" s="518"/>
      <c r="Y10" s="518"/>
      <c r="Z10" s="451"/>
    </row>
    <row r="11" spans="1:26" ht="30" thickTop="1" thickBot="1">
      <c r="A11" s="519" t="s">
        <v>72</v>
      </c>
      <c r="B11" s="520"/>
      <c r="C11" s="520"/>
      <c r="D11" s="521"/>
      <c r="E11" s="527" t="s">
        <v>73</v>
      </c>
      <c r="F11" s="528"/>
      <c r="G11" s="528"/>
      <c r="H11" s="528"/>
      <c r="I11" s="528"/>
      <c r="J11" s="527" t="s">
        <v>74</v>
      </c>
      <c r="K11" s="528"/>
      <c r="L11" s="528"/>
      <c r="M11" s="529"/>
      <c r="N11" s="543" t="s">
        <v>75</v>
      </c>
      <c r="O11" s="544"/>
      <c r="P11" s="544"/>
      <c r="Q11" s="544"/>
      <c r="R11" s="544"/>
      <c r="S11" s="544"/>
      <c r="T11" s="544"/>
      <c r="U11" s="544"/>
      <c r="V11" s="545"/>
      <c r="W11" s="543" t="s">
        <v>76</v>
      </c>
      <c r="X11" s="544"/>
      <c r="Y11" s="545"/>
      <c r="Z11" s="451"/>
    </row>
    <row r="12" spans="1:26" s="20" customFormat="1" ht="29.25" thickTop="1">
      <c r="A12" s="522"/>
      <c r="B12" s="498"/>
      <c r="C12" s="498"/>
      <c r="D12" s="523"/>
      <c r="E12" s="533"/>
      <c r="F12" s="534"/>
      <c r="G12" s="533"/>
      <c r="H12" s="539"/>
      <c r="I12" s="534"/>
      <c r="J12" s="541" t="s">
        <v>47</v>
      </c>
      <c r="K12" s="539"/>
      <c r="L12" s="539"/>
      <c r="M12" s="534"/>
      <c r="N12" s="546"/>
      <c r="O12" s="481"/>
      <c r="P12" s="481"/>
      <c r="Q12" s="481"/>
      <c r="R12" s="481"/>
      <c r="S12" s="481"/>
      <c r="T12" s="481"/>
      <c r="U12" s="481"/>
      <c r="V12" s="547"/>
      <c r="W12" s="546"/>
      <c r="X12" s="481"/>
      <c r="Y12" s="547"/>
    </row>
    <row r="13" spans="1:26" s="20" customFormat="1" ht="29.25" thickBot="1">
      <c r="A13" s="522"/>
      <c r="B13" s="498"/>
      <c r="C13" s="498"/>
      <c r="D13" s="523"/>
      <c r="E13" s="535"/>
      <c r="F13" s="536"/>
      <c r="G13" s="535"/>
      <c r="H13" s="507"/>
      <c r="I13" s="536"/>
      <c r="J13" s="542"/>
      <c r="K13" s="540"/>
      <c r="L13" s="540"/>
      <c r="M13" s="538"/>
      <c r="N13" s="546"/>
      <c r="O13" s="481"/>
      <c r="P13" s="481"/>
      <c r="Q13" s="481"/>
      <c r="R13" s="481"/>
      <c r="S13" s="481"/>
      <c r="T13" s="481"/>
      <c r="U13" s="481"/>
      <c r="V13" s="547"/>
      <c r="W13" s="546"/>
      <c r="X13" s="481"/>
      <c r="Y13" s="547"/>
    </row>
    <row r="14" spans="1:26" s="20" customFormat="1" ht="29.25" thickTop="1">
      <c r="A14" s="522"/>
      <c r="B14" s="498"/>
      <c r="C14" s="498"/>
      <c r="D14" s="523"/>
      <c r="E14" s="535"/>
      <c r="F14" s="536"/>
      <c r="G14" s="535"/>
      <c r="H14" s="507"/>
      <c r="I14" s="536"/>
      <c r="J14" s="541" t="s">
        <v>48</v>
      </c>
      <c r="K14" s="539"/>
      <c r="L14" s="539"/>
      <c r="M14" s="534"/>
      <c r="N14" s="546"/>
      <c r="O14" s="481"/>
      <c r="P14" s="481"/>
      <c r="Q14" s="481"/>
      <c r="R14" s="481"/>
      <c r="S14" s="481"/>
      <c r="T14" s="481"/>
      <c r="U14" s="481"/>
      <c r="V14" s="547"/>
      <c r="W14" s="546"/>
      <c r="X14" s="481"/>
      <c r="Y14" s="547"/>
    </row>
    <row r="15" spans="1:26" s="20" customFormat="1" ht="29.25" thickBot="1">
      <c r="A15" s="524"/>
      <c r="B15" s="525"/>
      <c r="C15" s="525"/>
      <c r="D15" s="526"/>
      <c r="E15" s="537"/>
      <c r="F15" s="538"/>
      <c r="G15" s="537"/>
      <c r="H15" s="540"/>
      <c r="I15" s="538"/>
      <c r="J15" s="542"/>
      <c r="K15" s="540"/>
      <c r="L15" s="540"/>
      <c r="M15" s="538"/>
      <c r="N15" s="548"/>
      <c r="O15" s="549"/>
      <c r="P15" s="549"/>
      <c r="Q15" s="549"/>
      <c r="R15" s="549"/>
      <c r="S15" s="549"/>
      <c r="T15" s="549"/>
      <c r="U15" s="549"/>
      <c r="V15" s="550"/>
      <c r="W15" s="548"/>
      <c r="X15" s="549"/>
      <c r="Y15" s="550"/>
    </row>
    <row r="16" spans="1:26" ht="18.75" thickTop="1"/>
  </sheetData>
  <mergeCells count="35">
    <mergeCell ref="A1:Y1"/>
    <mergeCell ref="Z1:Z11"/>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W11:Y15"/>
    <mergeCell ref="E12:F15"/>
    <mergeCell ref="G12:I15"/>
    <mergeCell ref="J12:J13"/>
    <mergeCell ref="K12:M13"/>
    <mergeCell ref="J14:J15"/>
    <mergeCell ref="K14:M15"/>
    <mergeCell ref="A11:D15"/>
    <mergeCell ref="E11:I11"/>
    <mergeCell ref="J11:M11"/>
    <mergeCell ref="N11:V15"/>
  </mergeCells>
  <printOptions horizontalCentered="1" verticalCentered="1"/>
  <pageMargins left="0" right="0" top="0" bottom="0" header="0" footer="0"/>
  <pageSetup scale="45"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34D9-EC3C-4B04-BD08-FFE6E1FE43B5}">
  <dimension ref="A1:AE21"/>
  <sheetViews>
    <sheetView rightToLeft="1" zoomScale="70" zoomScaleNormal="70" zoomScaleSheetLayoutView="90" workbookViewId="0">
      <selection activeCell="AE15" sqref="AE1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3" width="4.7109375" style="21" customWidth="1"/>
    <col min="24" max="24" width="6.5703125" style="21" customWidth="1"/>
    <col min="25" max="25" width="4" style="21" customWidth="1"/>
    <col min="26" max="26" width="4.42578125" style="21" bestFit="1" customWidth="1"/>
    <col min="27" max="27" width="7.140625" style="21" customWidth="1"/>
    <col min="28" max="28" width="26.85546875" style="21" customWidth="1"/>
    <col min="29" max="29" width="3.140625" style="2" customWidth="1"/>
    <col min="30" max="30" width="4.140625" style="2" customWidth="1"/>
    <col min="31" max="16384" width="9.140625" style="2"/>
  </cols>
  <sheetData>
    <row r="1" spans="1:31" ht="74.25" thickTop="1" thickBot="1">
      <c r="A1" s="552" t="s">
        <v>982</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4"/>
      <c r="AC1" s="451"/>
    </row>
    <row r="2" spans="1:31"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556"/>
      <c r="AC2" s="451"/>
    </row>
    <row r="3" spans="1:31" s="3" customFormat="1" ht="29.25" thickTop="1">
      <c r="A3" s="656" t="s">
        <v>983</v>
      </c>
      <c r="B3" s="657"/>
      <c r="C3" s="657"/>
      <c r="D3" s="657"/>
      <c r="E3" s="658"/>
      <c r="F3" s="659" t="s">
        <v>178</v>
      </c>
      <c r="G3" s="660"/>
      <c r="H3" s="697" t="s">
        <v>984</v>
      </c>
      <c r="I3" s="770"/>
      <c r="J3" s="770"/>
      <c r="K3" s="770"/>
      <c r="L3" s="770"/>
      <c r="M3" s="770"/>
      <c r="N3" s="770"/>
      <c r="O3" s="770"/>
      <c r="P3" s="770"/>
      <c r="Q3" s="770"/>
      <c r="R3" s="770"/>
      <c r="S3" s="770"/>
      <c r="T3" s="770"/>
      <c r="U3" s="770"/>
      <c r="V3" s="770"/>
      <c r="W3" s="770"/>
      <c r="X3" s="770"/>
      <c r="Y3" s="770"/>
      <c r="Z3" s="770"/>
      <c r="AA3" s="770"/>
      <c r="AB3" s="771"/>
      <c r="AC3" s="451"/>
    </row>
    <row r="4" spans="1:31" s="3" customFormat="1" ht="28.5">
      <c r="A4" s="667" t="s">
        <v>967</v>
      </c>
      <c r="B4" s="668"/>
      <c r="C4" s="668"/>
      <c r="D4" s="668"/>
      <c r="E4" s="669"/>
      <c r="F4" s="670" t="s">
        <v>968</v>
      </c>
      <c r="G4" s="671"/>
      <c r="H4" s="772"/>
      <c r="I4" s="773"/>
      <c r="J4" s="773"/>
      <c r="K4" s="773"/>
      <c r="L4" s="773"/>
      <c r="M4" s="773"/>
      <c r="N4" s="773"/>
      <c r="O4" s="773"/>
      <c r="P4" s="773"/>
      <c r="Q4" s="773"/>
      <c r="R4" s="773"/>
      <c r="S4" s="773"/>
      <c r="T4" s="773"/>
      <c r="U4" s="773"/>
      <c r="V4" s="773"/>
      <c r="W4" s="773"/>
      <c r="X4" s="773"/>
      <c r="Y4" s="773"/>
      <c r="Z4" s="773"/>
      <c r="AA4" s="773"/>
      <c r="AB4" s="774"/>
      <c r="AC4" s="451"/>
    </row>
    <row r="5" spans="1:31" s="3" customFormat="1" ht="29.25" thickBot="1">
      <c r="A5" s="775" t="s">
        <v>985</v>
      </c>
      <c r="B5" s="776"/>
      <c r="C5" s="776"/>
      <c r="D5" s="776"/>
      <c r="E5" s="777"/>
      <c r="F5" s="778" t="s">
        <v>970</v>
      </c>
      <c r="G5" s="778"/>
      <c r="H5" s="779" t="s">
        <v>714</v>
      </c>
      <c r="I5" s="780"/>
      <c r="J5" s="780"/>
      <c r="K5" s="780"/>
      <c r="L5" s="780"/>
      <c r="M5" s="780"/>
      <c r="N5" s="780"/>
      <c r="O5" s="780"/>
      <c r="P5" s="780"/>
      <c r="Q5" s="780"/>
      <c r="R5" s="780"/>
      <c r="S5" s="780"/>
      <c r="T5" s="780"/>
      <c r="U5" s="780"/>
      <c r="V5" s="780"/>
      <c r="W5" s="780"/>
      <c r="X5" s="780"/>
      <c r="Y5" s="780"/>
      <c r="Z5" s="780"/>
      <c r="AA5" s="780"/>
      <c r="AB5" s="781"/>
      <c r="AC5" s="451"/>
    </row>
    <row r="6" spans="1:31" ht="29.25" thickTop="1">
      <c r="A6" s="782" t="s">
        <v>9</v>
      </c>
      <c r="B6" s="764" t="s">
        <v>58</v>
      </c>
      <c r="C6" s="520"/>
      <c r="D6" s="520"/>
      <c r="E6" s="520"/>
      <c r="F6" s="520"/>
      <c r="G6" s="784"/>
      <c r="H6" s="786" t="s">
        <v>59</v>
      </c>
      <c r="I6" s="788" t="s">
        <v>60</v>
      </c>
      <c r="J6" s="786" t="s">
        <v>61</v>
      </c>
      <c r="K6" s="758" t="s">
        <v>971</v>
      </c>
      <c r="L6" s="759"/>
      <c r="M6" s="759"/>
      <c r="N6" s="759"/>
      <c r="O6" s="759"/>
      <c r="P6" s="759"/>
      <c r="Q6" s="759"/>
      <c r="R6" s="759"/>
      <c r="S6" s="759"/>
      <c r="T6" s="759"/>
      <c r="U6" s="759"/>
      <c r="V6" s="760"/>
      <c r="W6" s="761">
        <v>1405</v>
      </c>
      <c r="X6" s="762"/>
      <c r="Y6" s="763"/>
      <c r="Z6" s="764" t="s">
        <v>63</v>
      </c>
      <c r="AA6" s="520"/>
      <c r="AB6" s="521"/>
      <c r="AC6" s="451"/>
    </row>
    <row r="7" spans="1:31" ht="56.25" thickBot="1">
      <c r="A7" s="783"/>
      <c r="B7" s="765"/>
      <c r="C7" s="525"/>
      <c r="D7" s="525"/>
      <c r="E7" s="525"/>
      <c r="F7" s="525"/>
      <c r="G7" s="785"/>
      <c r="H7" s="787"/>
      <c r="I7" s="787"/>
      <c r="J7" s="787"/>
      <c r="K7" s="247" t="s">
        <v>16</v>
      </c>
      <c r="L7" s="247" t="s">
        <v>17</v>
      </c>
      <c r="M7" s="247" t="s">
        <v>18</v>
      </c>
      <c r="N7" s="247" t="s">
        <v>19</v>
      </c>
      <c r="O7" s="247" t="s">
        <v>20</v>
      </c>
      <c r="P7" s="247" t="s">
        <v>21</v>
      </c>
      <c r="Q7" s="247" t="s">
        <v>22</v>
      </c>
      <c r="R7" s="247" t="s">
        <v>23</v>
      </c>
      <c r="S7" s="247" t="s">
        <v>24</v>
      </c>
      <c r="T7" s="247" t="s">
        <v>25</v>
      </c>
      <c r="U7" s="247" t="s">
        <v>26</v>
      </c>
      <c r="V7" s="247" t="s">
        <v>27</v>
      </c>
      <c r="W7" s="247" t="s">
        <v>16</v>
      </c>
      <c r="X7" s="247" t="s">
        <v>17</v>
      </c>
      <c r="Y7" s="247" t="s">
        <v>18</v>
      </c>
      <c r="Z7" s="765"/>
      <c r="AA7" s="525"/>
      <c r="AB7" s="526"/>
      <c r="AC7" s="451"/>
    </row>
    <row r="8" spans="1:31" s="14" customFormat="1" ht="45" customHeight="1" thickTop="1">
      <c r="A8" s="248" t="s">
        <v>28</v>
      </c>
      <c r="B8" s="766" t="s">
        <v>986</v>
      </c>
      <c r="C8" s="766"/>
      <c r="D8" s="766"/>
      <c r="E8" s="766"/>
      <c r="F8" s="766"/>
      <c r="G8" s="766"/>
      <c r="H8" s="249">
        <v>0.1</v>
      </c>
      <c r="I8" s="250" t="s">
        <v>942</v>
      </c>
      <c r="J8" s="250"/>
      <c r="K8" s="251" t="s">
        <v>246</v>
      </c>
      <c r="L8" s="251"/>
      <c r="M8" s="251"/>
      <c r="N8" s="251"/>
      <c r="O8" s="251"/>
      <c r="P8" s="251"/>
      <c r="Q8" s="251"/>
      <c r="R8" s="251"/>
      <c r="S8" s="251"/>
      <c r="T8" s="251"/>
      <c r="U8" s="251"/>
      <c r="V8" s="251"/>
      <c r="W8" s="251"/>
      <c r="X8" s="251"/>
      <c r="Y8" s="251"/>
      <c r="Z8" s="767"/>
      <c r="AA8" s="768"/>
      <c r="AB8" s="769"/>
      <c r="AC8" s="451"/>
    </row>
    <row r="9" spans="1:31" s="14" customFormat="1" ht="45" customHeight="1">
      <c r="A9" s="252" t="s">
        <v>66</v>
      </c>
      <c r="B9" s="551" t="s">
        <v>987</v>
      </c>
      <c r="C9" s="551"/>
      <c r="D9" s="551"/>
      <c r="E9" s="551"/>
      <c r="F9" s="551"/>
      <c r="G9" s="551"/>
      <c r="H9" s="226">
        <v>0.1</v>
      </c>
      <c r="I9" s="9" t="s">
        <v>595</v>
      </c>
      <c r="J9" s="9"/>
      <c r="K9" s="16"/>
      <c r="L9" s="16" t="s">
        <v>246</v>
      </c>
      <c r="M9" s="16" t="s">
        <v>246</v>
      </c>
      <c r="N9" s="16" t="s">
        <v>246</v>
      </c>
      <c r="O9" s="16" t="s">
        <v>246</v>
      </c>
      <c r="P9" s="16"/>
      <c r="Q9" s="16"/>
      <c r="R9" s="16"/>
      <c r="S9" s="16"/>
      <c r="T9" s="16"/>
      <c r="U9" s="16"/>
      <c r="V9" s="16"/>
      <c r="W9" s="16"/>
      <c r="X9" s="16"/>
      <c r="Y9" s="16"/>
      <c r="Z9" s="597"/>
      <c r="AA9" s="597"/>
      <c r="AB9" s="752"/>
      <c r="AC9" s="451"/>
    </row>
    <row r="10" spans="1:31" s="14" customFormat="1" ht="45" customHeight="1">
      <c r="A10" s="252" t="s">
        <v>68</v>
      </c>
      <c r="B10" s="551" t="s">
        <v>988</v>
      </c>
      <c r="C10" s="551"/>
      <c r="D10" s="551"/>
      <c r="E10" s="551"/>
      <c r="F10" s="551"/>
      <c r="G10" s="551"/>
      <c r="H10" s="226">
        <v>0.1</v>
      </c>
      <c r="I10" s="9" t="s">
        <v>595</v>
      </c>
      <c r="J10" s="9"/>
      <c r="K10" s="16"/>
      <c r="L10" s="16"/>
      <c r="M10" s="16"/>
      <c r="N10" s="16"/>
      <c r="O10" s="16"/>
      <c r="P10" s="16" t="s">
        <v>246</v>
      </c>
      <c r="Q10" s="16" t="s">
        <v>246</v>
      </c>
      <c r="R10" s="16"/>
      <c r="S10" s="16"/>
      <c r="T10" s="16"/>
      <c r="U10" s="16"/>
      <c r="V10" s="16"/>
      <c r="W10" s="16"/>
      <c r="X10" s="16"/>
      <c r="Y10" s="16"/>
      <c r="Z10" s="518"/>
      <c r="AA10" s="518"/>
      <c r="AB10" s="753"/>
      <c r="AC10" s="451"/>
    </row>
    <row r="11" spans="1:31" s="14" customFormat="1" ht="45" customHeight="1">
      <c r="A11" s="252" t="s">
        <v>70</v>
      </c>
      <c r="B11" s="551" t="s">
        <v>989</v>
      </c>
      <c r="C11" s="551"/>
      <c r="D11" s="551"/>
      <c r="E11" s="551"/>
      <c r="F11" s="551"/>
      <c r="G11" s="551"/>
      <c r="H11" s="226">
        <v>0.2</v>
      </c>
      <c r="I11" s="9" t="s">
        <v>259</v>
      </c>
      <c r="J11" s="9"/>
      <c r="K11" s="16"/>
      <c r="L11" s="16"/>
      <c r="M11" s="16"/>
      <c r="N11" s="16"/>
      <c r="O11" s="16"/>
      <c r="P11" s="16"/>
      <c r="Q11" s="16"/>
      <c r="R11" s="16" t="s">
        <v>246</v>
      </c>
      <c r="S11" s="16"/>
      <c r="T11" s="16"/>
      <c r="U11" s="16"/>
      <c r="V11" s="16"/>
      <c r="W11" s="16"/>
      <c r="X11" s="16"/>
      <c r="Y11" s="16"/>
      <c r="Z11" s="518"/>
      <c r="AA11" s="518"/>
      <c r="AB11" s="753"/>
      <c r="AC11" s="451"/>
    </row>
    <row r="12" spans="1:31" s="14" customFormat="1" ht="45" customHeight="1">
      <c r="A12" s="252" t="s">
        <v>153</v>
      </c>
      <c r="B12" s="551" t="s">
        <v>990</v>
      </c>
      <c r="C12" s="551"/>
      <c r="D12" s="551"/>
      <c r="E12" s="551"/>
      <c r="F12" s="551"/>
      <c r="G12" s="551"/>
      <c r="H12" s="226">
        <v>0.2</v>
      </c>
      <c r="I12" s="9" t="s">
        <v>991</v>
      </c>
      <c r="J12" s="9"/>
      <c r="K12" s="16"/>
      <c r="L12" s="16"/>
      <c r="M12" s="16"/>
      <c r="N12" s="16"/>
      <c r="O12" s="16"/>
      <c r="P12" s="16"/>
      <c r="Q12" s="16"/>
      <c r="R12" s="16" t="s">
        <v>246</v>
      </c>
      <c r="S12" s="16"/>
      <c r="T12" s="16"/>
      <c r="U12" s="16"/>
      <c r="V12" s="16"/>
      <c r="W12" s="16"/>
      <c r="X12" s="16"/>
      <c r="Y12" s="16"/>
      <c r="Z12" s="597"/>
      <c r="AA12" s="597"/>
      <c r="AB12" s="752"/>
      <c r="AC12" s="451"/>
    </row>
    <row r="13" spans="1:31" s="14" customFormat="1" ht="45" customHeight="1">
      <c r="A13" s="252" t="s">
        <v>155</v>
      </c>
      <c r="B13" s="530" t="s">
        <v>992</v>
      </c>
      <c r="C13" s="531"/>
      <c r="D13" s="531"/>
      <c r="E13" s="531"/>
      <c r="F13" s="531"/>
      <c r="G13" s="532"/>
      <c r="H13" s="226">
        <v>0.2</v>
      </c>
      <c r="I13" s="9" t="s">
        <v>942</v>
      </c>
      <c r="J13" s="9"/>
      <c r="K13" s="16"/>
      <c r="L13" s="16"/>
      <c r="M13" s="16"/>
      <c r="N13" s="16"/>
      <c r="O13" s="16"/>
      <c r="P13" s="16"/>
      <c r="Q13" s="16"/>
      <c r="R13" s="16"/>
      <c r="S13" s="16" t="s">
        <v>246</v>
      </c>
      <c r="T13" s="16"/>
      <c r="U13" s="16"/>
      <c r="V13" s="16"/>
      <c r="W13" s="16"/>
      <c r="X13" s="16"/>
      <c r="Y13" s="16"/>
      <c r="Z13" s="518"/>
      <c r="AA13" s="518"/>
      <c r="AB13" s="753"/>
      <c r="AC13" s="451"/>
    </row>
    <row r="14" spans="1:31" s="14" customFormat="1" ht="45" customHeight="1">
      <c r="A14" s="252" t="s">
        <v>156</v>
      </c>
      <c r="B14" s="253" t="s">
        <v>993</v>
      </c>
      <c r="C14" s="254"/>
      <c r="D14" s="254"/>
      <c r="E14" s="254"/>
      <c r="F14" s="254"/>
      <c r="G14" s="255"/>
      <c r="H14" s="256">
        <v>0.1</v>
      </c>
      <c r="I14" s="9" t="s">
        <v>942</v>
      </c>
      <c r="J14" s="257"/>
      <c r="K14" s="258"/>
      <c r="L14" s="258"/>
      <c r="M14" s="258"/>
      <c r="N14" s="258"/>
      <c r="O14" s="258"/>
      <c r="P14" s="258"/>
      <c r="Q14" s="258"/>
      <c r="R14" s="258"/>
      <c r="S14" s="258"/>
      <c r="T14" s="258" t="s">
        <v>246</v>
      </c>
      <c r="U14" s="258"/>
      <c r="V14" s="258"/>
      <c r="W14" s="258"/>
      <c r="X14" s="258"/>
      <c r="Y14" s="258"/>
      <c r="Z14" s="27"/>
      <c r="AA14" s="28"/>
      <c r="AB14" s="259"/>
      <c r="AC14" s="451"/>
    </row>
    <row r="15" spans="1:31" s="14" customFormat="1" ht="45" customHeight="1" thickBot="1">
      <c r="A15" s="252" t="s">
        <v>853</v>
      </c>
      <c r="B15" s="754" t="s">
        <v>994</v>
      </c>
      <c r="C15" s="754"/>
      <c r="D15" s="754"/>
      <c r="E15" s="754"/>
      <c r="F15" s="754"/>
      <c r="G15" s="754"/>
      <c r="H15" s="260">
        <v>0.05</v>
      </c>
      <c r="I15" s="9" t="s">
        <v>942</v>
      </c>
      <c r="J15" s="261"/>
      <c r="K15" s="262"/>
      <c r="L15" s="262"/>
      <c r="M15" s="262"/>
      <c r="N15" s="262"/>
      <c r="O15" s="262"/>
      <c r="P15" s="262"/>
      <c r="Q15" s="262"/>
      <c r="R15" s="262"/>
      <c r="S15" s="262"/>
      <c r="T15" s="262"/>
      <c r="U15" s="262"/>
      <c r="V15" s="262"/>
      <c r="W15" s="262"/>
      <c r="X15" s="262"/>
      <c r="Y15" s="262" t="s">
        <v>246</v>
      </c>
      <c r="Z15" s="755"/>
      <c r="AA15" s="756"/>
      <c r="AB15" s="757"/>
      <c r="AC15" s="451"/>
      <c r="AE15" s="14">
        <v>5</v>
      </c>
    </row>
    <row r="16" spans="1:31" ht="30" thickTop="1" thickBot="1">
      <c r="A16" s="519" t="s">
        <v>72</v>
      </c>
      <c r="B16" s="520"/>
      <c r="C16" s="520"/>
      <c r="D16" s="521"/>
      <c r="E16" s="527" t="s">
        <v>942</v>
      </c>
      <c r="F16" s="528"/>
      <c r="G16" s="528"/>
      <c r="H16" s="528"/>
      <c r="I16" s="528"/>
      <c r="J16" s="527" t="s">
        <v>74</v>
      </c>
      <c r="K16" s="528"/>
      <c r="L16" s="528"/>
      <c r="M16" s="529"/>
      <c r="N16" s="543" t="s">
        <v>75</v>
      </c>
      <c r="O16" s="544"/>
      <c r="P16" s="544"/>
      <c r="Q16" s="544"/>
      <c r="R16" s="544"/>
      <c r="S16" s="544"/>
      <c r="T16" s="544"/>
      <c r="U16" s="544"/>
      <c r="V16" s="545"/>
      <c r="W16" s="29"/>
      <c r="X16" s="29"/>
      <c r="Y16" s="29"/>
      <c r="Z16" s="543" t="s">
        <v>76</v>
      </c>
      <c r="AA16" s="544"/>
      <c r="AB16" s="545"/>
      <c r="AC16" s="451"/>
    </row>
    <row r="17" spans="1:28" s="20" customFormat="1" ht="29.25" thickTop="1">
      <c r="A17" s="522"/>
      <c r="B17" s="498"/>
      <c r="C17" s="498"/>
      <c r="D17" s="523"/>
      <c r="E17" s="533"/>
      <c r="F17" s="534"/>
      <c r="G17" s="533"/>
      <c r="H17" s="539"/>
      <c r="I17" s="534"/>
      <c r="J17" s="541" t="s">
        <v>47</v>
      </c>
      <c r="K17" s="539"/>
      <c r="L17" s="539"/>
      <c r="M17" s="534"/>
      <c r="N17" s="546"/>
      <c r="O17" s="481"/>
      <c r="P17" s="481"/>
      <c r="Q17" s="481"/>
      <c r="R17" s="481"/>
      <c r="S17" s="481"/>
      <c r="T17" s="481"/>
      <c r="U17" s="481"/>
      <c r="V17" s="547"/>
      <c r="W17" s="539"/>
      <c r="X17" s="539"/>
      <c r="Y17" s="534"/>
      <c r="Z17" s="546"/>
      <c r="AA17" s="481"/>
      <c r="AB17" s="547"/>
    </row>
    <row r="18" spans="1:28" s="20" customFormat="1" ht="29.25" thickBot="1">
      <c r="A18" s="522"/>
      <c r="B18" s="498"/>
      <c r="C18" s="498"/>
      <c r="D18" s="523"/>
      <c r="E18" s="535"/>
      <c r="F18" s="536"/>
      <c r="G18" s="535"/>
      <c r="H18" s="507"/>
      <c r="I18" s="536"/>
      <c r="J18" s="542"/>
      <c r="K18" s="540"/>
      <c r="L18" s="540"/>
      <c r="M18" s="538"/>
      <c r="N18" s="546"/>
      <c r="O18" s="481"/>
      <c r="P18" s="481"/>
      <c r="Q18" s="481"/>
      <c r="R18" s="481"/>
      <c r="S18" s="481"/>
      <c r="T18" s="481"/>
      <c r="U18" s="481"/>
      <c r="V18" s="547"/>
      <c r="W18" s="540"/>
      <c r="X18" s="540"/>
      <c r="Y18" s="538"/>
      <c r="Z18" s="546"/>
      <c r="AA18" s="481"/>
      <c r="AB18" s="547"/>
    </row>
    <row r="19" spans="1:28" s="20" customFormat="1" ht="29.25" thickTop="1">
      <c r="A19" s="522"/>
      <c r="B19" s="498"/>
      <c r="C19" s="498"/>
      <c r="D19" s="523"/>
      <c r="E19" s="535"/>
      <c r="F19" s="536"/>
      <c r="G19" s="535"/>
      <c r="H19" s="507"/>
      <c r="I19" s="536"/>
      <c r="J19" s="541" t="s">
        <v>48</v>
      </c>
      <c r="K19" s="539"/>
      <c r="L19" s="539"/>
      <c r="M19" s="534"/>
      <c r="N19" s="546"/>
      <c r="O19" s="481"/>
      <c r="P19" s="481"/>
      <c r="Q19" s="481"/>
      <c r="R19" s="481"/>
      <c r="S19" s="481"/>
      <c r="T19" s="481"/>
      <c r="U19" s="481"/>
      <c r="V19" s="547"/>
      <c r="W19" s="539"/>
      <c r="X19" s="539"/>
      <c r="Y19" s="534"/>
      <c r="Z19" s="546"/>
      <c r="AA19" s="481"/>
      <c r="AB19" s="547"/>
    </row>
    <row r="20" spans="1:28" s="20" customFormat="1" ht="29.25" thickBot="1">
      <c r="A20" s="524"/>
      <c r="B20" s="525"/>
      <c r="C20" s="525"/>
      <c r="D20" s="526"/>
      <c r="E20" s="537"/>
      <c r="F20" s="538"/>
      <c r="G20" s="537"/>
      <c r="H20" s="540"/>
      <c r="I20" s="538"/>
      <c r="J20" s="542"/>
      <c r="K20" s="540"/>
      <c r="L20" s="540"/>
      <c r="M20" s="538"/>
      <c r="N20" s="548"/>
      <c r="O20" s="549"/>
      <c r="P20" s="549"/>
      <c r="Q20" s="549"/>
      <c r="R20" s="549"/>
      <c r="S20" s="549"/>
      <c r="T20" s="549"/>
      <c r="U20" s="549"/>
      <c r="V20" s="550"/>
      <c r="W20" s="540"/>
      <c r="X20" s="540"/>
      <c r="Y20" s="538"/>
      <c r="Z20" s="548"/>
      <c r="AA20" s="549"/>
      <c r="AB20" s="550"/>
    </row>
    <row r="21" spans="1:28" ht="18.75" thickTop="1"/>
  </sheetData>
  <mergeCells count="46">
    <mergeCell ref="A1:AB1"/>
    <mergeCell ref="AC1:AC16"/>
    <mergeCell ref="A2:AB2"/>
    <mergeCell ref="A3:E3"/>
    <mergeCell ref="F3:G3"/>
    <mergeCell ref="H3:AB4"/>
    <mergeCell ref="A4:E4"/>
    <mergeCell ref="F4:G4"/>
    <mergeCell ref="A5:E5"/>
    <mergeCell ref="F5:G5"/>
    <mergeCell ref="H5:AB5"/>
    <mergeCell ref="A6:A7"/>
    <mergeCell ref="B6:G7"/>
    <mergeCell ref="H6:H7"/>
    <mergeCell ref="I6:I7"/>
    <mergeCell ref="J6:J7"/>
    <mergeCell ref="K6:V6"/>
    <mergeCell ref="W6:Y6"/>
    <mergeCell ref="Z6:AB7"/>
    <mergeCell ref="B8:G8"/>
    <mergeCell ref="Z8:AB8"/>
    <mergeCell ref="B9:G9"/>
    <mergeCell ref="Z9:AB9"/>
    <mergeCell ref="B10:G10"/>
    <mergeCell ref="Z10:AB10"/>
    <mergeCell ref="B11:G11"/>
    <mergeCell ref="Z11:AB11"/>
    <mergeCell ref="B12:G12"/>
    <mergeCell ref="Z12:AB12"/>
    <mergeCell ref="B13:G13"/>
    <mergeCell ref="Z13:AB13"/>
    <mergeCell ref="B15:G15"/>
    <mergeCell ref="Z15:AB15"/>
    <mergeCell ref="A16:D20"/>
    <mergeCell ref="E16:I16"/>
    <mergeCell ref="J16:M16"/>
    <mergeCell ref="N16:V20"/>
    <mergeCell ref="Z16:AB20"/>
    <mergeCell ref="E17:F20"/>
    <mergeCell ref="G17:I20"/>
    <mergeCell ref="J17:J18"/>
    <mergeCell ref="K17:M18"/>
    <mergeCell ref="W17:Y18"/>
    <mergeCell ref="J19:J20"/>
    <mergeCell ref="K19:M20"/>
    <mergeCell ref="W19:Y20"/>
  </mergeCells>
  <printOptions horizontalCentered="1"/>
  <pageMargins left="0" right="0" top="1.75" bottom="0" header="0" footer="0"/>
  <pageSetup scale="43"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15C2-4C33-40DE-B1E8-DD6C39173726}">
  <dimension ref="A1:AE21"/>
  <sheetViews>
    <sheetView rightToLeft="1" zoomScale="70" zoomScaleNormal="70" zoomScaleSheetLayoutView="70" workbookViewId="0">
      <selection activeCell="AE15" sqref="AE1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4" width="4.7109375" style="21" customWidth="1"/>
    <col min="25" max="25" width="6.7109375" style="21" bestFit="1" customWidth="1"/>
    <col min="26" max="26" width="4.42578125" style="21" bestFit="1" customWidth="1"/>
    <col min="27" max="27" width="7.140625" style="21" customWidth="1"/>
    <col min="28" max="28" width="26.85546875" style="21" customWidth="1"/>
    <col min="29" max="29" width="3.140625" style="2" customWidth="1"/>
    <col min="30" max="30" width="4.140625" style="2" customWidth="1"/>
    <col min="31" max="16384" width="9.140625" style="2"/>
  </cols>
  <sheetData>
    <row r="1" spans="1:31" ht="74.25" thickTop="1" thickBot="1">
      <c r="A1" s="552" t="s">
        <v>577</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4"/>
      <c r="AC1" s="451"/>
    </row>
    <row r="2" spans="1:31"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556"/>
      <c r="AC2" s="451"/>
    </row>
    <row r="3" spans="1:31" s="3" customFormat="1" ht="29.25" thickTop="1">
      <c r="A3" s="656" t="s">
        <v>965</v>
      </c>
      <c r="B3" s="657"/>
      <c r="C3" s="657"/>
      <c r="D3" s="657"/>
      <c r="E3" s="658"/>
      <c r="F3" s="659" t="s">
        <v>178</v>
      </c>
      <c r="G3" s="660"/>
      <c r="H3" s="697" t="s">
        <v>966</v>
      </c>
      <c r="I3" s="770"/>
      <c r="J3" s="770"/>
      <c r="K3" s="770"/>
      <c r="L3" s="770"/>
      <c r="M3" s="770"/>
      <c r="N3" s="770"/>
      <c r="O3" s="770"/>
      <c r="P3" s="770"/>
      <c r="Q3" s="770"/>
      <c r="R3" s="770"/>
      <c r="S3" s="770"/>
      <c r="T3" s="770"/>
      <c r="U3" s="770"/>
      <c r="V3" s="770"/>
      <c r="W3" s="770"/>
      <c r="X3" s="770"/>
      <c r="Y3" s="770"/>
      <c r="Z3" s="770"/>
      <c r="AA3" s="770"/>
      <c r="AB3" s="771"/>
      <c r="AC3" s="451"/>
    </row>
    <row r="4" spans="1:31" s="3" customFormat="1" ht="28.5">
      <c r="A4" s="667" t="s">
        <v>967</v>
      </c>
      <c r="B4" s="668"/>
      <c r="C4" s="668"/>
      <c r="D4" s="668"/>
      <c r="E4" s="669"/>
      <c r="F4" s="670" t="s">
        <v>968</v>
      </c>
      <c r="G4" s="671"/>
      <c r="H4" s="772"/>
      <c r="I4" s="773"/>
      <c r="J4" s="773"/>
      <c r="K4" s="773"/>
      <c r="L4" s="773"/>
      <c r="M4" s="773"/>
      <c r="N4" s="773"/>
      <c r="O4" s="773"/>
      <c r="P4" s="773"/>
      <c r="Q4" s="773"/>
      <c r="R4" s="773"/>
      <c r="S4" s="773"/>
      <c r="T4" s="773"/>
      <c r="U4" s="773"/>
      <c r="V4" s="773"/>
      <c r="W4" s="773"/>
      <c r="X4" s="773"/>
      <c r="Y4" s="773"/>
      <c r="Z4" s="773"/>
      <c r="AA4" s="773"/>
      <c r="AB4" s="774"/>
      <c r="AC4" s="451"/>
    </row>
    <row r="5" spans="1:31" s="3" customFormat="1" ht="29.25" thickBot="1">
      <c r="A5" s="775" t="s">
        <v>969</v>
      </c>
      <c r="B5" s="776"/>
      <c r="C5" s="776"/>
      <c r="D5" s="776"/>
      <c r="E5" s="777"/>
      <c r="F5" s="778" t="s">
        <v>970</v>
      </c>
      <c r="G5" s="778"/>
      <c r="H5" s="779" t="s">
        <v>714</v>
      </c>
      <c r="I5" s="780"/>
      <c r="J5" s="780"/>
      <c r="K5" s="780"/>
      <c r="L5" s="780"/>
      <c r="M5" s="780"/>
      <c r="N5" s="780"/>
      <c r="O5" s="780"/>
      <c r="P5" s="780"/>
      <c r="Q5" s="780"/>
      <c r="R5" s="780"/>
      <c r="S5" s="780"/>
      <c r="T5" s="780"/>
      <c r="U5" s="780"/>
      <c r="V5" s="780"/>
      <c r="W5" s="780"/>
      <c r="X5" s="780"/>
      <c r="Y5" s="780"/>
      <c r="Z5" s="780"/>
      <c r="AA5" s="780"/>
      <c r="AB5" s="781"/>
      <c r="AC5" s="451"/>
    </row>
    <row r="6" spans="1:31" ht="29.25" thickTop="1">
      <c r="A6" s="782" t="s">
        <v>9</v>
      </c>
      <c r="B6" s="764" t="s">
        <v>58</v>
      </c>
      <c r="C6" s="520"/>
      <c r="D6" s="520"/>
      <c r="E6" s="520"/>
      <c r="F6" s="520"/>
      <c r="G6" s="784"/>
      <c r="H6" s="786" t="s">
        <v>59</v>
      </c>
      <c r="I6" s="788" t="s">
        <v>60</v>
      </c>
      <c r="J6" s="786" t="s">
        <v>61</v>
      </c>
      <c r="K6" s="758" t="s">
        <v>971</v>
      </c>
      <c r="L6" s="759"/>
      <c r="M6" s="759"/>
      <c r="N6" s="759"/>
      <c r="O6" s="759"/>
      <c r="P6" s="759"/>
      <c r="Q6" s="759"/>
      <c r="R6" s="759"/>
      <c r="S6" s="759"/>
      <c r="T6" s="759"/>
      <c r="U6" s="759"/>
      <c r="V6" s="760"/>
      <c r="W6" s="758">
        <v>1405</v>
      </c>
      <c r="X6" s="759"/>
      <c r="Y6" s="760"/>
      <c r="Z6" s="764" t="s">
        <v>63</v>
      </c>
      <c r="AA6" s="520"/>
      <c r="AB6" s="521"/>
      <c r="AC6" s="451"/>
    </row>
    <row r="7" spans="1:31" ht="56.25" thickBot="1">
      <c r="A7" s="783"/>
      <c r="B7" s="765"/>
      <c r="C7" s="525"/>
      <c r="D7" s="525"/>
      <c r="E7" s="525"/>
      <c r="F7" s="525"/>
      <c r="G7" s="785"/>
      <c r="H7" s="787"/>
      <c r="I7" s="787"/>
      <c r="J7" s="787"/>
      <c r="K7" s="247" t="s">
        <v>16</v>
      </c>
      <c r="L7" s="247" t="s">
        <v>17</v>
      </c>
      <c r="M7" s="247" t="s">
        <v>18</v>
      </c>
      <c r="N7" s="247" t="s">
        <v>19</v>
      </c>
      <c r="O7" s="247" t="s">
        <v>20</v>
      </c>
      <c r="P7" s="247" t="s">
        <v>21</v>
      </c>
      <c r="Q7" s="247" t="s">
        <v>22</v>
      </c>
      <c r="R7" s="247" t="s">
        <v>23</v>
      </c>
      <c r="S7" s="247" t="s">
        <v>24</v>
      </c>
      <c r="T7" s="247" t="s">
        <v>25</v>
      </c>
      <c r="U7" s="247" t="s">
        <v>26</v>
      </c>
      <c r="V7" s="247" t="s">
        <v>27</v>
      </c>
      <c r="W7" s="247" t="s">
        <v>16</v>
      </c>
      <c r="X7" s="247" t="s">
        <v>17</v>
      </c>
      <c r="Y7" s="247" t="s">
        <v>18</v>
      </c>
      <c r="Z7" s="765"/>
      <c r="AA7" s="525"/>
      <c r="AB7" s="526"/>
      <c r="AC7" s="451"/>
    </row>
    <row r="8" spans="1:31" s="14" customFormat="1" ht="45" customHeight="1" thickTop="1">
      <c r="A8" s="248" t="s">
        <v>28</v>
      </c>
      <c r="B8" s="766" t="s">
        <v>972</v>
      </c>
      <c r="C8" s="766"/>
      <c r="D8" s="766"/>
      <c r="E8" s="766"/>
      <c r="F8" s="766"/>
      <c r="G8" s="766"/>
      <c r="H8" s="249">
        <v>0.1</v>
      </c>
      <c r="I8" s="250" t="s">
        <v>942</v>
      </c>
      <c r="J8" s="250"/>
      <c r="K8" s="251" t="s">
        <v>246</v>
      </c>
      <c r="L8" s="251"/>
      <c r="M8" s="251"/>
      <c r="N8" s="251"/>
      <c r="O8" s="251"/>
      <c r="P8" s="251"/>
      <c r="Q8" s="251"/>
      <c r="R8" s="251"/>
      <c r="S8" s="251"/>
      <c r="T8" s="251"/>
      <c r="U8" s="251"/>
      <c r="V8" s="251"/>
      <c r="W8" s="251"/>
      <c r="X8" s="251"/>
      <c r="Y8" s="251"/>
      <c r="Z8" s="767"/>
      <c r="AA8" s="768"/>
      <c r="AB8" s="769"/>
      <c r="AC8" s="451"/>
    </row>
    <row r="9" spans="1:31" s="14" customFormat="1" ht="45" customHeight="1">
      <c r="A9" s="252" t="s">
        <v>66</v>
      </c>
      <c r="B9" s="551" t="s">
        <v>973</v>
      </c>
      <c r="C9" s="551"/>
      <c r="D9" s="551"/>
      <c r="E9" s="551"/>
      <c r="F9" s="551"/>
      <c r="G9" s="551"/>
      <c r="H9" s="226">
        <v>0.2</v>
      </c>
      <c r="I9" s="9" t="s">
        <v>974</v>
      </c>
      <c r="J9" s="9"/>
      <c r="K9" s="16"/>
      <c r="L9" s="16" t="s">
        <v>246</v>
      </c>
      <c r="M9" s="16" t="s">
        <v>246</v>
      </c>
      <c r="N9" s="16" t="s">
        <v>246</v>
      </c>
      <c r="O9" s="16" t="s">
        <v>246</v>
      </c>
      <c r="P9" s="16"/>
      <c r="Q9" s="16"/>
      <c r="R9" s="16"/>
      <c r="S9" s="16"/>
      <c r="T9" s="16"/>
      <c r="U9" s="16"/>
      <c r="V9" s="16"/>
      <c r="W9" s="16"/>
      <c r="X9" s="16"/>
      <c r="Y9" s="16"/>
      <c r="Z9" s="597"/>
      <c r="AA9" s="597"/>
      <c r="AB9" s="752"/>
      <c r="AC9" s="451"/>
    </row>
    <row r="10" spans="1:31" s="14" customFormat="1" ht="45" customHeight="1">
      <c r="A10" s="252" t="s">
        <v>68</v>
      </c>
      <c r="B10" s="551" t="s">
        <v>975</v>
      </c>
      <c r="C10" s="551"/>
      <c r="D10" s="551"/>
      <c r="E10" s="551"/>
      <c r="F10" s="551"/>
      <c r="G10" s="551"/>
      <c r="H10" s="226">
        <v>0.1</v>
      </c>
      <c r="I10" s="9" t="s">
        <v>942</v>
      </c>
      <c r="J10" s="9"/>
      <c r="K10" s="16"/>
      <c r="L10" s="16"/>
      <c r="M10" s="16"/>
      <c r="N10" s="16"/>
      <c r="O10" s="16"/>
      <c r="P10" s="16" t="s">
        <v>246</v>
      </c>
      <c r="Q10" s="16" t="s">
        <v>246</v>
      </c>
      <c r="R10" s="16"/>
      <c r="S10" s="16"/>
      <c r="T10" s="16"/>
      <c r="U10" s="16"/>
      <c r="V10" s="16"/>
      <c r="W10" s="16"/>
      <c r="X10" s="16"/>
      <c r="Y10" s="16"/>
      <c r="Z10" s="518"/>
      <c r="AA10" s="518"/>
      <c r="AB10" s="753"/>
      <c r="AC10" s="451"/>
    </row>
    <row r="11" spans="1:31" s="14" customFormat="1" ht="45" customHeight="1">
      <c r="A11" s="252" t="s">
        <v>70</v>
      </c>
      <c r="B11" s="551" t="s">
        <v>976</v>
      </c>
      <c r="C11" s="551"/>
      <c r="D11" s="551"/>
      <c r="E11" s="551"/>
      <c r="F11" s="551"/>
      <c r="G11" s="551"/>
      <c r="H11" s="226">
        <v>0.2</v>
      </c>
      <c r="I11" s="9" t="s">
        <v>942</v>
      </c>
      <c r="J11" s="9"/>
      <c r="K11" s="16"/>
      <c r="L11" s="16"/>
      <c r="M11" s="16"/>
      <c r="N11" s="16"/>
      <c r="O11" s="16"/>
      <c r="P11" s="16"/>
      <c r="Q11" s="16"/>
      <c r="R11" s="16" t="s">
        <v>246</v>
      </c>
      <c r="S11" s="16"/>
      <c r="T11" s="16"/>
      <c r="U11" s="16"/>
      <c r="V11" s="16"/>
      <c r="W11" s="16"/>
      <c r="X11" s="16"/>
      <c r="Y11" s="16"/>
      <c r="Z11" s="518"/>
      <c r="AA11" s="518"/>
      <c r="AB11" s="753"/>
      <c r="AC11" s="451"/>
    </row>
    <row r="12" spans="1:31" s="14" customFormat="1" ht="45" customHeight="1">
      <c r="A12" s="252" t="s">
        <v>153</v>
      </c>
      <c r="B12" s="551" t="s">
        <v>977</v>
      </c>
      <c r="C12" s="551"/>
      <c r="D12" s="551"/>
      <c r="E12" s="551"/>
      <c r="F12" s="551"/>
      <c r="G12" s="551"/>
      <c r="H12" s="226">
        <v>0.1</v>
      </c>
      <c r="I12" s="9" t="s">
        <v>942</v>
      </c>
      <c r="J12" s="9"/>
      <c r="K12" s="16"/>
      <c r="L12" s="16"/>
      <c r="M12" s="16"/>
      <c r="N12" s="16"/>
      <c r="O12" s="16"/>
      <c r="P12" s="16"/>
      <c r="Q12" s="16"/>
      <c r="R12" s="16" t="s">
        <v>246</v>
      </c>
      <c r="S12" s="16"/>
      <c r="T12" s="16"/>
      <c r="U12" s="16"/>
      <c r="V12" s="16"/>
      <c r="W12" s="16"/>
      <c r="X12" s="16"/>
      <c r="Y12" s="16"/>
      <c r="Z12" s="597"/>
      <c r="AA12" s="597"/>
      <c r="AB12" s="752"/>
      <c r="AC12" s="451"/>
    </row>
    <row r="13" spans="1:31" s="14" customFormat="1" ht="45" customHeight="1">
      <c r="A13" s="252" t="s">
        <v>155</v>
      </c>
      <c r="B13" s="530" t="s">
        <v>978</v>
      </c>
      <c r="C13" s="531"/>
      <c r="D13" s="531"/>
      <c r="E13" s="531"/>
      <c r="F13" s="531"/>
      <c r="G13" s="532"/>
      <c r="H13" s="226">
        <v>0.1</v>
      </c>
      <c r="I13" s="9" t="s">
        <v>942</v>
      </c>
      <c r="J13" s="9"/>
      <c r="K13" s="16"/>
      <c r="L13" s="16"/>
      <c r="M13" s="16"/>
      <c r="N13" s="16"/>
      <c r="O13" s="16"/>
      <c r="P13" s="16"/>
      <c r="Q13" s="16"/>
      <c r="R13" s="16"/>
      <c r="S13" s="16" t="s">
        <v>246</v>
      </c>
      <c r="T13" s="16"/>
      <c r="U13" s="16"/>
      <c r="V13" s="16"/>
      <c r="W13" s="16"/>
      <c r="X13" s="16"/>
      <c r="Y13" s="16"/>
      <c r="Z13" s="518"/>
      <c r="AA13" s="518"/>
      <c r="AB13" s="753"/>
      <c r="AC13" s="451"/>
    </row>
    <row r="14" spans="1:31" s="14" customFormat="1" ht="45" customHeight="1">
      <c r="A14" s="252" t="s">
        <v>156</v>
      </c>
      <c r="B14" s="253" t="s">
        <v>979</v>
      </c>
      <c r="C14" s="254"/>
      <c r="D14" s="254"/>
      <c r="E14" s="254"/>
      <c r="F14" s="254"/>
      <c r="G14" s="255"/>
      <c r="H14" s="256">
        <v>0.1</v>
      </c>
      <c r="I14" s="9" t="s">
        <v>980</v>
      </c>
      <c r="J14" s="257"/>
      <c r="K14" s="258"/>
      <c r="L14" s="258"/>
      <c r="M14" s="258"/>
      <c r="N14" s="258"/>
      <c r="O14" s="258"/>
      <c r="P14" s="258"/>
      <c r="Q14" s="258"/>
      <c r="R14" s="258"/>
      <c r="S14" s="258"/>
      <c r="T14" s="258"/>
      <c r="U14" s="258"/>
      <c r="V14" s="258"/>
      <c r="W14" s="258"/>
      <c r="X14" s="258"/>
      <c r="Y14" s="258" t="s">
        <v>246</v>
      </c>
      <c r="Z14" s="27"/>
      <c r="AA14" s="28"/>
      <c r="AB14" s="259"/>
      <c r="AC14" s="451"/>
      <c r="AE14" s="14">
        <v>10</v>
      </c>
    </row>
    <row r="15" spans="1:31" s="14" customFormat="1" ht="45" customHeight="1" thickBot="1">
      <c r="A15" s="252" t="s">
        <v>853</v>
      </c>
      <c r="B15" s="754" t="s">
        <v>981</v>
      </c>
      <c r="C15" s="754"/>
      <c r="D15" s="754"/>
      <c r="E15" s="754"/>
      <c r="F15" s="754"/>
      <c r="G15" s="754"/>
      <c r="H15" s="260">
        <v>0.1</v>
      </c>
      <c r="I15" s="9" t="s">
        <v>942</v>
      </c>
      <c r="J15" s="261"/>
      <c r="K15" s="262"/>
      <c r="L15" s="262"/>
      <c r="M15" s="262"/>
      <c r="N15" s="262"/>
      <c r="O15" s="262"/>
      <c r="P15" s="262"/>
      <c r="Q15" s="262"/>
      <c r="R15" s="262"/>
      <c r="S15" s="262"/>
      <c r="T15" s="262"/>
      <c r="U15" s="262" t="s">
        <v>246</v>
      </c>
      <c r="V15" s="262" t="s">
        <v>246</v>
      </c>
      <c r="W15" s="262"/>
      <c r="X15" s="262"/>
      <c r="Y15" s="262"/>
      <c r="Z15" s="755"/>
      <c r="AA15" s="756"/>
      <c r="AB15" s="757"/>
      <c r="AC15" s="451"/>
    </row>
    <row r="16" spans="1:31" ht="30" thickTop="1" thickBot="1">
      <c r="A16" s="519" t="s">
        <v>72</v>
      </c>
      <c r="B16" s="520"/>
      <c r="C16" s="520"/>
      <c r="D16" s="521"/>
      <c r="E16" s="527" t="s">
        <v>73</v>
      </c>
      <c r="F16" s="528"/>
      <c r="G16" s="528"/>
      <c r="H16" s="528"/>
      <c r="I16" s="528"/>
      <c r="J16" s="527" t="s">
        <v>74</v>
      </c>
      <c r="K16" s="528"/>
      <c r="L16" s="528"/>
      <c r="M16" s="529"/>
      <c r="N16" s="543" t="s">
        <v>75</v>
      </c>
      <c r="O16" s="544"/>
      <c r="P16" s="544"/>
      <c r="Q16" s="544"/>
      <c r="R16" s="544"/>
      <c r="S16" s="544"/>
      <c r="T16" s="544"/>
      <c r="U16" s="544"/>
      <c r="V16" s="545"/>
      <c r="W16" s="29"/>
      <c r="X16" s="29"/>
      <c r="Y16" s="29"/>
      <c r="Z16" s="543" t="s">
        <v>76</v>
      </c>
      <c r="AA16" s="544"/>
      <c r="AB16" s="545"/>
      <c r="AC16" s="451"/>
    </row>
    <row r="17" spans="1:28" s="20" customFormat="1" ht="29.25" thickTop="1">
      <c r="A17" s="522"/>
      <c r="B17" s="498"/>
      <c r="C17" s="498"/>
      <c r="D17" s="523"/>
      <c r="E17" s="533"/>
      <c r="F17" s="534"/>
      <c r="G17" s="533"/>
      <c r="H17" s="539"/>
      <c r="I17" s="534"/>
      <c r="J17" s="541" t="s">
        <v>47</v>
      </c>
      <c r="K17" s="539"/>
      <c r="L17" s="539"/>
      <c r="M17" s="534"/>
      <c r="N17" s="546"/>
      <c r="O17" s="481"/>
      <c r="P17" s="481"/>
      <c r="Q17" s="481"/>
      <c r="R17" s="481"/>
      <c r="S17" s="481"/>
      <c r="T17" s="481"/>
      <c r="U17" s="481"/>
      <c r="V17" s="547"/>
      <c r="W17" s="539"/>
      <c r="X17" s="539"/>
      <c r="Y17" s="534"/>
      <c r="Z17" s="546"/>
      <c r="AA17" s="481"/>
      <c r="AB17" s="547"/>
    </row>
    <row r="18" spans="1:28" s="20" customFormat="1" ht="29.25" thickBot="1">
      <c r="A18" s="522"/>
      <c r="B18" s="498"/>
      <c r="C18" s="498"/>
      <c r="D18" s="523"/>
      <c r="E18" s="535"/>
      <c r="F18" s="536"/>
      <c r="G18" s="535"/>
      <c r="H18" s="507"/>
      <c r="I18" s="536"/>
      <c r="J18" s="542"/>
      <c r="K18" s="540"/>
      <c r="L18" s="540"/>
      <c r="M18" s="538"/>
      <c r="N18" s="546"/>
      <c r="O18" s="481"/>
      <c r="P18" s="481"/>
      <c r="Q18" s="481"/>
      <c r="R18" s="481"/>
      <c r="S18" s="481"/>
      <c r="T18" s="481"/>
      <c r="U18" s="481"/>
      <c r="V18" s="547"/>
      <c r="W18" s="540"/>
      <c r="X18" s="540"/>
      <c r="Y18" s="538"/>
      <c r="Z18" s="546"/>
      <c r="AA18" s="481"/>
      <c r="AB18" s="547"/>
    </row>
    <row r="19" spans="1:28" s="20" customFormat="1" ht="29.25" thickTop="1">
      <c r="A19" s="522"/>
      <c r="B19" s="498"/>
      <c r="C19" s="498"/>
      <c r="D19" s="523"/>
      <c r="E19" s="535"/>
      <c r="F19" s="536"/>
      <c r="G19" s="535"/>
      <c r="H19" s="507"/>
      <c r="I19" s="536"/>
      <c r="J19" s="541" t="s">
        <v>48</v>
      </c>
      <c r="K19" s="539"/>
      <c r="L19" s="539"/>
      <c r="M19" s="534"/>
      <c r="N19" s="546"/>
      <c r="O19" s="481"/>
      <c r="P19" s="481"/>
      <c r="Q19" s="481"/>
      <c r="R19" s="481"/>
      <c r="S19" s="481"/>
      <c r="T19" s="481"/>
      <c r="U19" s="481"/>
      <c r="V19" s="547"/>
      <c r="W19" s="539"/>
      <c r="X19" s="539"/>
      <c r="Y19" s="534"/>
      <c r="Z19" s="546"/>
      <c r="AA19" s="481"/>
      <c r="AB19" s="547"/>
    </row>
    <row r="20" spans="1:28" s="20" customFormat="1" ht="29.25" thickBot="1">
      <c r="A20" s="524"/>
      <c r="B20" s="525"/>
      <c r="C20" s="525"/>
      <c r="D20" s="526"/>
      <c r="E20" s="537"/>
      <c r="F20" s="538"/>
      <c r="G20" s="537"/>
      <c r="H20" s="540"/>
      <c r="I20" s="538"/>
      <c r="J20" s="542"/>
      <c r="K20" s="540"/>
      <c r="L20" s="540"/>
      <c r="M20" s="538"/>
      <c r="N20" s="548"/>
      <c r="O20" s="549"/>
      <c r="P20" s="549"/>
      <c r="Q20" s="549"/>
      <c r="R20" s="549"/>
      <c r="S20" s="549"/>
      <c r="T20" s="549"/>
      <c r="U20" s="549"/>
      <c r="V20" s="550"/>
      <c r="W20" s="540"/>
      <c r="X20" s="540"/>
      <c r="Y20" s="538"/>
      <c r="Z20" s="548"/>
      <c r="AA20" s="549"/>
      <c r="AB20" s="550"/>
    </row>
    <row r="21" spans="1:28" ht="18.75" thickTop="1"/>
  </sheetData>
  <mergeCells count="46">
    <mergeCell ref="A1:AB1"/>
    <mergeCell ref="AC1:AC16"/>
    <mergeCell ref="A2:AB2"/>
    <mergeCell ref="A3:E3"/>
    <mergeCell ref="F3:G3"/>
    <mergeCell ref="H3:AB4"/>
    <mergeCell ref="A4:E4"/>
    <mergeCell ref="F4:G4"/>
    <mergeCell ref="A5:E5"/>
    <mergeCell ref="F5:G5"/>
    <mergeCell ref="H5:AB5"/>
    <mergeCell ref="A6:A7"/>
    <mergeCell ref="B6:G7"/>
    <mergeCell ref="H6:H7"/>
    <mergeCell ref="I6:I7"/>
    <mergeCell ref="J6:J7"/>
    <mergeCell ref="K6:V6"/>
    <mergeCell ref="W6:Y6"/>
    <mergeCell ref="Z6:AB7"/>
    <mergeCell ref="B8:G8"/>
    <mergeCell ref="Z8:AB8"/>
    <mergeCell ref="B9:G9"/>
    <mergeCell ref="Z9:AB9"/>
    <mergeCell ref="B10:G10"/>
    <mergeCell ref="Z10:AB10"/>
    <mergeCell ref="B11:G11"/>
    <mergeCell ref="Z11:AB11"/>
    <mergeCell ref="B12:G12"/>
    <mergeCell ref="Z12:AB12"/>
    <mergeCell ref="B13:G13"/>
    <mergeCell ref="Z13:AB13"/>
    <mergeCell ref="B15:G15"/>
    <mergeCell ref="Z15:AB15"/>
    <mergeCell ref="A16:D20"/>
    <mergeCell ref="E16:I16"/>
    <mergeCell ref="J16:M16"/>
    <mergeCell ref="N16:V20"/>
    <mergeCell ref="Z16:AB20"/>
    <mergeCell ref="E17:F20"/>
    <mergeCell ref="G17:I20"/>
    <mergeCell ref="J17:J18"/>
    <mergeCell ref="K17:M18"/>
    <mergeCell ref="W17:Y18"/>
    <mergeCell ref="J19:J20"/>
    <mergeCell ref="K19:M20"/>
    <mergeCell ref="W19:Y20"/>
  </mergeCells>
  <printOptions horizontalCentered="1"/>
  <pageMargins left="0" right="0" top="1.75" bottom="0" header="0" footer="0"/>
  <pageSetup scale="45"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8EDC-65CA-4BB7-9063-0D4F654DBB69}">
  <dimension ref="A1:Z19"/>
  <sheetViews>
    <sheetView rightToLeft="1" topLeftCell="C1" zoomScale="90" zoomScaleNormal="90" zoomScaleSheetLayoutView="85" workbookViewId="0">
      <selection activeCell="H5" sqref="H5:Y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53.2851562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962</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923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924</v>
      </c>
      <c r="B5" s="673"/>
      <c r="C5" s="673"/>
      <c r="D5" s="673"/>
      <c r="E5" s="674"/>
      <c r="F5" s="675" t="s">
        <v>934</v>
      </c>
      <c r="G5" s="675"/>
      <c r="H5" s="676" t="s">
        <v>561</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963</v>
      </c>
      <c r="C8" s="551"/>
      <c r="D8" s="551"/>
      <c r="E8" s="551"/>
      <c r="F8" s="551"/>
      <c r="G8" s="551"/>
      <c r="H8" s="246">
        <v>0.3</v>
      </c>
      <c r="I8" s="9" t="s">
        <v>959</v>
      </c>
      <c r="J8" s="9"/>
      <c r="K8" s="16"/>
      <c r="L8" s="16"/>
      <c r="M8" s="16"/>
      <c r="N8" s="16" t="s">
        <v>246</v>
      </c>
      <c r="O8" s="16" t="s">
        <v>246</v>
      </c>
      <c r="P8" s="16" t="s">
        <v>246</v>
      </c>
      <c r="Q8" s="16"/>
      <c r="R8" s="16"/>
      <c r="S8" s="16"/>
      <c r="T8" s="16"/>
      <c r="U8" s="16"/>
      <c r="V8" s="16"/>
      <c r="W8" s="597"/>
      <c r="X8" s="597"/>
      <c r="Y8" s="597"/>
      <c r="Z8" s="451"/>
    </row>
    <row r="9" spans="1:26" s="14" customFormat="1" ht="24">
      <c r="A9" s="23" t="s">
        <v>66</v>
      </c>
      <c r="B9" s="551" t="s">
        <v>964</v>
      </c>
      <c r="C9" s="551"/>
      <c r="D9" s="551"/>
      <c r="E9" s="551"/>
      <c r="F9" s="551"/>
      <c r="G9" s="551"/>
      <c r="H9" s="246">
        <v>0.1</v>
      </c>
      <c r="I9" s="9" t="s">
        <v>929</v>
      </c>
      <c r="J9" s="9"/>
      <c r="K9" s="16"/>
      <c r="L9" s="16"/>
      <c r="M9" s="16"/>
      <c r="N9" s="16"/>
      <c r="O9" s="16"/>
      <c r="P9" s="16"/>
      <c r="Q9" s="16" t="s">
        <v>246</v>
      </c>
      <c r="R9" s="16"/>
      <c r="S9" s="16"/>
      <c r="T9" s="16"/>
      <c r="U9" s="16"/>
      <c r="V9" s="16"/>
      <c r="W9" s="518"/>
      <c r="X9" s="518"/>
      <c r="Y9" s="518"/>
      <c r="Z9" s="451"/>
    </row>
    <row r="10" spans="1:26" s="14" customFormat="1" ht="24">
      <c r="A10" s="23" t="s">
        <v>68</v>
      </c>
      <c r="B10" s="551" t="s">
        <v>930</v>
      </c>
      <c r="C10" s="551"/>
      <c r="D10" s="551"/>
      <c r="E10" s="551"/>
      <c r="F10" s="551"/>
      <c r="G10" s="551"/>
      <c r="H10" s="246">
        <v>0.3</v>
      </c>
      <c r="I10" s="9" t="s">
        <v>931</v>
      </c>
      <c r="J10" s="9"/>
      <c r="K10" s="16"/>
      <c r="L10" s="16"/>
      <c r="M10" s="16"/>
      <c r="N10" s="16"/>
      <c r="O10" s="16"/>
      <c r="P10" s="16"/>
      <c r="Q10" s="16"/>
      <c r="R10" s="16" t="s">
        <v>246</v>
      </c>
      <c r="S10" s="16"/>
      <c r="T10" s="16"/>
      <c r="U10" s="16"/>
      <c r="V10" s="16"/>
      <c r="W10" s="518"/>
      <c r="X10" s="518"/>
      <c r="Y10" s="518"/>
      <c r="Z10" s="451"/>
    </row>
    <row r="11" spans="1:26" s="14" customFormat="1" ht="24">
      <c r="A11" s="23" t="s">
        <v>70</v>
      </c>
      <c r="B11" s="551" t="s">
        <v>932</v>
      </c>
      <c r="C11" s="551"/>
      <c r="D11" s="551"/>
      <c r="E11" s="551"/>
      <c r="F11" s="551"/>
      <c r="G11" s="551"/>
      <c r="H11" s="246">
        <v>0.3</v>
      </c>
      <c r="I11" s="9" t="s">
        <v>931</v>
      </c>
      <c r="J11" s="9"/>
      <c r="K11" s="16"/>
      <c r="L11" s="16"/>
      <c r="M11" s="16"/>
      <c r="N11" s="16"/>
      <c r="O11" s="16"/>
      <c r="P11" s="16"/>
      <c r="Q11" s="16"/>
      <c r="R11" s="16"/>
      <c r="S11" s="16" t="s">
        <v>246</v>
      </c>
      <c r="T11" s="16"/>
      <c r="U11" s="16"/>
      <c r="V11" s="16"/>
      <c r="W11" s="597"/>
      <c r="X11" s="597"/>
      <c r="Y11" s="597"/>
      <c r="Z11" s="451"/>
    </row>
    <row r="12" spans="1:26" s="14" customFormat="1" ht="24">
      <c r="A12" s="23" t="s">
        <v>153</v>
      </c>
      <c r="B12" s="530"/>
      <c r="C12" s="531"/>
      <c r="D12" s="531"/>
      <c r="E12" s="531"/>
      <c r="F12" s="531"/>
      <c r="G12" s="532"/>
      <c r="H12" s="15"/>
      <c r="I12" s="9"/>
      <c r="J12" s="9"/>
      <c r="K12" s="16"/>
      <c r="L12" s="16"/>
      <c r="M12" s="16"/>
      <c r="N12" s="16"/>
      <c r="O12" s="16"/>
      <c r="P12" s="16"/>
      <c r="Q12" s="16"/>
      <c r="R12" s="16"/>
      <c r="S12" s="16"/>
      <c r="T12" s="16"/>
      <c r="U12" s="16"/>
      <c r="V12" s="16"/>
      <c r="W12" s="518"/>
      <c r="X12" s="518"/>
      <c r="Y12" s="518"/>
      <c r="Z12" s="451"/>
    </row>
    <row r="13" spans="1:26" s="14" customFormat="1" ht="24.75" thickBot="1">
      <c r="A13" s="23" t="s">
        <v>155</v>
      </c>
      <c r="B13" s="551"/>
      <c r="C13" s="551"/>
      <c r="D13" s="551"/>
      <c r="E13" s="551"/>
      <c r="F13" s="551"/>
      <c r="G13" s="551"/>
      <c r="H13" s="15"/>
      <c r="I13" s="9"/>
      <c r="J13" s="9"/>
      <c r="K13" s="232"/>
      <c r="L13" s="232"/>
      <c r="M13" s="232"/>
      <c r="N13" s="232"/>
      <c r="O13" s="232"/>
      <c r="P13" s="232"/>
      <c r="Q13" s="232"/>
      <c r="R13" s="232"/>
      <c r="S13" s="232"/>
      <c r="T13" s="232"/>
      <c r="U13" s="232"/>
      <c r="V13" s="232"/>
      <c r="W13" s="679"/>
      <c r="X13" s="680"/>
      <c r="Y13" s="681"/>
      <c r="Z13" s="451"/>
    </row>
    <row r="14" spans="1:26" ht="30" thickTop="1" thickBot="1">
      <c r="A14" s="519" t="s">
        <v>72</v>
      </c>
      <c r="B14" s="520"/>
      <c r="C14" s="520"/>
      <c r="D14" s="521"/>
      <c r="E14" s="527" t="s">
        <v>73</v>
      </c>
      <c r="F14" s="528"/>
      <c r="G14" s="528"/>
      <c r="H14" s="528"/>
      <c r="I14" s="528"/>
      <c r="J14" s="527" t="s">
        <v>74</v>
      </c>
      <c r="K14" s="528"/>
      <c r="L14" s="528"/>
      <c r="M14" s="529"/>
      <c r="N14" s="543" t="s">
        <v>75</v>
      </c>
      <c r="O14" s="544"/>
      <c r="P14" s="544"/>
      <c r="Q14" s="544"/>
      <c r="R14" s="544"/>
      <c r="S14" s="544"/>
      <c r="T14" s="544"/>
      <c r="U14" s="544"/>
      <c r="V14" s="545"/>
      <c r="W14" s="543" t="s">
        <v>76</v>
      </c>
      <c r="X14" s="544"/>
      <c r="Y14" s="545"/>
      <c r="Z14" s="451"/>
    </row>
    <row r="15" spans="1:26" s="20" customFormat="1" ht="29.25" thickTop="1">
      <c r="A15" s="522"/>
      <c r="B15" s="498"/>
      <c r="C15" s="498"/>
      <c r="D15" s="523"/>
      <c r="E15" s="533"/>
      <c r="F15" s="534"/>
      <c r="G15" s="533"/>
      <c r="H15" s="539"/>
      <c r="I15" s="534"/>
      <c r="J15" s="541" t="s">
        <v>47</v>
      </c>
      <c r="K15" s="539"/>
      <c r="L15" s="539"/>
      <c r="M15" s="534"/>
      <c r="N15" s="546"/>
      <c r="O15" s="481"/>
      <c r="P15" s="481"/>
      <c r="Q15" s="481"/>
      <c r="R15" s="481"/>
      <c r="S15" s="481"/>
      <c r="T15" s="481"/>
      <c r="U15" s="481"/>
      <c r="V15" s="547"/>
      <c r="W15" s="546"/>
      <c r="X15" s="481"/>
      <c r="Y15" s="547"/>
    </row>
    <row r="16" spans="1:26" s="20" customFormat="1" ht="29.25" thickBot="1">
      <c r="A16" s="522"/>
      <c r="B16" s="498"/>
      <c r="C16" s="498"/>
      <c r="D16" s="523"/>
      <c r="E16" s="535"/>
      <c r="F16" s="536"/>
      <c r="G16" s="535"/>
      <c r="H16" s="507"/>
      <c r="I16" s="536"/>
      <c r="J16" s="542"/>
      <c r="K16" s="540"/>
      <c r="L16" s="540"/>
      <c r="M16" s="538"/>
      <c r="N16" s="546"/>
      <c r="O16" s="481"/>
      <c r="P16" s="481"/>
      <c r="Q16" s="481"/>
      <c r="R16" s="481"/>
      <c r="S16" s="481"/>
      <c r="T16" s="481"/>
      <c r="U16" s="481"/>
      <c r="V16" s="547"/>
      <c r="W16" s="546"/>
      <c r="X16" s="481"/>
      <c r="Y16" s="547"/>
    </row>
    <row r="17" spans="1:25" s="20" customFormat="1" ht="29.25" thickTop="1">
      <c r="A17" s="522"/>
      <c r="B17" s="498"/>
      <c r="C17" s="498"/>
      <c r="D17" s="523"/>
      <c r="E17" s="535"/>
      <c r="F17" s="536"/>
      <c r="G17" s="535"/>
      <c r="H17" s="507"/>
      <c r="I17" s="536"/>
      <c r="J17" s="541" t="s">
        <v>48</v>
      </c>
      <c r="K17" s="539"/>
      <c r="L17" s="539"/>
      <c r="M17" s="534"/>
      <c r="N17" s="546"/>
      <c r="O17" s="481"/>
      <c r="P17" s="481"/>
      <c r="Q17" s="481"/>
      <c r="R17" s="481"/>
      <c r="S17" s="481"/>
      <c r="T17" s="481"/>
      <c r="U17" s="481"/>
      <c r="V17" s="547"/>
      <c r="W17" s="546"/>
      <c r="X17" s="481"/>
      <c r="Y17" s="547"/>
    </row>
    <row r="18" spans="1:25" s="20" customFormat="1" ht="29.25" thickBot="1">
      <c r="A18" s="524"/>
      <c r="B18" s="525"/>
      <c r="C18" s="525"/>
      <c r="D18" s="526"/>
      <c r="E18" s="537"/>
      <c r="F18" s="538"/>
      <c r="G18" s="537"/>
      <c r="H18" s="540"/>
      <c r="I18" s="538"/>
      <c r="J18" s="542"/>
      <c r="K18" s="540"/>
      <c r="L18" s="540"/>
      <c r="M18" s="538"/>
      <c r="N18" s="548"/>
      <c r="O18" s="549"/>
      <c r="P18" s="549"/>
      <c r="Q18" s="549"/>
      <c r="R18" s="549"/>
      <c r="S18" s="549"/>
      <c r="T18" s="549"/>
      <c r="U18" s="549"/>
      <c r="V18" s="550"/>
      <c r="W18" s="548"/>
      <c r="X18" s="549"/>
      <c r="Y18" s="550"/>
    </row>
    <row r="19" spans="1:25" ht="18.75" thickTop="1"/>
  </sheetData>
  <mergeCells count="41">
    <mergeCell ref="A1:Y1"/>
    <mergeCell ref="Z1:Z14"/>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W14:Y18"/>
    <mergeCell ref="E15:F18"/>
    <mergeCell ref="G15:I18"/>
    <mergeCell ref="J15:J16"/>
    <mergeCell ref="K15:M16"/>
    <mergeCell ref="J17:J18"/>
    <mergeCell ref="K17:M18"/>
    <mergeCell ref="A14:D18"/>
    <mergeCell ref="E14:I14"/>
    <mergeCell ref="J14:M14"/>
    <mergeCell ref="N14:V18"/>
  </mergeCells>
  <printOptions horizontalCentered="1" verticalCentered="1"/>
  <pageMargins left="0" right="0" top="0" bottom="0" header="0" footer="0"/>
  <pageSetup scale="43"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A3A2-FF9D-4EC9-BE5F-D86EE3A233E6}">
  <dimension ref="A1:Z19"/>
  <sheetViews>
    <sheetView rightToLeft="1" topLeftCell="D4" zoomScale="90" zoomScaleNormal="90" zoomScaleSheetLayoutView="100" workbookViewId="0">
      <selection activeCell="B8" sqref="B8:G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15.85546875" style="21" customWidth="1"/>
    <col min="8" max="8" width="21.140625" style="21" customWidth="1"/>
    <col min="9" max="9" width="26" style="21" customWidth="1"/>
    <col min="10" max="10" width="8.8554687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955</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923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924</v>
      </c>
      <c r="B5" s="673"/>
      <c r="C5" s="673"/>
      <c r="D5" s="673"/>
      <c r="E5" s="674"/>
      <c r="F5" s="675" t="s">
        <v>956</v>
      </c>
      <c r="G5" s="675"/>
      <c r="H5" s="676" t="s">
        <v>957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66</v>
      </c>
      <c r="B8" s="551" t="s">
        <v>958</v>
      </c>
      <c r="C8" s="551"/>
      <c r="D8" s="551"/>
      <c r="E8" s="551"/>
      <c r="F8" s="551"/>
      <c r="G8" s="551"/>
      <c r="H8" s="246">
        <v>0.2</v>
      </c>
      <c r="I8" s="9" t="s">
        <v>959</v>
      </c>
      <c r="J8" s="9"/>
      <c r="K8" s="16"/>
      <c r="L8" s="16"/>
      <c r="M8" s="16"/>
      <c r="N8" s="16"/>
      <c r="O8" s="16"/>
      <c r="P8" s="16" t="s">
        <v>246</v>
      </c>
      <c r="Q8" s="16" t="s">
        <v>246</v>
      </c>
      <c r="R8" s="16"/>
      <c r="S8" s="16"/>
      <c r="T8" s="16"/>
      <c r="U8" s="16"/>
      <c r="V8" s="16"/>
      <c r="W8" s="597"/>
      <c r="X8" s="597"/>
      <c r="Y8" s="597"/>
      <c r="Z8" s="451"/>
    </row>
    <row r="9" spans="1:26" s="14" customFormat="1" ht="24">
      <c r="A9" s="23" t="s">
        <v>68</v>
      </c>
      <c r="B9" s="551" t="s">
        <v>960</v>
      </c>
      <c r="C9" s="551"/>
      <c r="D9" s="551"/>
      <c r="E9" s="551"/>
      <c r="F9" s="551"/>
      <c r="G9" s="551"/>
      <c r="H9" s="246">
        <v>0.1</v>
      </c>
      <c r="I9" s="9" t="s">
        <v>929</v>
      </c>
      <c r="J9" s="9"/>
      <c r="K9" s="16"/>
      <c r="L9" s="16"/>
      <c r="M9" s="16"/>
      <c r="N9" s="16"/>
      <c r="O9" s="16"/>
      <c r="P9" s="16"/>
      <c r="Q9" s="16"/>
      <c r="R9" s="16" t="s">
        <v>246</v>
      </c>
      <c r="S9" s="16"/>
      <c r="T9" s="16"/>
      <c r="U9" s="16"/>
      <c r="V9" s="16"/>
      <c r="W9" s="518"/>
      <c r="X9" s="518"/>
      <c r="Y9" s="518"/>
      <c r="Z9" s="451"/>
    </row>
    <row r="10" spans="1:26" s="14" customFormat="1" ht="24">
      <c r="A10" s="23" t="s">
        <v>70</v>
      </c>
      <c r="B10" s="551" t="s">
        <v>961</v>
      </c>
      <c r="C10" s="551"/>
      <c r="D10" s="551"/>
      <c r="E10" s="551"/>
      <c r="F10" s="551"/>
      <c r="G10" s="551"/>
      <c r="H10" s="246">
        <v>0.3</v>
      </c>
      <c r="I10" s="9" t="s">
        <v>931</v>
      </c>
      <c r="J10" s="9"/>
      <c r="K10" s="16"/>
      <c r="L10" s="16"/>
      <c r="M10" s="16"/>
      <c r="N10" s="16"/>
      <c r="O10" s="16"/>
      <c r="P10" s="16"/>
      <c r="Q10" s="16"/>
      <c r="R10" s="16"/>
      <c r="S10" s="16" t="s">
        <v>246</v>
      </c>
      <c r="T10" s="16"/>
      <c r="U10" s="16"/>
      <c r="V10" s="16"/>
      <c r="W10" s="518"/>
      <c r="X10" s="518"/>
      <c r="Y10" s="518"/>
      <c r="Z10" s="451"/>
    </row>
    <row r="11" spans="1:26" s="14" customFormat="1" ht="24">
      <c r="A11" s="23" t="s">
        <v>153</v>
      </c>
      <c r="B11" s="551" t="s">
        <v>930</v>
      </c>
      <c r="C11" s="551"/>
      <c r="D11" s="551"/>
      <c r="E11" s="551"/>
      <c r="F11" s="551"/>
      <c r="G11" s="551"/>
      <c r="H11" s="246">
        <v>0.2</v>
      </c>
      <c r="I11" s="9" t="s">
        <v>931</v>
      </c>
      <c r="J11" s="9"/>
      <c r="K11" s="16"/>
      <c r="L11" s="16"/>
      <c r="M11" s="16"/>
      <c r="N11" s="16"/>
      <c r="O11" s="16"/>
      <c r="P11" s="16"/>
      <c r="Q11" s="16"/>
      <c r="R11" s="16"/>
      <c r="S11" s="16"/>
      <c r="T11" s="16" t="s">
        <v>246</v>
      </c>
      <c r="U11" s="16"/>
      <c r="V11" s="16"/>
      <c r="W11" s="597"/>
      <c r="X11" s="597"/>
      <c r="Y11" s="597"/>
      <c r="Z11" s="451"/>
    </row>
    <row r="12" spans="1:26" s="14" customFormat="1" ht="24">
      <c r="A12" s="23" t="s">
        <v>155</v>
      </c>
      <c r="B12" s="530" t="s">
        <v>932</v>
      </c>
      <c r="C12" s="531"/>
      <c r="D12" s="531"/>
      <c r="E12" s="531"/>
      <c r="F12" s="531"/>
      <c r="G12" s="532"/>
      <c r="H12" s="246">
        <v>0.2</v>
      </c>
      <c r="I12" s="9" t="s">
        <v>931</v>
      </c>
      <c r="J12" s="9"/>
      <c r="K12" s="16"/>
      <c r="L12" s="16"/>
      <c r="M12" s="16"/>
      <c r="N12" s="16"/>
      <c r="O12" s="16"/>
      <c r="P12" s="16"/>
      <c r="Q12" s="16"/>
      <c r="R12" s="16"/>
      <c r="S12" s="16"/>
      <c r="T12" s="16"/>
      <c r="U12" s="16" t="s">
        <v>246</v>
      </c>
      <c r="V12" s="16"/>
      <c r="W12" s="518"/>
      <c r="X12" s="518"/>
      <c r="Y12" s="518"/>
      <c r="Z12" s="451"/>
    </row>
    <row r="13" spans="1:26" s="14" customFormat="1" ht="24.75" thickBot="1">
      <c r="A13" s="23" t="s">
        <v>156</v>
      </c>
      <c r="B13" s="551"/>
      <c r="C13" s="551"/>
      <c r="D13" s="551"/>
      <c r="E13" s="551"/>
      <c r="F13" s="551"/>
      <c r="G13" s="551"/>
      <c r="H13" s="15"/>
      <c r="I13" s="9"/>
      <c r="J13" s="9"/>
      <c r="K13" s="232"/>
      <c r="L13" s="232"/>
      <c r="M13" s="232"/>
      <c r="N13" s="232"/>
      <c r="O13" s="232"/>
      <c r="P13" s="232"/>
      <c r="Q13" s="232"/>
      <c r="R13" s="232"/>
      <c r="S13" s="232"/>
      <c r="T13" s="232"/>
      <c r="U13" s="232"/>
      <c r="V13" s="232"/>
      <c r="W13" s="679"/>
      <c r="X13" s="680"/>
      <c r="Y13" s="681"/>
      <c r="Z13" s="451"/>
    </row>
    <row r="14" spans="1:26" ht="30" thickTop="1" thickBot="1">
      <c r="A14" s="519" t="s">
        <v>72</v>
      </c>
      <c r="B14" s="520"/>
      <c r="C14" s="520"/>
      <c r="D14" s="521"/>
      <c r="E14" s="527" t="s">
        <v>73</v>
      </c>
      <c r="F14" s="528"/>
      <c r="G14" s="528"/>
      <c r="H14" s="528"/>
      <c r="I14" s="528"/>
      <c r="J14" s="527" t="s">
        <v>74</v>
      </c>
      <c r="K14" s="528"/>
      <c r="L14" s="528"/>
      <c r="M14" s="529"/>
      <c r="N14" s="543" t="s">
        <v>75</v>
      </c>
      <c r="O14" s="544"/>
      <c r="P14" s="544"/>
      <c r="Q14" s="544"/>
      <c r="R14" s="544"/>
      <c r="S14" s="544"/>
      <c r="T14" s="544"/>
      <c r="U14" s="544"/>
      <c r="V14" s="545"/>
      <c r="W14" s="543" t="s">
        <v>76</v>
      </c>
      <c r="X14" s="544"/>
      <c r="Y14" s="545"/>
      <c r="Z14" s="451"/>
    </row>
    <row r="15" spans="1:26" s="20" customFormat="1" ht="29.25" thickTop="1">
      <c r="A15" s="522"/>
      <c r="B15" s="498"/>
      <c r="C15" s="498"/>
      <c r="D15" s="523"/>
      <c r="E15" s="533"/>
      <c r="F15" s="534"/>
      <c r="G15" s="533"/>
      <c r="H15" s="539"/>
      <c r="I15" s="534"/>
      <c r="J15" s="541" t="s">
        <v>47</v>
      </c>
      <c r="K15" s="539"/>
      <c r="L15" s="539"/>
      <c r="M15" s="534"/>
      <c r="N15" s="546"/>
      <c r="O15" s="481"/>
      <c r="P15" s="481"/>
      <c r="Q15" s="481"/>
      <c r="R15" s="481"/>
      <c r="S15" s="481"/>
      <c r="T15" s="481"/>
      <c r="U15" s="481"/>
      <c r="V15" s="547"/>
      <c r="W15" s="546"/>
      <c r="X15" s="481"/>
      <c r="Y15" s="547"/>
    </row>
    <row r="16" spans="1:26" s="20" customFormat="1" ht="29.25" thickBot="1">
      <c r="A16" s="522"/>
      <c r="B16" s="498"/>
      <c r="C16" s="498"/>
      <c r="D16" s="523"/>
      <c r="E16" s="535"/>
      <c r="F16" s="536"/>
      <c r="G16" s="535"/>
      <c r="H16" s="507"/>
      <c r="I16" s="536"/>
      <c r="J16" s="542"/>
      <c r="K16" s="540"/>
      <c r="L16" s="540"/>
      <c r="M16" s="538"/>
      <c r="N16" s="546"/>
      <c r="O16" s="481"/>
      <c r="P16" s="481"/>
      <c r="Q16" s="481"/>
      <c r="R16" s="481"/>
      <c r="S16" s="481"/>
      <c r="T16" s="481"/>
      <c r="U16" s="481"/>
      <c r="V16" s="547"/>
      <c r="W16" s="546"/>
      <c r="X16" s="481"/>
      <c r="Y16" s="547"/>
    </row>
    <row r="17" spans="1:25" s="20" customFormat="1" ht="29.25" thickTop="1">
      <c r="A17" s="522"/>
      <c r="B17" s="498"/>
      <c r="C17" s="498"/>
      <c r="D17" s="523"/>
      <c r="E17" s="535"/>
      <c r="F17" s="536"/>
      <c r="G17" s="535"/>
      <c r="H17" s="507"/>
      <c r="I17" s="536"/>
      <c r="J17" s="541" t="s">
        <v>48</v>
      </c>
      <c r="K17" s="539"/>
      <c r="L17" s="539"/>
      <c r="M17" s="534"/>
      <c r="N17" s="546"/>
      <c r="O17" s="481"/>
      <c r="P17" s="481"/>
      <c r="Q17" s="481"/>
      <c r="R17" s="481"/>
      <c r="S17" s="481"/>
      <c r="T17" s="481"/>
      <c r="U17" s="481"/>
      <c r="V17" s="547"/>
      <c r="W17" s="546"/>
      <c r="X17" s="481"/>
      <c r="Y17" s="547"/>
    </row>
    <row r="18" spans="1:25" s="20" customFormat="1" ht="29.25" thickBot="1">
      <c r="A18" s="524"/>
      <c r="B18" s="525"/>
      <c r="C18" s="525"/>
      <c r="D18" s="526"/>
      <c r="E18" s="537"/>
      <c r="F18" s="538"/>
      <c r="G18" s="537"/>
      <c r="H18" s="540"/>
      <c r="I18" s="538"/>
      <c r="J18" s="542"/>
      <c r="K18" s="540"/>
      <c r="L18" s="540"/>
      <c r="M18" s="538"/>
      <c r="N18" s="548"/>
      <c r="O18" s="549"/>
      <c r="P18" s="549"/>
      <c r="Q18" s="549"/>
      <c r="R18" s="549"/>
      <c r="S18" s="549"/>
      <c r="T18" s="549"/>
      <c r="U18" s="549"/>
      <c r="V18" s="550"/>
      <c r="W18" s="548"/>
      <c r="X18" s="549"/>
      <c r="Y18" s="550"/>
    </row>
    <row r="19" spans="1:25" ht="18.75" thickTop="1"/>
  </sheetData>
  <mergeCells count="41">
    <mergeCell ref="A1:Y1"/>
    <mergeCell ref="Z1:Z14"/>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W14:Y18"/>
    <mergeCell ref="E15:F18"/>
    <mergeCell ref="G15:I18"/>
    <mergeCell ref="J15:J16"/>
    <mergeCell ref="K15:M16"/>
    <mergeCell ref="J17:J18"/>
    <mergeCell ref="K17:M18"/>
    <mergeCell ref="A14:D18"/>
    <mergeCell ref="E14:I14"/>
    <mergeCell ref="J14:M14"/>
    <mergeCell ref="N14:V18"/>
  </mergeCells>
  <printOptions horizontalCentered="1" verticalCentered="1"/>
  <pageMargins left="0" right="0" top="0" bottom="0" header="0" footer="0"/>
  <pageSetup scale="45"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DACF-D7EA-48FC-BCBA-08A9AD526A06}">
  <dimension ref="A1:AB20"/>
  <sheetViews>
    <sheetView rightToLeft="1" zoomScale="85" zoomScaleNormal="85" zoomScaleSheetLayoutView="70" workbookViewId="0">
      <selection activeCell="AB9" sqref="AB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950</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8" s="3" customFormat="1" ht="28.5">
      <c r="A4" s="667" t="s">
        <v>923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924</v>
      </c>
      <c r="B5" s="673"/>
      <c r="C5" s="673"/>
      <c r="D5" s="673"/>
      <c r="E5" s="674"/>
      <c r="F5" s="675" t="s">
        <v>925</v>
      </c>
      <c r="G5" s="675"/>
      <c r="H5" s="676" t="s">
        <v>951</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954</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51" t="s">
        <v>952</v>
      </c>
      <c r="C8" s="551"/>
      <c r="D8" s="551"/>
      <c r="E8" s="551"/>
      <c r="F8" s="551"/>
      <c r="G8" s="551"/>
      <c r="H8" s="246">
        <v>0.2</v>
      </c>
      <c r="I8" s="9" t="s">
        <v>931</v>
      </c>
      <c r="J8" s="9"/>
      <c r="K8" s="16"/>
      <c r="L8" s="16" t="s">
        <v>246</v>
      </c>
      <c r="M8" s="16"/>
      <c r="N8" s="16"/>
      <c r="O8" s="16"/>
      <c r="P8" s="16"/>
      <c r="Q8" s="16"/>
      <c r="R8" s="16"/>
      <c r="S8" s="16"/>
      <c r="T8" s="16"/>
      <c r="U8" s="16"/>
      <c r="V8" s="16"/>
      <c r="W8" s="594"/>
      <c r="X8" s="595"/>
      <c r="Y8" s="596"/>
      <c r="Z8" s="451"/>
      <c r="AB8" s="14">
        <v>20</v>
      </c>
    </row>
    <row r="9" spans="1:28" s="14" customFormat="1" ht="24">
      <c r="A9" s="23" t="s">
        <v>66</v>
      </c>
      <c r="B9" s="551" t="s">
        <v>953</v>
      </c>
      <c r="C9" s="551"/>
      <c r="D9" s="551"/>
      <c r="E9" s="551"/>
      <c r="F9" s="551"/>
      <c r="G9" s="551"/>
      <c r="H9" s="246">
        <v>0.3</v>
      </c>
      <c r="I9" s="9" t="s">
        <v>931</v>
      </c>
      <c r="J9" s="9"/>
      <c r="K9" s="16"/>
      <c r="L9" s="16"/>
      <c r="M9" s="16" t="s">
        <v>246</v>
      </c>
      <c r="N9" s="16"/>
      <c r="O9" s="16"/>
      <c r="P9" s="16"/>
      <c r="Q9" s="16"/>
      <c r="R9" s="16"/>
      <c r="S9" s="16"/>
      <c r="T9" s="16"/>
      <c r="U9" s="16"/>
      <c r="V9" s="16"/>
      <c r="W9" s="597"/>
      <c r="X9" s="597"/>
      <c r="Y9" s="597"/>
      <c r="Z9" s="451"/>
    </row>
    <row r="10" spans="1:28" s="14" customFormat="1" ht="24">
      <c r="A10" s="23" t="s">
        <v>68</v>
      </c>
      <c r="B10" s="551" t="s">
        <v>930</v>
      </c>
      <c r="C10" s="551"/>
      <c r="D10" s="551"/>
      <c r="E10" s="551"/>
      <c r="F10" s="551"/>
      <c r="G10" s="551"/>
      <c r="H10" s="246">
        <v>0.3</v>
      </c>
      <c r="I10" s="9" t="s">
        <v>931</v>
      </c>
      <c r="J10" s="9"/>
      <c r="K10" s="16"/>
      <c r="L10" s="16"/>
      <c r="M10" s="16"/>
      <c r="N10" s="16" t="s">
        <v>246</v>
      </c>
      <c r="O10" s="16"/>
      <c r="P10" s="16"/>
      <c r="Q10" s="16"/>
      <c r="R10" s="16"/>
      <c r="S10" s="16"/>
      <c r="T10" s="16"/>
      <c r="U10" s="16"/>
      <c r="V10" s="16"/>
      <c r="W10" s="518"/>
      <c r="X10" s="518"/>
      <c r="Y10" s="518"/>
      <c r="Z10" s="451"/>
    </row>
    <row r="11" spans="1:28" s="14" customFormat="1" ht="24">
      <c r="A11" s="23" t="s">
        <v>70</v>
      </c>
      <c r="B11" s="551" t="s">
        <v>932</v>
      </c>
      <c r="C11" s="551"/>
      <c r="D11" s="551"/>
      <c r="E11" s="551"/>
      <c r="F11" s="551"/>
      <c r="G11" s="551"/>
      <c r="H11" s="246">
        <v>0.2</v>
      </c>
      <c r="I11" s="9" t="s">
        <v>931</v>
      </c>
      <c r="J11" s="9"/>
      <c r="K11" s="16"/>
      <c r="L11" s="16"/>
      <c r="M11" s="16"/>
      <c r="N11" s="16"/>
      <c r="O11" s="16" t="s">
        <v>246</v>
      </c>
      <c r="P11" s="16"/>
      <c r="Q11" s="16"/>
      <c r="R11" s="16"/>
      <c r="S11" s="16"/>
      <c r="T11" s="16"/>
      <c r="U11" s="16"/>
      <c r="V11" s="16"/>
      <c r="W11" s="518"/>
      <c r="X11" s="518"/>
      <c r="Y11" s="518"/>
      <c r="Z11" s="451"/>
    </row>
    <row r="12" spans="1:28" s="14" customFormat="1" ht="24">
      <c r="A12" s="23" t="s">
        <v>153</v>
      </c>
      <c r="B12" s="551"/>
      <c r="C12" s="551"/>
      <c r="D12" s="551"/>
      <c r="E12" s="551"/>
      <c r="F12" s="551"/>
      <c r="G12" s="551"/>
      <c r="H12" s="15"/>
      <c r="I12" s="9"/>
      <c r="J12" s="9"/>
      <c r="K12" s="16"/>
      <c r="L12" s="16"/>
      <c r="M12" s="16"/>
      <c r="N12" s="16"/>
      <c r="O12" s="16"/>
      <c r="P12" s="16"/>
      <c r="Q12" s="16"/>
      <c r="R12" s="16"/>
      <c r="S12" s="16"/>
      <c r="T12" s="16"/>
      <c r="U12" s="16"/>
      <c r="V12" s="16"/>
      <c r="W12" s="597"/>
      <c r="X12" s="597"/>
      <c r="Y12" s="597"/>
      <c r="Z12" s="451"/>
    </row>
    <row r="13" spans="1:28"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8"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8"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8"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04FD-24D0-445E-9112-DF77B5E641A4}">
  <dimension ref="A1:Z18"/>
  <sheetViews>
    <sheetView rightToLeft="1" zoomScale="85" zoomScaleNormal="85" zoomScaleSheetLayoutView="85" workbookViewId="0">
      <selection activeCell="H11" sqref="H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945</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923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924</v>
      </c>
      <c r="B5" s="673"/>
      <c r="C5" s="673"/>
      <c r="D5" s="673"/>
      <c r="E5" s="674"/>
      <c r="F5" s="675" t="s">
        <v>934</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949</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946</v>
      </c>
      <c r="C8" s="551"/>
      <c r="D8" s="551"/>
      <c r="E8" s="551"/>
      <c r="F8" s="551"/>
      <c r="G8" s="551"/>
      <c r="H8" s="246">
        <v>0.45</v>
      </c>
      <c r="I8" s="9" t="s">
        <v>947</v>
      </c>
      <c r="J8" s="9"/>
      <c r="K8" s="16"/>
      <c r="L8" s="16"/>
      <c r="M8" s="16"/>
      <c r="N8" s="16" t="s">
        <v>246</v>
      </c>
      <c r="O8" s="16" t="s">
        <v>246</v>
      </c>
      <c r="P8" s="16" t="s">
        <v>246</v>
      </c>
      <c r="Q8" s="16" t="s">
        <v>246</v>
      </c>
      <c r="R8" s="16" t="s">
        <v>246</v>
      </c>
      <c r="S8" s="16"/>
      <c r="T8" s="16"/>
      <c r="U8" s="16"/>
      <c r="V8" s="16"/>
      <c r="W8" s="518"/>
      <c r="X8" s="518"/>
      <c r="Y8" s="518"/>
      <c r="Z8" s="451"/>
    </row>
    <row r="9" spans="1:26" s="14" customFormat="1" ht="24">
      <c r="A9" s="23" t="s">
        <v>66</v>
      </c>
      <c r="B9" s="551" t="s">
        <v>948</v>
      </c>
      <c r="C9" s="551"/>
      <c r="D9" s="551"/>
      <c r="E9" s="551"/>
      <c r="F9" s="551"/>
      <c r="G9" s="551"/>
      <c r="H9" s="246">
        <v>0.1</v>
      </c>
      <c r="I9" s="9" t="s">
        <v>929</v>
      </c>
      <c r="J9" s="9"/>
      <c r="K9" s="16"/>
      <c r="L9" s="16"/>
      <c r="M9" s="16"/>
      <c r="N9" s="16"/>
      <c r="O9" s="16"/>
      <c r="P9" s="16"/>
      <c r="Q9" s="16"/>
      <c r="R9" s="16"/>
      <c r="S9" s="16" t="s">
        <v>246</v>
      </c>
      <c r="T9" s="16"/>
      <c r="U9" s="16"/>
      <c r="V9" s="16"/>
      <c r="W9" s="518"/>
      <c r="X9" s="518"/>
      <c r="Y9" s="518"/>
      <c r="Z9" s="451"/>
    </row>
    <row r="10" spans="1:26" s="14" customFormat="1" ht="24">
      <c r="A10" s="23" t="s">
        <v>68</v>
      </c>
      <c r="B10" s="551" t="s">
        <v>930</v>
      </c>
      <c r="C10" s="551"/>
      <c r="D10" s="551"/>
      <c r="E10" s="551"/>
      <c r="F10" s="551"/>
      <c r="G10" s="551"/>
      <c r="H10" s="246">
        <v>0.25</v>
      </c>
      <c r="I10" s="9" t="s">
        <v>931</v>
      </c>
      <c r="J10" s="9"/>
      <c r="K10" s="16"/>
      <c r="L10" s="16"/>
      <c r="M10" s="16"/>
      <c r="N10" s="16"/>
      <c r="O10" s="16"/>
      <c r="P10" s="16"/>
      <c r="Q10" s="16"/>
      <c r="R10" s="16"/>
      <c r="S10" s="16"/>
      <c r="T10" s="16" t="s">
        <v>246</v>
      </c>
      <c r="U10" s="16" t="s">
        <v>246</v>
      </c>
      <c r="V10" s="16"/>
      <c r="W10" s="597"/>
      <c r="X10" s="597"/>
      <c r="Y10" s="597"/>
      <c r="Z10" s="451"/>
    </row>
    <row r="11" spans="1:26" s="14" customFormat="1" ht="24">
      <c r="A11" s="23" t="s">
        <v>70</v>
      </c>
      <c r="B11" s="530" t="s">
        <v>932</v>
      </c>
      <c r="C11" s="531"/>
      <c r="D11" s="531"/>
      <c r="E11" s="531"/>
      <c r="F11" s="531"/>
      <c r="G11" s="532"/>
      <c r="H11" s="246">
        <v>0.2</v>
      </c>
      <c r="I11" s="9" t="s">
        <v>931</v>
      </c>
      <c r="J11" s="9"/>
      <c r="K11" s="16"/>
      <c r="L11" s="16"/>
      <c r="M11" s="16"/>
      <c r="N11" s="16"/>
      <c r="O11" s="16"/>
      <c r="P11" s="16"/>
      <c r="Q11" s="16"/>
      <c r="R11" s="16"/>
      <c r="S11" s="16"/>
      <c r="T11" s="16"/>
      <c r="U11" s="16"/>
      <c r="V11" s="16" t="s">
        <v>246</v>
      </c>
      <c r="W11" s="518"/>
      <c r="X11" s="518"/>
      <c r="Y11" s="518"/>
      <c r="Z11" s="451"/>
    </row>
    <row r="12" spans="1:26" s="14" customFormat="1" ht="24.75" thickBot="1">
      <c r="A12" s="23" t="s">
        <v>153</v>
      </c>
      <c r="B12" s="551"/>
      <c r="C12" s="551"/>
      <c r="D12" s="551"/>
      <c r="E12" s="551"/>
      <c r="F12" s="551"/>
      <c r="G12" s="551"/>
      <c r="H12" s="15"/>
      <c r="I12" s="9"/>
      <c r="J12" s="9"/>
      <c r="K12" s="232"/>
      <c r="L12" s="232"/>
      <c r="M12" s="232"/>
      <c r="N12" s="232"/>
      <c r="O12" s="232"/>
      <c r="P12" s="232"/>
      <c r="Q12" s="232"/>
      <c r="R12" s="232"/>
      <c r="S12" s="232"/>
      <c r="T12" s="232"/>
      <c r="U12" s="232"/>
      <c r="V12" s="232"/>
      <c r="W12" s="679"/>
      <c r="X12" s="680"/>
      <c r="Y12" s="681"/>
      <c r="Z12" s="451"/>
    </row>
    <row r="13" spans="1:26" ht="30" thickTop="1" thickBot="1">
      <c r="A13" s="519" t="s">
        <v>72</v>
      </c>
      <c r="B13" s="520"/>
      <c r="C13" s="520"/>
      <c r="D13" s="521"/>
      <c r="E13" s="527" t="s">
        <v>73</v>
      </c>
      <c r="F13" s="528"/>
      <c r="G13" s="528"/>
      <c r="H13" s="528"/>
      <c r="I13" s="528"/>
      <c r="J13" s="527" t="s">
        <v>74</v>
      </c>
      <c r="K13" s="528"/>
      <c r="L13" s="528"/>
      <c r="M13" s="529"/>
      <c r="N13" s="543" t="s">
        <v>75</v>
      </c>
      <c r="O13" s="544"/>
      <c r="P13" s="544"/>
      <c r="Q13" s="544"/>
      <c r="R13" s="544"/>
      <c r="S13" s="544"/>
      <c r="T13" s="544"/>
      <c r="U13" s="544"/>
      <c r="V13" s="545"/>
      <c r="W13" s="543" t="s">
        <v>76</v>
      </c>
      <c r="X13" s="544"/>
      <c r="Y13" s="545"/>
      <c r="Z13" s="451"/>
    </row>
    <row r="14" spans="1:26" s="20" customFormat="1" ht="29.25" thickTop="1">
      <c r="A14" s="522"/>
      <c r="B14" s="498"/>
      <c r="C14" s="498"/>
      <c r="D14" s="523"/>
      <c r="E14" s="533"/>
      <c r="F14" s="534"/>
      <c r="G14" s="533"/>
      <c r="H14" s="539"/>
      <c r="I14" s="534"/>
      <c r="J14" s="541" t="s">
        <v>47</v>
      </c>
      <c r="K14" s="539"/>
      <c r="L14" s="539"/>
      <c r="M14" s="534"/>
      <c r="N14" s="546"/>
      <c r="O14" s="481"/>
      <c r="P14" s="481"/>
      <c r="Q14" s="481"/>
      <c r="R14" s="481"/>
      <c r="S14" s="481"/>
      <c r="T14" s="481"/>
      <c r="U14" s="481"/>
      <c r="V14" s="547"/>
      <c r="W14" s="546"/>
      <c r="X14" s="481"/>
      <c r="Y14" s="547"/>
    </row>
    <row r="15" spans="1:26" s="20" customFormat="1" ht="29.25" thickBot="1">
      <c r="A15" s="522"/>
      <c r="B15" s="498"/>
      <c r="C15" s="498"/>
      <c r="D15" s="523"/>
      <c r="E15" s="535"/>
      <c r="F15" s="536"/>
      <c r="G15" s="535"/>
      <c r="H15" s="507"/>
      <c r="I15" s="536"/>
      <c r="J15" s="542"/>
      <c r="K15" s="540"/>
      <c r="L15" s="540"/>
      <c r="M15" s="538"/>
      <c r="N15" s="546"/>
      <c r="O15" s="481"/>
      <c r="P15" s="481"/>
      <c r="Q15" s="481"/>
      <c r="R15" s="481"/>
      <c r="S15" s="481"/>
      <c r="T15" s="481"/>
      <c r="U15" s="481"/>
      <c r="V15" s="547"/>
      <c r="W15" s="546"/>
      <c r="X15" s="481"/>
      <c r="Y15" s="547"/>
    </row>
    <row r="16" spans="1:26" s="20" customFormat="1" ht="29.25" thickTop="1">
      <c r="A16" s="522"/>
      <c r="B16" s="498"/>
      <c r="C16" s="498"/>
      <c r="D16" s="523"/>
      <c r="E16" s="535"/>
      <c r="F16" s="536"/>
      <c r="G16" s="535"/>
      <c r="H16" s="507"/>
      <c r="I16" s="536"/>
      <c r="J16" s="541" t="s">
        <v>48</v>
      </c>
      <c r="K16" s="539"/>
      <c r="L16" s="539"/>
      <c r="M16" s="534"/>
      <c r="N16" s="546"/>
      <c r="O16" s="481"/>
      <c r="P16" s="481"/>
      <c r="Q16" s="481"/>
      <c r="R16" s="481"/>
      <c r="S16" s="481"/>
      <c r="T16" s="481"/>
      <c r="U16" s="481"/>
      <c r="V16" s="547"/>
      <c r="W16" s="546"/>
      <c r="X16" s="481"/>
      <c r="Y16" s="547"/>
    </row>
    <row r="17" spans="1:25" s="20" customFormat="1" ht="29.25" thickBot="1">
      <c r="A17" s="524"/>
      <c r="B17" s="525"/>
      <c r="C17" s="525"/>
      <c r="D17" s="526"/>
      <c r="E17" s="537"/>
      <c r="F17" s="538"/>
      <c r="G17" s="537"/>
      <c r="H17" s="540"/>
      <c r="I17" s="538"/>
      <c r="J17" s="542"/>
      <c r="K17" s="540"/>
      <c r="L17" s="540"/>
      <c r="M17" s="538"/>
      <c r="N17" s="548"/>
      <c r="O17" s="549"/>
      <c r="P17" s="549"/>
      <c r="Q17" s="549"/>
      <c r="R17" s="549"/>
      <c r="S17" s="549"/>
      <c r="T17" s="549"/>
      <c r="U17" s="549"/>
      <c r="V17" s="550"/>
      <c r="W17" s="548"/>
      <c r="X17" s="549"/>
      <c r="Y17" s="550"/>
    </row>
    <row r="18" spans="1:25" ht="18.75" thickTop="1"/>
  </sheetData>
  <mergeCells count="39">
    <mergeCell ref="A1:Y1"/>
    <mergeCell ref="Z1:Z13"/>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A13:D17"/>
    <mergeCell ref="E13:I13"/>
    <mergeCell ref="J13:M13"/>
    <mergeCell ref="N13:V17"/>
    <mergeCell ref="W13:Y17"/>
    <mergeCell ref="E14:F17"/>
    <mergeCell ref="G14:I17"/>
    <mergeCell ref="J14:J15"/>
    <mergeCell ref="K14:M15"/>
    <mergeCell ref="J16:J17"/>
    <mergeCell ref="K16:M17"/>
  </mergeCells>
  <printOptions horizontalCentered="1" verticalCentered="1"/>
  <pageMargins left="0" right="0" top="0" bottom="0" header="0" footer="0"/>
  <pageSetup scale="44"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29C5-2B4E-4EF4-B350-DE8BF3E595E2}">
  <dimension ref="A1:AC19"/>
  <sheetViews>
    <sheetView rightToLeft="1" zoomScale="90" zoomScaleNormal="90" zoomScaleSheetLayoutView="100" workbookViewId="0">
      <selection activeCell="AC9" sqref="AC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58.570312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9"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9"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9" s="3" customFormat="1" ht="29.25" thickTop="1">
      <c r="A3" s="656" t="s">
        <v>943</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9" s="3" customFormat="1" ht="28.5">
      <c r="A4" s="667" t="s">
        <v>923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9" s="3" customFormat="1" ht="29.25" thickBot="1">
      <c r="A5" s="672" t="s">
        <v>924</v>
      </c>
      <c r="B5" s="673"/>
      <c r="C5" s="673"/>
      <c r="D5" s="673"/>
      <c r="E5" s="674"/>
      <c r="F5" s="675" t="s">
        <v>925</v>
      </c>
      <c r="G5" s="675"/>
      <c r="H5" s="676" t="s">
        <v>725</v>
      </c>
      <c r="I5" s="677"/>
      <c r="J5" s="677"/>
      <c r="K5" s="677"/>
      <c r="L5" s="677"/>
      <c r="M5" s="677"/>
      <c r="N5" s="677"/>
      <c r="O5" s="677"/>
      <c r="P5" s="677"/>
      <c r="Q5" s="677"/>
      <c r="R5" s="677"/>
      <c r="S5" s="677"/>
      <c r="T5" s="677"/>
      <c r="U5" s="677"/>
      <c r="V5" s="677"/>
      <c r="W5" s="677"/>
      <c r="X5" s="677"/>
      <c r="Y5" s="678"/>
      <c r="Z5" s="451"/>
    </row>
    <row r="6" spans="1:29"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9"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9" s="14" customFormat="1" ht="24">
      <c r="A8" s="23" t="s">
        <v>28</v>
      </c>
      <c r="B8" s="551" t="s">
        <v>944</v>
      </c>
      <c r="C8" s="551"/>
      <c r="D8" s="551"/>
      <c r="E8" s="551"/>
      <c r="F8" s="551"/>
      <c r="G8" s="551"/>
      <c r="H8" s="246">
        <v>0.3</v>
      </c>
      <c r="I8" s="9" t="s">
        <v>927</v>
      </c>
      <c r="J8" s="9"/>
      <c r="K8" s="16"/>
      <c r="L8" s="16" t="s">
        <v>246</v>
      </c>
      <c r="M8" s="16" t="s">
        <v>246</v>
      </c>
      <c r="N8" s="16"/>
      <c r="O8" s="16"/>
      <c r="P8" s="16"/>
      <c r="Q8" s="16"/>
      <c r="R8" s="16"/>
      <c r="S8" s="16"/>
      <c r="T8" s="16"/>
      <c r="U8" s="16"/>
      <c r="V8" s="16"/>
      <c r="W8" s="594"/>
      <c r="X8" s="595"/>
      <c r="Y8" s="596"/>
      <c r="Z8" s="451"/>
      <c r="AC8" s="14">
        <v>30</v>
      </c>
    </row>
    <row r="9" spans="1:29" s="14" customFormat="1" ht="24">
      <c r="A9" s="23" t="s">
        <v>68</v>
      </c>
      <c r="B9" s="789" t="s">
        <v>940</v>
      </c>
      <c r="C9" s="790"/>
      <c r="D9" s="790"/>
      <c r="E9" s="790"/>
      <c r="F9" s="790"/>
      <c r="G9" s="791"/>
      <c r="H9" s="246">
        <v>0.1</v>
      </c>
      <c r="I9" s="9" t="s">
        <v>929</v>
      </c>
      <c r="J9" s="9"/>
      <c r="K9" s="16"/>
      <c r="L9" s="16"/>
      <c r="M9" s="16"/>
      <c r="N9" s="16" t="s">
        <v>246</v>
      </c>
      <c r="O9" s="16"/>
      <c r="P9" s="16"/>
      <c r="Q9" s="16"/>
      <c r="R9" s="16"/>
      <c r="S9" s="16"/>
      <c r="T9" s="16"/>
      <c r="U9" s="16"/>
      <c r="V9" s="16"/>
      <c r="W9" s="518"/>
      <c r="X9" s="518"/>
      <c r="Y9" s="518"/>
      <c r="Z9" s="451"/>
    </row>
    <row r="10" spans="1:29" s="14" customFormat="1" ht="24">
      <c r="A10" s="23" t="s">
        <v>70</v>
      </c>
      <c r="B10" s="551" t="s">
        <v>930</v>
      </c>
      <c r="C10" s="551"/>
      <c r="D10" s="551"/>
      <c r="E10" s="551"/>
      <c r="F10" s="551"/>
      <c r="G10" s="551"/>
      <c r="H10" s="246">
        <v>0.3</v>
      </c>
      <c r="I10" s="9" t="s">
        <v>931</v>
      </c>
      <c r="J10" s="9"/>
      <c r="K10" s="16"/>
      <c r="L10" s="16"/>
      <c r="M10" s="16"/>
      <c r="N10" s="16"/>
      <c r="O10" s="16" t="s">
        <v>246</v>
      </c>
      <c r="P10" s="16"/>
      <c r="Q10" s="16"/>
      <c r="R10" s="16"/>
      <c r="S10" s="16"/>
      <c r="T10" s="16"/>
      <c r="U10" s="16"/>
      <c r="V10" s="16"/>
      <c r="W10" s="518"/>
      <c r="X10" s="518"/>
      <c r="Y10" s="518"/>
      <c r="Z10" s="451"/>
    </row>
    <row r="11" spans="1:29" s="14" customFormat="1" ht="24">
      <c r="A11" s="23" t="s">
        <v>153</v>
      </c>
      <c r="B11" s="551" t="s">
        <v>932</v>
      </c>
      <c r="C11" s="551"/>
      <c r="D11" s="551"/>
      <c r="E11" s="551"/>
      <c r="F11" s="551"/>
      <c r="G11" s="551"/>
      <c r="H11" s="246">
        <v>0.3</v>
      </c>
      <c r="I11" s="9" t="s">
        <v>931</v>
      </c>
      <c r="J11" s="9"/>
      <c r="K11" s="16"/>
      <c r="L11" s="16"/>
      <c r="M11" s="16"/>
      <c r="N11" s="16"/>
      <c r="O11" s="16"/>
      <c r="P11" s="16" t="s">
        <v>246</v>
      </c>
      <c r="Q11" s="16"/>
      <c r="R11" s="16"/>
      <c r="S11" s="16"/>
      <c r="T11" s="16"/>
      <c r="U11" s="16"/>
      <c r="V11" s="16"/>
      <c r="W11" s="597"/>
      <c r="X11" s="597"/>
      <c r="Y11" s="597"/>
      <c r="Z11" s="451"/>
    </row>
    <row r="12" spans="1:29" s="14" customFormat="1" ht="24">
      <c r="A12" s="23" t="s">
        <v>155</v>
      </c>
      <c r="B12" s="530"/>
      <c r="C12" s="531"/>
      <c r="D12" s="531"/>
      <c r="E12" s="531"/>
      <c r="F12" s="531"/>
      <c r="G12" s="532"/>
      <c r="H12" s="15"/>
      <c r="I12" s="9"/>
      <c r="J12" s="9"/>
      <c r="K12" s="16"/>
      <c r="L12" s="16"/>
      <c r="M12" s="16"/>
      <c r="N12" s="16"/>
      <c r="O12" s="16"/>
      <c r="P12" s="16"/>
      <c r="Q12" s="16"/>
      <c r="R12" s="16"/>
      <c r="S12" s="16"/>
      <c r="T12" s="16"/>
      <c r="U12" s="16"/>
      <c r="V12" s="16"/>
      <c r="W12" s="518"/>
      <c r="X12" s="518"/>
      <c r="Y12" s="518"/>
      <c r="Z12" s="451"/>
    </row>
    <row r="13" spans="1:29" s="14" customFormat="1" ht="24.75" thickBot="1">
      <c r="A13" s="23" t="s">
        <v>156</v>
      </c>
      <c r="B13" s="551"/>
      <c r="C13" s="551"/>
      <c r="D13" s="551"/>
      <c r="E13" s="551"/>
      <c r="F13" s="551"/>
      <c r="G13" s="551"/>
      <c r="H13" s="15"/>
      <c r="I13" s="9"/>
      <c r="J13" s="9"/>
      <c r="K13" s="232"/>
      <c r="L13" s="232"/>
      <c r="M13" s="232"/>
      <c r="N13" s="232"/>
      <c r="O13" s="232"/>
      <c r="P13" s="232"/>
      <c r="Q13" s="232"/>
      <c r="R13" s="232"/>
      <c r="S13" s="232"/>
      <c r="T13" s="232"/>
      <c r="U13" s="232"/>
      <c r="V13" s="232"/>
      <c r="W13" s="679"/>
      <c r="X13" s="680"/>
      <c r="Y13" s="681"/>
      <c r="Z13" s="451"/>
    </row>
    <row r="14" spans="1:29" ht="30" thickTop="1" thickBot="1">
      <c r="A14" s="519" t="s">
        <v>72</v>
      </c>
      <c r="B14" s="520"/>
      <c r="C14" s="520"/>
      <c r="D14" s="521"/>
      <c r="E14" s="527" t="s">
        <v>73</v>
      </c>
      <c r="F14" s="528"/>
      <c r="G14" s="528"/>
      <c r="H14" s="528"/>
      <c r="I14" s="528"/>
      <c r="J14" s="527" t="s">
        <v>74</v>
      </c>
      <c r="K14" s="528"/>
      <c r="L14" s="528"/>
      <c r="M14" s="529"/>
      <c r="N14" s="543" t="s">
        <v>75</v>
      </c>
      <c r="O14" s="544"/>
      <c r="P14" s="544"/>
      <c r="Q14" s="544"/>
      <c r="R14" s="544"/>
      <c r="S14" s="544"/>
      <c r="T14" s="544"/>
      <c r="U14" s="544"/>
      <c r="V14" s="545"/>
      <c r="W14" s="543" t="s">
        <v>76</v>
      </c>
      <c r="X14" s="544"/>
      <c r="Y14" s="545"/>
      <c r="Z14" s="451"/>
    </row>
    <row r="15" spans="1:29" s="20" customFormat="1" ht="29.25" thickTop="1">
      <c r="A15" s="522"/>
      <c r="B15" s="498"/>
      <c r="C15" s="498"/>
      <c r="D15" s="523"/>
      <c r="E15" s="533"/>
      <c r="F15" s="534"/>
      <c r="G15" s="533"/>
      <c r="H15" s="539"/>
      <c r="I15" s="534"/>
      <c r="J15" s="541" t="s">
        <v>47</v>
      </c>
      <c r="K15" s="539"/>
      <c r="L15" s="539"/>
      <c r="M15" s="534"/>
      <c r="N15" s="546"/>
      <c r="O15" s="481"/>
      <c r="P15" s="481"/>
      <c r="Q15" s="481"/>
      <c r="R15" s="481"/>
      <c r="S15" s="481"/>
      <c r="T15" s="481"/>
      <c r="U15" s="481"/>
      <c r="V15" s="547"/>
      <c r="W15" s="546"/>
      <c r="X15" s="481"/>
      <c r="Y15" s="547"/>
    </row>
    <row r="16" spans="1:29" s="20" customFormat="1" ht="29.25" thickBot="1">
      <c r="A16" s="522"/>
      <c r="B16" s="498"/>
      <c r="C16" s="498"/>
      <c r="D16" s="523"/>
      <c r="E16" s="535"/>
      <c r="F16" s="536"/>
      <c r="G16" s="535"/>
      <c r="H16" s="507"/>
      <c r="I16" s="536"/>
      <c r="J16" s="542"/>
      <c r="K16" s="540"/>
      <c r="L16" s="540"/>
      <c r="M16" s="538"/>
      <c r="N16" s="546"/>
      <c r="O16" s="481"/>
      <c r="P16" s="481"/>
      <c r="Q16" s="481"/>
      <c r="R16" s="481"/>
      <c r="S16" s="481"/>
      <c r="T16" s="481"/>
      <c r="U16" s="481"/>
      <c r="V16" s="547"/>
      <c r="W16" s="546"/>
      <c r="X16" s="481"/>
      <c r="Y16" s="547"/>
    </row>
    <row r="17" spans="1:25" s="20" customFormat="1" ht="29.25" thickTop="1">
      <c r="A17" s="522"/>
      <c r="B17" s="498"/>
      <c r="C17" s="498"/>
      <c r="D17" s="523"/>
      <c r="E17" s="535"/>
      <c r="F17" s="536"/>
      <c r="G17" s="535"/>
      <c r="H17" s="507"/>
      <c r="I17" s="536"/>
      <c r="J17" s="541" t="s">
        <v>48</v>
      </c>
      <c r="K17" s="539"/>
      <c r="L17" s="539"/>
      <c r="M17" s="534"/>
      <c r="N17" s="546"/>
      <c r="O17" s="481"/>
      <c r="P17" s="481"/>
      <c r="Q17" s="481"/>
      <c r="R17" s="481"/>
      <c r="S17" s="481"/>
      <c r="T17" s="481"/>
      <c r="U17" s="481"/>
      <c r="V17" s="547"/>
      <c r="W17" s="546"/>
      <c r="X17" s="481"/>
      <c r="Y17" s="547"/>
    </row>
    <row r="18" spans="1:25" s="20" customFormat="1" ht="29.25" thickBot="1">
      <c r="A18" s="524"/>
      <c r="B18" s="525"/>
      <c r="C18" s="525"/>
      <c r="D18" s="526"/>
      <c r="E18" s="537"/>
      <c r="F18" s="538"/>
      <c r="G18" s="537"/>
      <c r="H18" s="540"/>
      <c r="I18" s="538"/>
      <c r="J18" s="542"/>
      <c r="K18" s="540"/>
      <c r="L18" s="540"/>
      <c r="M18" s="538"/>
      <c r="N18" s="548"/>
      <c r="O18" s="549"/>
      <c r="P18" s="549"/>
      <c r="Q18" s="549"/>
      <c r="R18" s="549"/>
      <c r="S18" s="549"/>
      <c r="T18" s="549"/>
      <c r="U18" s="549"/>
      <c r="V18" s="550"/>
      <c r="W18" s="548"/>
      <c r="X18" s="549"/>
      <c r="Y18" s="550"/>
    </row>
    <row r="19" spans="1:25" ht="18.75" thickTop="1"/>
  </sheetData>
  <mergeCells count="41">
    <mergeCell ref="A1:Y1"/>
    <mergeCell ref="Z1:Z14"/>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W14:Y18"/>
    <mergeCell ref="E15:F18"/>
    <mergeCell ref="G15:I18"/>
    <mergeCell ref="J15:J16"/>
    <mergeCell ref="K15:M16"/>
    <mergeCell ref="J17:J18"/>
    <mergeCell ref="K17:M18"/>
    <mergeCell ref="A14:D18"/>
    <mergeCell ref="E14:I14"/>
    <mergeCell ref="J14:M14"/>
    <mergeCell ref="N14:V18"/>
  </mergeCells>
  <printOptions horizontalCentered="1" verticalCentered="1"/>
  <pageMargins left="0" right="0" top="0" bottom="0" header="0" footer="0"/>
  <pageSetup scale="45" orientation="landscape"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9A13-2262-4154-B073-85C9C4D5B8DF}">
  <dimension ref="A1:Z20"/>
  <sheetViews>
    <sheetView rightToLeft="1" zoomScale="70" zoomScaleNormal="70" zoomScaleSheetLayoutView="85" workbookViewId="0">
      <selection activeCell="AB8" sqref="AB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61.2851562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6"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6"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6" s="3" customFormat="1" ht="29.25" thickTop="1">
      <c r="A3" s="656" t="s">
        <v>933</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6" s="3" customFormat="1" ht="28.5">
      <c r="A4" s="667" t="s">
        <v>923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6" s="3" customFormat="1" ht="29.25" thickBot="1">
      <c r="A5" s="672" t="s">
        <v>924</v>
      </c>
      <c r="B5" s="673"/>
      <c r="C5" s="673"/>
      <c r="D5" s="673"/>
      <c r="E5" s="674"/>
      <c r="F5" s="675" t="s">
        <v>934</v>
      </c>
      <c r="G5" s="675"/>
      <c r="H5" s="676" t="s">
        <v>57</v>
      </c>
      <c r="I5" s="677"/>
      <c r="J5" s="677"/>
      <c r="K5" s="677"/>
      <c r="L5" s="677"/>
      <c r="M5" s="677"/>
      <c r="N5" s="677"/>
      <c r="O5" s="677"/>
      <c r="P5" s="677"/>
      <c r="Q5" s="677"/>
      <c r="R5" s="677"/>
      <c r="S5" s="677"/>
      <c r="T5" s="677"/>
      <c r="U5" s="677"/>
      <c r="V5" s="677"/>
      <c r="W5" s="677"/>
      <c r="X5" s="677"/>
      <c r="Y5" s="678"/>
      <c r="Z5" s="451"/>
    </row>
    <row r="6" spans="1:26"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6"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6" s="14" customFormat="1" ht="24">
      <c r="A8" s="23" t="s">
        <v>28</v>
      </c>
      <c r="B8" s="551" t="s">
        <v>935</v>
      </c>
      <c r="C8" s="551"/>
      <c r="D8" s="551"/>
      <c r="E8" s="551"/>
      <c r="F8" s="551"/>
      <c r="G8" s="551"/>
      <c r="H8" s="246">
        <v>0.2</v>
      </c>
      <c r="I8" s="9" t="s">
        <v>931</v>
      </c>
      <c r="J8" s="9"/>
      <c r="K8" s="16"/>
      <c r="L8" s="16"/>
      <c r="M8" s="16"/>
      <c r="N8" s="16" t="s">
        <v>246</v>
      </c>
      <c r="O8" s="16" t="s">
        <v>246</v>
      </c>
      <c r="P8" s="16" t="s">
        <v>246</v>
      </c>
      <c r="Q8" s="16"/>
      <c r="R8" s="16"/>
      <c r="S8" s="16"/>
      <c r="T8" s="16"/>
      <c r="U8" s="16"/>
      <c r="V8" s="16"/>
      <c r="W8" s="594"/>
      <c r="X8" s="595"/>
      <c r="Y8" s="596"/>
      <c r="Z8" s="451"/>
    </row>
    <row r="9" spans="1:26" s="14" customFormat="1" ht="24">
      <c r="A9" s="23" t="s">
        <v>66</v>
      </c>
      <c r="B9" s="551" t="s">
        <v>936</v>
      </c>
      <c r="C9" s="551"/>
      <c r="D9" s="551"/>
      <c r="E9" s="551"/>
      <c r="F9" s="551"/>
      <c r="G9" s="551"/>
      <c r="H9" s="246">
        <v>0.2</v>
      </c>
      <c r="I9" s="9" t="s">
        <v>937</v>
      </c>
      <c r="J9" s="9"/>
      <c r="K9" s="16"/>
      <c r="L9" s="16"/>
      <c r="M9" s="16"/>
      <c r="N9" s="16"/>
      <c r="O9" s="16"/>
      <c r="P9" s="16"/>
      <c r="Q9" s="16"/>
      <c r="R9" s="16" t="s">
        <v>246</v>
      </c>
      <c r="S9" s="16"/>
      <c r="T9" s="16"/>
      <c r="U9" s="16"/>
      <c r="V9" s="16"/>
      <c r="W9" s="597"/>
      <c r="X9" s="597"/>
      <c r="Y9" s="597"/>
      <c r="Z9" s="451"/>
    </row>
    <row r="10" spans="1:26" s="14" customFormat="1" ht="24">
      <c r="A10" s="23" t="s">
        <v>68</v>
      </c>
      <c r="B10" s="551" t="s">
        <v>938</v>
      </c>
      <c r="C10" s="551"/>
      <c r="D10" s="551"/>
      <c r="E10" s="551"/>
      <c r="F10" s="551"/>
      <c r="G10" s="551"/>
      <c r="H10" s="246">
        <v>0.2</v>
      </c>
      <c r="I10" s="9" t="s">
        <v>939</v>
      </c>
      <c r="J10" s="9"/>
      <c r="K10" s="16"/>
      <c r="L10" s="16"/>
      <c r="M10" s="16"/>
      <c r="N10" s="16"/>
      <c r="O10" s="16"/>
      <c r="P10" s="16"/>
      <c r="Q10" s="16"/>
      <c r="R10" s="16"/>
      <c r="S10" s="16" t="s">
        <v>246</v>
      </c>
      <c r="T10" s="16" t="s">
        <v>246</v>
      </c>
      <c r="U10" s="16"/>
      <c r="V10" s="16"/>
      <c r="W10" s="518"/>
      <c r="X10" s="518"/>
      <c r="Y10" s="518"/>
      <c r="Z10" s="451"/>
    </row>
    <row r="11" spans="1:26" s="14" customFormat="1" ht="24">
      <c r="A11" s="23" t="s">
        <v>70</v>
      </c>
      <c r="B11" s="551" t="s">
        <v>940</v>
      </c>
      <c r="C11" s="551"/>
      <c r="D11" s="551"/>
      <c r="E11" s="551"/>
      <c r="F11" s="551"/>
      <c r="G11" s="551"/>
      <c r="H11" s="246">
        <v>0.1</v>
      </c>
      <c r="I11" s="9" t="s">
        <v>929</v>
      </c>
      <c r="J11" s="9"/>
      <c r="K11" s="16"/>
      <c r="L11" s="16"/>
      <c r="M11" s="16"/>
      <c r="N11" s="16"/>
      <c r="O11" s="16"/>
      <c r="P11" s="16"/>
      <c r="Q11" s="16"/>
      <c r="R11" s="16"/>
      <c r="S11" s="16"/>
      <c r="T11" s="16"/>
      <c r="U11" s="16" t="s">
        <v>246</v>
      </c>
      <c r="V11" s="16" t="s">
        <v>246</v>
      </c>
      <c r="W11" s="518"/>
      <c r="X11" s="518"/>
      <c r="Y11" s="518"/>
      <c r="Z11" s="451"/>
    </row>
    <row r="12" spans="1:26" s="14" customFormat="1" ht="24">
      <c r="A12" s="23" t="s">
        <v>153</v>
      </c>
      <c r="B12" s="551" t="s">
        <v>941</v>
      </c>
      <c r="C12" s="551"/>
      <c r="D12" s="551"/>
      <c r="E12" s="551"/>
      <c r="F12" s="551"/>
      <c r="G12" s="551"/>
      <c r="H12" s="246">
        <v>0.3</v>
      </c>
      <c r="I12" s="9" t="s">
        <v>942</v>
      </c>
      <c r="J12" s="9"/>
      <c r="K12" s="16"/>
      <c r="L12" s="16"/>
      <c r="M12" s="16"/>
      <c r="N12" s="16"/>
      <c r="O12" s="16"/>
      <c r="P12" s="16"/>
      <c r="Q12" s="16"/>
      <c r="R12" s="16"/>
      <c r="S12" s="16"/>
      <c r="T12" s="16"/>
      <c r="U12" s="16"/>
      <c r="V12" s="16" t="s">
        <v>246</v>
      </c>
      <c r="W12" s="597"/>
      <c r="X12" s="597"/>
      <c r="Y12" s="597"/>
      <c r="Z12" s="451"/>
    </row>
    <row r="13" spans="1:26" s="14" customFormat="1" ht="24">
      <c r="A13" s="23" t="s">
        <v>155</v>
      </c>
      <c r="B13" s="530"/>
      <c r="C13" s="531"/>
      <c r="D13" s="531"/>
      <c r="E13" s="531"/>
      <c r="F13" s="531"/>
      <c r="G13" s="532"/>
      <c r="H13" s="15"/>
      <c r="I13" s="9"/>
      <c r="J13" s="9"/>
      <c r="K13" s="16"/>
      <c r="L13" s="16"/>
      <c r="M13" s="16"/>
      <c r="N13" s="16"/>
      <c r="O13" s="16"/>
      <c r="P13" s="16"/>
      <c r="Q13" s="16"/>
      <c r="R13" s="16"/>
      <c r="S13" s="16"/>
      <c r="T13" s="16"/>
      <c r="U13" s="16"/>
      <c r="V13" s="16"/>
      <c r="W13" s="518"/>
      <c r="X13" s="518"/>
      <c r="Y13" s="518"/>
      <c r="Z13" s="451"/>
    </row>
    <row r="14" spans="1:26" s="14" customFormat="1" ht="24.75" thickBot="1">
      <c r="A14" s="23" t="s">
        <v>156</v>
      </c>
      <c r="B14" s="551"/>
      <c r="C14" s="551"/>
      <c r="D14" s="551"/>
      <c r="E14" s="551"/>
      <c r="F14" s="551"/>
      <c r="G14" s="551"/>
      <c r="H14" s="15"/>
      <c r="I14" s="9"/>
      <c r="J14" s="9"/>
      <c r="K14" s="232"/>
      <c r="L14" s="232"/>
      <c r="M14" s="232"/>
      <c r="N14" s="232"/>
      <c r="O14" s="232"/>
      <c r="P14" s="232"/>
      <c r="Q14" s="232"/>
      <c r="R14" s="232"/>
      <c r="S14" s="232"/>
      <c r="T14" s="232"/>
      <c r="U14" s="232"/>
      <c r="V14" s="232"/>
      <c r="W14" s="679"/>
      <c r="X14" s="680"/>
      <c r="Y14" s="681"/>
      <c r="Z14" s="451"/>
    </row>
    <row r="15" spans="1:26"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6"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2"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7384-99DE-41D4-9A60-46D3681E247C}">
  <dimension ref="A1:AB19"/>
  <sheetViews>
    <sheetView rightToLeft="1" zoomScale="85" zoomScaleNormal="85" zoomScaleSheetLayoutView="85" workbookViewId="0">
      <selection activeCell="AB9" sqref="AB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921</v>
      </c>
      <c r="B3" s="657"/>
      <c r="C3" s="657"/>
      <c r="D3" s="657"/>
      <c r="E3" s="658"/>
      <c r="F3" s="659" t="s">
        <v>178</v>
      </c>
      <c r="G3" s="660"/>
      <c r="H3" s="661" t="s">
        <v>922</v>
      </c>
      <c r="I3" s="662"/>
      <c r="J3" s="662"/>
      <c r="K3" s="662"/>
      <c r="L3" s="662"/>
      <c r="M3" s="662"/>
      <c r="N3" s="662"/>
      <c r="O3" s="662"/>
      <c r="P3" s="662"/>
      <c r="Q3" s="662"/>
      <c r="R3" s="662"/>
      <c r="S3" s="662"/>
      <c r="T3" s="662"/>
      <c r="U3" s="662"/>
      <c r="V3" s="662"/>
      <c r="W3" s="662"/>
      <c r="X3" s="662"/>
      <c r="Y3" s="663"/>
      <c r="Z3" s="451"/>
    </row>
    <row r="4" spans="1:28" s="3" customFormat="1" ht="28.5">
      <c r="A4" s="667" t="s">
        <v>923</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924</v>
      </c>
      <c r="B5" s="673"/>
      <c r="C5" s="673"/>
      <c r="D5" s="673"/>
      <c r="E5" s="674"/>
      <c r="F5" s="675" t="s">
        <v>925</v>
      </c>
      <c r="G5" s="675"/>
      <c r="H5" s="676" t="s">
        <v>725</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51" t="s">
        <v>926</v>
      </c>
      <c r="C8" s="551"/>
      <c r="D8" s="551"/>
      <c r="E8" s="551"/>
      <c r="F8" s="551"/>
      <c r="G8" s="551"/>
      <c r="H8" s="246">
        <v>0.2</v>
      </c>
      <c r="I8" s="9" t="s">
        <v>927</v>
      </c>
      <c r="J8" s="9"/>
      <c r="K8" s="16"/>
      <c r="L8" s="16" t="s">
        <v>246</v>
      </c>
      <c r="M8" s="16" t="s">
        <v>246</v>
      </c>
      <c r="N8" s="16"/>
      <c r="O8" s="16"/>
      <c r="P8" s="16"/>
      <c r="Q8" s="16"/>
      <c r="R8" s="16"/>
      <c r="S8" s="16"/>
      <c r="T8" s="16"/>
      <c r="U8" s="16"/>
      <c r="V8" s="16"/>
      <c r="W8" s="594"/>
      <c r="X8" s="595"/>
      <c r="Y8" s="596"/>
      <c r="Z8" s="451"/>
      <c r="AB8" s="14">
        <v>20</v>
      </c>
    </row>
    <row r="9" spans="1:28" s="14" customFormat="1" ht="24">
      <c r="A9" s="23" t="s">
        <v>68</v>
      </c>
      <c r="B9" s="551" t="s">
        <v>928</v>
      </c>
      <c r="C9" s="551"/>
      <c r="D9" s="551"/>
      <c r="E9" s="551"/>
      <c r="F9" s="551"/>
      <c r="G9" s="551"/>
      <c r="H9" s="246">
        <v>0.1</v>
      </c>
      <c r="I9" s="9" t="s">
        <v>929</v>
      </c>
      <c r="J9" s="9"/>
      <c r="K9" s="16"/>
      <c r="L9" s="16"/>
      <c r="M9" s="16"/>
      <c r="N9" s="16" t="s">
        <v>246</v>
      </c>
      <c r="O9" s="16"/>
      <c r="P9" s="16"/>
      <c r="Q9" s="16"/>
      <c r="R9" s="16"/>
      <c r="S9" s="16"/>
      <c r="T9" s="16"/>
      <c r="U9" s="16"/>
      <c r="V9" s="16"/>
      <c r="W9" s="518"/>
      <c r="X9" s="518"/>
      <c r="Y9" s="518"/>
      <c r="Z9" s="451"/>
    </row>
    <row r="10" spans="1:28" s="14" customFormat="1" ht="24">
      <c r="A10" s="23" t="s">
        <v>70</v>
      </c>
      <c r="B10" s="551" t="s">
        <v>930</v>
      </c>
      <c r="C10" s="551"/>
      <c r="D10" s="551"/>
      <c r="E10" s="551"/>
      <c r="F10" s="551"/>
      <c r="G10" s="551"/>
      <c r="H10" s="246">
        <v>0.35</v>
      </c>
      <c r="I10" s="9" t="s">
        <v>931</v>
      </c>
      <c r="J10" s="9"/>
      <c r="K10" s="16"/>
      <c r="L10" s="16"/>
      <c r="M10" s="16"/>
      <c r="N10" s="16"/>
      <c r="O10" s="16" t="s">
        <v>246</v>
      </c>
      <c r="P10" s="16"/>
      <c r="Q10" s="16"/>
      <c r="R10" s="16"/>
      <c r="S10" s="16"/>
      <c r="T10" s="16"/>
      <c r="U10" s="16"/>
      <c r="V10" s="16"/>
      <c r="W10" s="518"/>
      <c r="X10" s="518"/>
      <c r="Y10" s="518"/>
      <c r="Z10" s="451"/>
    </row>
    <row r="11" spans="1:28" s="14" customFormat="1" ht="24">
      <c r="A11" s="23" t="s">
        <v>153</v>
      </c>
      <c r="B11" s="551" t="s">
        <v>932</v>
      </c>
      <c r="C11" s="551"/>
      <c r="D11" s="551"/>
      <c r="E11" s="551"/>
      <c r="F11" s="551"/>
      <c r="G11" s="551"/>
      <c r="H11" s="246">
        <v>0.35</v>
      </c>
      <c r="I11" s="9" t="s">
        <v>931</v>
      </c>
      <c r="J11" s="9"/>
      <c r="K11" s="16"/>
      <c r="L11" s="16"/>
      <c r="M11" s="16"/>
      <c r="N11" s="16"/>
      <c r="O11" s="16"/>
      <c r="P11" s="16" t="s">
        <v>246</v>
      </c>
      <c r="Q11" s="16"/>
      <c r="R11" s="16"/>
      <c r="S11" s="16"/>
      <c r="T11" s="16"/>
      <c r="U11" s="16"/>
      <c r="V11" s="16"/>
      <c r="W11" s="597"/>
      <c r="X11" s="597"/>
      <c r="Y11" s="597"/>
      <c r="Z11" s="451"/>
    </row>
    <row r="12" spans="1:28" s="14" customFormat="1" ht="24">
      <c r="A12" s="23" t="s">
        <v>155</v>
      </c>
      <c r="B12" s="530"/>
      <c r="C12" s="531"/>
      <c r="D12" s="531"/>
      <c r="E12" s="531"/>
      <c r="F12" s="531"/>
      <c r="G12" s="532"/>
      <c r="H12" s="15"/>
      <c r="I12" s="9"/>
      <c r="J12" s="9"/>
      <c r="K12" s="16"/>
      <c r="L12" s="16"/>
      <c r="M12" s="16"/>
      <c r="N12" s="16"/>
      <c r="O12" s="16"/>
      <c r="P12" s="16"/>
      <c r="Q12" s="16"/>
      <c r="R12" s="16"/>
      <c r="S12" s="16"/>
      <c r="T12" s="16"/>
      <c r="U12" s="16"/>
      <c r="V12" s="16"/>
      <c r="W12" s="518"/>
      <c r="X12" s="518"/>
      <c r="Y12" s="518"/>
      <c r="Z12" s="451"/>
    </row>
    <row r="13" spans="1:28" s="14" customFormat="1" ht="24.75" thickBot="1">
      <c r="A13" s="23" t="s">
        <v>156</v>
      </c>
      <c r="B13" s="551"/>
      <c r="C13" s="551"/>
      <c r="D13" s="551"/>
      <c r="E13" s="551"/>
      <c r="F13" s="551"/>
      <c r="G13" s="551"/>
      <c r="H13" s="15"/>
      <c r="I13" s="9"/>
      <c r="J13" s="9"/>
      <c r="K13" s="232"/>
      <c r="L13" s="232"/>
      <c r="M13" s="232"/>
      <c r="N13" s="232"/>
      <c r="O13" s="232"/>
      <c r="P13" s="232"/>
      <c r="Q13" s="232"/>
      <c r="R13" s="232"/>
      <c r="S13" s="232"/>
      <c r="T13" s="232"/>
      <c r="U13" s="232"/>
      <c r="V13" s="232"/>
      <c r="W13" s="679"/>
      <c r="X13" s="680"/>
      <c r="Y13" s="681"/>
      <c r="Z13" s="451"/>
    </row>
    <row r="14" spans="1:28" ht="30" thickTop="1" thickBot="1">
      <c r="A14" s="519" t="s">
        <v>72</v>
      </c>
      <c r="B14" s="520"/>
      <c r="C14" s="520"/>
      <c r="D14" s="521"/>
      <c r="E14" s="527" t="s">
        <v>73</v>
      </c>
      <c r="F14" s="528"/>
      <c r="G14" s="528"/>
      <c r="H14" s="528"/>
      <c r="I14" s="528"/>
      <c r="J14" s="527" t="s">
        <v>74</v>
      </c>
      <c r="K14" s="528"/>
      <c r="L14" s="528"/>
      <c r="M14" s="529"/>
      <c r="N14" s="543" t="s">
        <v>75</v>
      </c>
      <c r="O14" s="544"/>
      <c r="P14" s="544"/>
      <c r="Q14" s="544"/>
      <c r="R14" s="544"/>
      <c r="S14" s="544"/>
      <c r="T14" s="544"/>
      <c r="U14" s="544"/>
      <c r="V14" s="545"/>
      <c r="W14" s="543" t="s">
        <v>76</v>
      </c>
      <c r="X14" s="544"/>
      <c r="Y14" s="545"/>
      <c r="Z14" s="451"/>
    </row>
    <row r="15" spans="1:28" s="20" customFormat="1" ht="29.25" thickTop="1">
      <c r="A15" s="522"/>
      <c r="B15" s="498"/>
      <c r="C15" s="498"/>
      <c r="D15" s="523"/>
      <c r="E15" s="533"/>
      <c r="F15" s="534"/>
      <c r="G15" s="533"/>
      <c r="H15" s="539"/>
      <c r="I15" s="534"/>
      <c r="J15" s="541" t="s">
        <v>47</v>
      </c>
      <c r="K15" s="539"/>
      <c r="L15" s="539"/>
      <c r="M15" s="534"/>
      <c r="N15" s="546"/>
      <c r="O15" s="481"/>
      <c r="P15" s="481"/>
      <c r="Q15" s="481"/>
      <c r="R15" s="481"/>
      <c r="S15" s="481"/>
      <c r="T15" s="481"/>
      <c r="U15" s="481"/>
      <c r="V15" s="547"/>
      <c r="W15" s="546"/>
      <c r="X15" s="481"/>
      <c r="Y15" s="547"/>
    </row>
    <row r="16" spans="1:28" s="20" customFormat="1" ht="29.25" thickBot="1">
      <c r="A16" s="522"/>
      <c r="B16" s="498"/>
      <c r="C16" s="498"/>
      <c r="D16" s="523"/>
      <c r="E16" s="535"/>
      <c r="F16" s="536"/>
      <c r="G16" s="535"/>
      <c r="H16" s="507"/>
      <c r="I16" s="536"/>
      <c r="J16" s="542"/>
      <c r="K16" s="540"/>
      <c r="L16" s="540"/>
      <c r="M16" s="538"/>
      <c r="N16" s="546"/>
      <c r="O16" s="481"/>
      <c r="P16" s="481"/>
      <c r="Q16" s="481"/>
      <c r="R16" s="481"/>
      <c r="S16" s="481"/>
      <c r="T16" s="481"/>
      <c r="U16" s="481"/>
      <c r="V16" s="547"/>
      <c r="W16" s="546"/>
      <c r="X16" s="481"/>
      <c r="Y16" s="547"/>
    </row>
    <row r="17" spans="1:25" s="20" customFormat="1" ht="29.25" thickTop="1">
      <c r="A17" s="522"/>
      <c r="B17" s="498"/>
      <c r="C17" s="498"/>
      <c r="D17" s="523"/>
      <c r="E17" s="535"/>
      <c r="F17" s="536"/>
      <c r="G17" s="535"/>
      <c r="H17" s="507"/>
      <c r="I17" s="536"/>
      <c r="J17" s="541" t="s">
        <v>48</v>
      </c>
      <c r="K17" s="539"/>
      <c r="L17" s="539"/>
      <c r="M17" s="534"/>
      <c r="N17" s="546"/>
      <c r="O17" s="481"/>
      <c r="P17" s="481"/>
      <c r="Q17" s="481"/>
      <c r="R17" s="481"/>
      <c r="S17" s="481"/>
      <c r="T17" s="481"/>
      <c r="U17" s="481"/>
      <c r="V17" s="547"/>
      <c r="W17" s="546"/>
      <c r="X17" s="481"/>
      <c r="Y17" s="547"/>
    </row>
    <row r="18" spans="1:25" s="20" customFormat="1" ht="29.25" thickBot="1">
      <c r="A18" s="524"/>
      <c r="B18" s="525"/>
      <c r="C18" s="525"/>
      <c r="D18" s="526"/>
      <c r="E18" s="537"/>
      <c r="F18" s="538"/>
      <c r="G18" s="537"/>
      <c r="H18" s="540"/>
      <c r="I18" s="538"/>
      <c r="J18" s="542"/>
      <c r="K18" s="540"/>
      <c r="L18" s="540"/>
      <c r="M18" s="538"/>
      <c r="N18" s="548"/>
      <c r="O18" s="549"/>
      <c r="P18" s="549"/>
      <c r="Q18" s="549"/>
      <c r="R18" s="549"/>
      <c r="S18" s="549"/>
      <c r="T18" s="549"/>
      <c r="U18" s="549"/>
      <c r="V18" s="550"/>
      <c r="W18" s="548"/>
      <c r="X18" s="549"/>
      <c r="Y18" s="550"/>
    </row>
    <row r="19" spans="1:25" ht="18.75" thickTop="1"/>
  </sheetData>
  <mergeCells count="41">
    <mergeCell ref="A1:Y1"/>
    <mergeCell ref="Z1:Z14"/>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W14:Y18"/>
    <mergeCell ref="E15:F18"/>
    <mergeCell ref="G15:I18"/>
    <mergeCell ref="J15:J16"/>
    <mergeCell ref="K15:M16"/>
    <mergeCell ref="J17:J18"/>
    <mergeCell ref="K17:M18"/>
    <mergeCell ref="A14:D18"/>
    <mergeCell ref="E14:I14"/>
    <mergeCell ref="J14:M14"/>
    <mergeCell ref="N14:V18"/>
  </mergeCells>
  <printOptions horizontalCentered="1" verticalCentered="1"/>
  <pageMargins left="0" right="0" top="0" bottom="0" header="0" footer="0"/>
  <pageSetup scale="45"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0AEF-F271-4F24-85BE-98D768E3F6C7}">
  <dimension ref="A1:AD23"/>
  <sheetViews>
    <sheetView rightToLeft="1" zoomScale="70" zoomScaleNormal="70" zoomScaleSheetLayoutView="90" workbookViewId="0">
      <selection activeCell="AD11" sqref="AD10:AD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899</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2551</v>
      </c>
      <c r="B3" s="456"/>
      <c r="C3" s="456"/>
      <c r="D3" s="456"/>
      <c r="E3" s="456"/>
      <c r="F3" s="456"/>
      <c r="G3" s="457" t="s">
        <v>2540</v>
      </c>
      <c r="H3" s="457"/>
      <c r="I3" s="458" t="s">
        <v>2552</v>
      </c>
      <c r="J3" s="458"/>
      <c r="K3" s="458"/>
      <c r="L3" s="458"/>
      <c r="M3" s="458"/>
      <c r="N3" s="458"/>
      <c r="O3" s="458"/>
      <c r="P3" s="458"/>
      <c r="Q3" s="458"/>
      <c r="R3" s="458"/>
      <c r="S3" s="458"/>
      <c r="T3" s="458"/>
      <c r="U3" s="458"/>
      <c r="V3" s="458"/>
      <c r="W3" s="458"/>
      <c r="X3" s="458"/>
      <c r="Y3" s="458"/>
      <c r="Z3" s="459"/>
      <c r="AA3" s="451"/>
    </row>
    <row r="4" spans="1:30" s="3" customFormat="1" ht="28.5" customHeight="1">
      <c r="A4" s="460" t="s">
        <v>903</v>
      </c>
      <c r="B4" s="461"/>
      <c r="C4" s="461"/>
      <c r="D4" s="461"/>
      <c r="E4" s="461"/>
      <c r="F4" s="462"/>
      <c r="G4" s="457" t="s">
        <v>904</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905</v>
      </c>
      <c r="H5" s="456"/>
      <c r="I5" s="792" t="s">
        <v>2544</v>
      </c>
      <c r="J5" s="793"/>
      <c r="K5" s="793"/>
      <c r="L5" s="793"/>
      <c r="M5" s="793"/>
      <c r="N5" s="793"/>
      <c r="O5" s="793"/>
      <c r="P5" s="793"/>
      <c r="Q5" s="793"/>
      <c r="R5" s="793"/>
      <c r="S5" s="793"/>
      <c r="T5" s="793"/>
      <c r="U5" s="793"/>
      <c r="V5" s="793"/>
      <c r="W5" s="793"/>
      <c r="X5" s="793"/>
      <c r="Y5" s="793"/>
      <c r="Z5" s="794"/>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24">
      <c r="A8" s="7" t="s">
        <v>28</v>
      </c>
      <c r="B8" s="647" t="s">
        <v>2553</v>
      </c>
      <c r="C8" s="647"/>
      <c r="D8" s="647"/>
      <c r="E8" s="647"/>
      <c r="F8" s="647"/>
      <c r="G8" s="647"/>
      <c r="H8" s="647"/>
      <c r="I8" s="132">
        <v>10</v>
      </c>
      <c r="J8" s="133" t="s">
        <v>896</v>
      </c>
      <c r="K8" s="10"/>
      <c r="L8" s="245"/>
      <c r="M8" s="245"/>
      <c r="N8" s="245"/>
      <c r="O8" s="30"/>
      <c r="P8" s="30"/>
      <c r="Q8" s="30"/>
      <c r="R8" s="30"/>
      <c r="S8" s="30"/>
      <c r="T8" s="30"/>
      <c r="U8" s="30"/>
      <c r="V8" s="30"/>
      <c r="W8" s="30"/>
      <c r="X8" s="475"/>
      <c r="Y8" s="475"/>
      <c r="Z8" s="476"/>
      <c r="AA8" s="451"/>
      <c r="AD8" s="14">
        <v>10</v>
      </c>
    </row>
    <row r="9" spans="1:30" s="14" customFormat="1" ht="24">
      <c r="A9" s="7" t="s">
        <v>66</v>
      </c>
      <c r="B9" s="647" t="s">
        <v>2554</v>
      </c>
      <c r="C9" s="647"/>
      <c r="D9" s="647"/>
      <c r="E9" s="647"/>
      <c r="F9" s="647"/>
      <c r="G9" s="647"/>
      <c r="H9" s="647"/>
      <c r="I9" s="132">
        <v>10</v>
      </c>
      <c r="J9" s="133" t="s">
        <v>896</v>
      </c>
      <c r="K9" s="10"/>
      <c r="L9" s="245"/>
      <c r="M9" s="245"/>
      <c r="N9" s="245"/>
      <c r="O9" s="30"/>
      <c r="P9" s="30"/>
      <c r="Q9" s="30"/>
      <c r="R9" s="30"/>
      <c r="S9" s="30"/>
      <c r="T9" s="30"/>
      <c r="U9" s="30"/>
      <c r="V9" s="30"/>
      <c r="W9" s="30"/>
      <c r="X9" s="475"/>
      <c r="Y9" s="475"/>
      <c r="Z9" s="476"/>
      <c r="AA9" s="451"/>
      <c r="AD9" s="14">
        <v>10</v>
      </c>
    </row>
    <row r="10" spans="1:30" s="14" customFormat="1" ht="24">
      <c r="A10" s="7" t="s">
        <v>68</v>
      </c>
      <c r="B10" s="647" t="s">
        <v>2555</v>
      </c>
      <c r="C10" s="647"/>
      <c r="D10" s="647"/>
      <c r="E10" s="647"/>
      <c r="F10" s="647"/>
      <c r="G10" s="647"/>
      <c r="H10" s="647"/>
      <c r="I10" s="132">
        <v>20</v>
      </c>
      <c r="J10" s="133" t="s">
        <v>896</v>
      </c>
      <c r="K10" s="10"/>
      <c r="L10" s="30"/>
      <c r="M10" s="30"/>
      <c r="N10" s="245"/>
      <c r="O10" s="245"/>
      <c r="P10" s="245"/>
      <c r="Q10" s="245"/>
      <c r="R10" s="30"/>
      <c r="S10" s="30"/>
      <c r="T10" s="30"/>
      <c r="U10" s="30"/>
      <c r="V10" s="30"/>
      <c r="W10" s="30"/>
      <c r="X10" s="468"/>
      <c r="Y10" s="468"/>
      <c r="Z10" s="469"/>
      <c r="AA10" s="451"/>
      <c r="AD10" s="14">
        <f>(15/4)*1</f>
        <v>3.75</v>
      </c>
    </row>
    <row r="11" spans="1:30" s="14" customFormat="1" ht="24">
      <c r="A11" s="7" t="s">
        <v>70</v>
      </c>
      <c r="B11" s="647" t="s">
        <v>2556</v>
      </c>
      <c r="C11" s="647"/>
      <c r="D11" s="647"/>
      <c r="E11" s="647"/>
      <c r="F11" s="647"/>
      <c r="G11" s="647"/>
      <c r="H11" s="647"/>
      <c r="I11" s="132">
        <v>15</v>
      </c>
      <c r="J11" s="133" t="s">
        <v>896</v>
      </c>
      <c r="K11" s="10"/>
      <c r="L11" s="30"/>
      <c r="M11" s="30"/>
      <c r="N11" s="245"/>
      <c r="O11" s="245"/>
      <c r="P11" s="245"/>
      <c r="Q11" s="245"/>
      <c r="R11" s="30"/>
      <c r="S11" s="30"/>
      <c r="T11" s="30"/>
      <c r="U11" s="30"/>
      <c r="V11" s="30"/>
      <c r="W11" s="30"/>
      <c r="X11" s="468"/>
      <c r="Y11" s="468"/>
      <c r="Z11" s="469"/>
      <c r="AA11" s="451"/>
      <c r="AD11" s="14">
        <f>(20/4)*1</f>
        <v>5</v>
      </c>
    </row>
    <row r="12" spans="1:30" s="14" customFormat="1" ht="24">
      <c r="A12" s="7" t="s">
        <v>153</v>
      </c>
      <c r="B12" s="647" t="s">
        <v>2557</v>
      </c>
      <c r="C12" s="647"/>
      <c r="D12" s="647"/>
      <c r="E12" s="647"/>
      <c r="F12" s="647"/>
      <c r="G12" s="647"/>
      <c r="H12" s="647"/>
      <c r="I12" s="132">
        <v>15</v>
      </c>
      <c r="J12" s="133" t="s">
        <v>896</v>
      </c>
      <c r="K12" s="10"/>
      <c r="L12" s="30"/>
      <c r="M12" s="30"/>
      <c r="N12" s="30"/>
      <c r="O12" s="30"/>
      <c r="P12" s="245"/>
      <c r="Q12" s="245"/>
      <c r="R12" s="245"/>
      <c r="S12" s="245"/>
      <c r="T12" s="30"/>
      <c r="U12" s="30"/>
      <c r="V12" s="30"/>
      <c r="W12" s="30"/>
      <c r="X12" s="475"/>
      <c r="Y12" s="475"/>
      <c r="Z12" s="476"/>
      <c r="AA12" s="451"/>
    </row>
    <row r="13" spans="1:30" s="14" customFormat="1" ht="24">
      <c r="A13" s="7" t="s">
        <v>155</v>
      </c>
      <c r="B13" s="647" t="s">
        <v>2558</v>
      </c>
      <c r="C13" s="647"/>
      <c r="D13" s="647"/>
      <c r="E13" s="647"/>
      <c r="F13" s="647"/>
      <c r="G13" s="647"/>
      <c r="H13" s="647"/>
      <c r="I13" s="132">
        <v>20</v>
      </c>
      <c r="J13" s="133" t="s">
        <v>896</v>
      </c>
      <c r="K13" s="10"/>
      <c r="L13" s="30"/>
      <c r="M13" s="30"/>
      <c r="N13" s="30"/>
      <c r="O13" s="30"/>
      <c r="P13" s="30"/>
      <c r="Q13" s="30"/>
      <c r="R13" s="30"/>
      <c r="S13" s="245"/>
      <c r="T13" s="245"/>
      <c r="U13" s="245"/>
      <c r="V13" s="245"/>
      <c r="W13" s="30"/>
      <c r="X13" s="468"/>
      <c r="Y13" s="468"/>
      <c r="Z13" s="469"/>
      <c r="AA13" s="451"/>
    </row>
    <row r="14" spans="1:30" s="14" customFormat="1" ht="24">
      <c r="A14" s="7" t="s">
        <v>156</v>
      </c>
      <c r="B14" s="647" t="s">
        <v>2559</v>
      </c>
      <c r="C14" s="647"/>
      <c r="D14" s="647"/>
      <c r="E14" s="647"/>
      <c r="F14" s="647"/>
      <c r="G14" s="647"/>
      <c r="H14" s="647"/>
      <c r="I14" s="132">
        <v>10</v>
      </c>
      <c r="J14" s="133" t="s">
        <v>896</v>
      </c>
      <c r="K14" s="10"/>
      <c r="L14" s="30"/>
      <c r="M14" s="30"/>
      <c r="N14" s="30"/>
      <c r="O14" s="30"/>
      <c r="P14" s="30"/>
      <c r="Q14" s="30"/>
      <c r="R14" s="30"/>
      <c r="S14" s="30"/>
      <c r="T14" s="30"/>
      <c r="U14" s="30"/>
      <c r="V14" s="245"/>
      <c r="W14" s="245"/>
      <c r="X14" s="468"/>
      <c r="Y14" s="468"/>
      <c r="Z14" s="469"/>
      <c r="AA14" s="451"/>
    </row>
    <row r="15" spans="1:30" s="14" customFormat="1" ht="24">
      <c r="A15" s="7" t="s">
        <v>853</v>
      </c>
      <c r="B15" s="647"/>
      <c r="C15" s="647"/>
      <c r="D15" s="647"/>
      <c r="E15" s="647"/>
      <c r="F15" s="647"/>
      <c r="G15" s="647"/>
      <c r="H15" s="647"/>
      <c r="I15" s="132"/>
      <c r="J15" s="133"/>
      <c r="K15" s="10"/>
      <c r="L15" s="30"/>
      <c r="M15" s="30"/>
      <c r="N15" s="30"/>
      <c r="O15" s="30"/>
      <c r="P15" s="30"/>
      <c r="Q15" s="30"/>
      <c r="R15" s="30"/>
      <c r="S15" s="30"/>
      <c r="T15" s="30"/>
      <c r="U15" s="30"/>
      <c r="V15" s="30"/>
      <c r="W15" s="30"/>
      <c r="X15" s="468"/>
      <c r="Y15" s="468"/>
      <c r="Z15" s="469"/>
      <c r="AA15" s="451"/>
    </row>
    <row r="16" spans="1:30" s="14" customFormat="1" ht="24">
      <c r="A16" s="7" t="s">
        <v>892</v>
      </c>
      <c r="B16" s="647"/>
      <c r="C16" s="647"/>
      <c r="D16" s="647"/>
      <c r="E16" s="647"/>
      <c r="F16" s="647"/>
      <c r="G16" s="647"/>
      <c r="H16" s="647"/>
      <c r="I16" s="132"/>
      <c r="J16" s="133"/>
      <c r="K16" s="10"/>
      <c r="L16" s="30"/>
      <c r="M16" s="30"/>
      <c r="N16" s="30"/>
      <c r="O16" s="30"/>
      <c r="P16" s="30"/>
      <c r="Q16" s="30"/>
      <c r="R16" s="30"/>
      <c r="S16" s="30"/>
      <c r="T16" s="30"/>
      <c r="U16" s="30"/>
      <c r="V16" s="30"/>
      <c r="W16" s="30"/>
      <c r="X16" s="468"/>
      <c r="Y16" s="468"/>
      <c r="Z16" s="469"/>
      <c r="AA16" s="451"/>
    </row>
    <row r="17" spans="1:27" s="14" customFormat="1" ht="24">
      <c r="A17" s="7" t="s">
        <v>894</v>
      </c>
      <c r="B17" s="647"/>
      <c r="C17" s="647"/>
      <c r="D17" s="647"/>
      <c r="E17" s="647"/>
      <c r="F17" s="647"/>
      <c r="G17" s="647"/>
      <c r="H17" s="647"/>
      <c r="I17" s="132"/>
      <c r="J17" s="133"/>
      <c r="K17" s="10"/>
      <c r="L17" s="134"/>
      <c r="M17" s="134"/>
      <c r="N17" s="134"/>
      <c r="O17" s="134"/>
      <c r="P17" s="134"/>
      <c r="Q17" s="134"/>
      <c r="R17" s="134"/>
      <c r="S17" s="134"/>
      <c r="T17" s="134"/>
      <c r="U17" s="134"/>
      <c r="V17" s="134"/>
      <c r="W17" s="134"/>
      <c r="X17" s="651"/>
      <c r="Y17" s="651"/>
      <c r="Z17" s="652"/>
      <c r="AA17" s="451"/>
    </row>
    <row r="18" spans="1:27" ht="57.75" customHeight="1">
      <c r="A18" s="488" t="s">
        <v>42</v>
      </c>
      <c r="B18" s="489"/>
      <c r="C18" s="489"/>
      <c r="D18" s="489"/>
      <c r="E18" s="490"/>
      <c r="F18" s="472" t="s">
        <v>43</v>
      </c>
      <c r="G18" s="472"/>
      <c r="H18" s="472"/>
      <c r="I18" s="472"/>
      <c r="J18" s="472"/>
      <c r="K18" s="472" t="s">
        <v>44</v>
      </c>
      <c r="L18" s="472"/>
      <c r="M18" s="472"/>
      <c r="N18" s="472"/>
      <c r="O18" s="491" t="s">
        <v>45</v>
      </c>
      <c r="P18" s="492"/>
      <c r="Q18" s="492"/>
      <c r="R18" s="492"/>
      <c r="S18" s="492"/>
      <c r="T18" s="492"/>
      <c r="U18" s="492"/>
      <c r="V18" s="492"/>
      <c r="W18" s="493"/>
      <c r="X18" s="472" t="s">
        <v>46</v>
      </c>
      <c r="Y18" s="472"/>
      <c r="Z18" s="472"/>
      <c r="AA18" s="451"/>
    </row>
    <row r="19" spans="1:27" s="20" customFormat="1" ht="28.5">
      <c r="A19" s="494"/>
      <c r="B19" s="495"/>
      <c r="C19" s="495"/>
      <c r="D19" s="495"/>
      <c r="E19" s="496"/>
      <c r="F19" s="503"/>
      <c r="G19" s="504"/>
      <c r="H19" s="504"/>
      <c r="I19" s="504"/>
      <c r="J19" s="505"/>
      <c r="K19" s="486" t="s">
        <v>47</v>
      </c>
      <c r="L19" s="486"/>
      <c r="M19" s="486"/>
      <c r="N19" s="486"/>
      <c r="O19" s="477"/>
      <c r="P19" s="478"/>
      <c r="Q19" s="478"/>
      <c r="R19" s="478"/>
      <c r="S19" s="478"/>
      <c r="T19" s="478"/>
      <c r="U19" s="478"/>
      <c r="V19" s="478"/>
      <c r="W19" s="512"/>
      <c r="X19" s="477"/>
      <c r="Y19" s="478"/>
      <c r="Z19" s="479"/>
    </row>
    <row r="20" spans="1:27" s="20" customFormat="1" ht="28.5">
      <c r="A20" s="497"/>
      <c r="B20" s="498"/>
      <c r="C20" s="498"/>
      <c r="D20" s="498"/>
      <c r="E20" s="499"/>
      <c r="F20" s="506"/>
      <c r="G20" s="507"/>
      <c r="H20" s="507"/>
      <c r="I20" s="507"/>
      <c r="J20" s="508"/>
      <c r="K20" s="486"/>
      <c r="L20" s="486"/>
      <c r="M20" s="486"/>
      <c r="N20" s="486"/>
      <c r="O20" s="480"/>
      <c r="P20" s="481"/>
      <c r="Q20" s="481"/>
      <c r="R20" s="481"/>
      <c r="S20" s="481"/>
      <c r="T20" s="481"/>
      <c r="U20" s="481"/>
      <c r="V20" s="481"/>
      <c r="W20" s="513"/>
      <c r="X20" s="480"/>
      <c r="Y20" s="481"/>
      <c r="Z20" s="482"/>
    </row>
    <row r="21" spans="1:27" s="20" customFormat="1" ht="28.5">
      <c r="A21" s="497"/>
      <c r="B21" s="498"/>
      <c r="C21" s="498"/>
      <c r="D21" s="498"/>
      <c r="E21" s="499"/>
      <c r="F21" s="506"/>
      <c r="G21" s="507"/>
      <c r="H21" s="507"/>
      <c r="I21" s="507"/>
      <c r="J21" s="508"/>
      <c r="K21" s="486" t="s">
        <v>48</v>
      </c>
      <c r="L21" s="486"/>
      <c r="M21" s="486"/>
      <c r="N21" s="486"/>
      <c r="O21" s="480"/>
      <c r="P21" s="481"/>
      <c r="Q21" s="481"/>
      <c r="R21" s="481"/>
      <c r="S21" s="481"/>
      <c r="T21" s="481"/>
      <c r="U21" s="481"/>
      <c r="V21" s="481"/>
      <c r="W21" s="513"/>
      <c r="X21" s="480"/>
      <c r="Y21" s="481"/>
      <c r="Z21" s="482"/>
    </row>
    <row r="22" spans="1:27" s="20" customFormat="1" ht="29.25" thickBot="1">
      <c r="A22" s="500"/>
      <c r="B22" s="501"/>
      <c r="C22" s="501"/>
      <c r="D22" s="501"/>
      <c r="E22" s="502"/>
      <c r="F22" s="509"/>
      <c r="G22" s="510"/>
      <c r="H22" s="510"/>
      <c r="I22" s="510"/>
      <c r="J22" s="511"/>
      <c r="K22" s="487"/>
      <c r="L22" s="487"/>
      <c r="M22" s="487"/>
      <c r="N22" s="487"/>
      <c r="O22" s="483"/>
      <c r="P22" s="484"/>
      <c r="Q22" s="484"/>
      <c r="R22" s="484"/>
      <c r="S22" s="484"/>
      <c r="T22" s="484"/>
      <c r="U22" s="484"/>
      <c r="V22" s="484"/>
      <c r="W22" s="514"/>
      <c r="X22" s="483"/>
      <c r="Y22" s="484"/>
      <c r="Z22" s="485"/>
    </row>
    <row r="23" spans="1:27" ht="18.75" thickTop="1"/>
  </sheetData>
  <mergeCells count="50">
    <mergeCell ref="B9:H9"/>
    <mergeCell ref="X9:Z9"/>
    <mergeCell ref="A1:Y1"/>
    <mergeCell ref="AA1:AA18"/>
    <mergeCell ref="A2:Z2"/>
    <mergeCell ref="A3:F3"/>
    <mergeCell ref="G3:H3"/>
    <mergeCell ref="I3:Z4"/>
    <mergeCell ref="A4:F5"/>
    <mergeCell ref="G4:H4"/>
    <mergeCell ref="G5:H5"/>
    <mergeCell ref="I5:Z5"/>
    <mergeCell ref="B10:H10"/>
    <mergeCell ref="X10:Z10"/>
    <mergeCell ref="A6:A7"/>
    <mergeCell ref="B6:H7"/>
    <mergeCell ref="B13:H13"/>
    <mergeCell ref="X13:Z13"/>
    <mergeCell ref="B14:H14"/>
    <mergeCell ref="X14:Z14"/>
    <mergeCell ref="B15:H15"/>
    <mergeCell ref="X15:Z15"/>
    <mergeCell ref="K6:K7"/>
    <mergeCell ref="L6:W6"/>
    <mergeCell ref="X6:Z7"/>
    <mergeCell ref="B8:H8"/>
    <mergeCell ref="X8:Z8"/>
    <mergeCell ref="I6:I7"/>
    <mergeCell ref="J6:J7"/>
    <mergeCell ref="B16:H16"/>
    <mergeCell ref="X16:Z16"/>
    <mergeCell ref="X19:Z22"/>
    <mergeCell ref="L19:N20"/>
    <mergeCell ref="O19:W22"/>
    <mergeCell ref="B11:H11"/>
    <mergeCell ref="X11:Z11"/>
    <mergeCell ref="B12:H12"/>
    <mergeCell ref="X12:Z12"/>
    <mergeCell ref="K21:K22"/>
    <mergeCell ref="L21:N22"/>
    <mergeCell ref="B17:H17"/>
    <mergeCell ref="X17:Z17"/>
    <mergeCell ref="A18:E18"/>
    <mergeCell ref="F18:J18"/>
    <mergeCell ref="K18:N18"/>
    <mergeCell ref="O18:W18"/>
    <mergeCell ref="X18:Z18"/>
    <mergeCell ref="A19:E22"/>
    <mergeCell ref="F19:J22"/>
    <mergeCell ref="K19:K20"/>
  </mergeCells>
  <printOptions horizontalCentered="1" verticalCentered="1"/>
  <pageMargins left="0" right="0" top="0" bottom="0" header="0" footer="0"/>
  <pageSetup scale="40"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0089-4153-4B59-AEDB-2D8A5489F0E9}">
  <dimension ref="A1:AC23"/>
  <sheetViews>
    <sheetView rightToLeft="1" zoomScale="70" zoomScaleNormal="70" zoomScaleSheetLayoutView="90" workbookViewId="0">
      <selection activeCell="AC12" sqref="AC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899</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2539</v>
      </c>
      <c r="B3" s="456"/>
      <c r="C3" s="456"/>
      <c r="D3" s="456"/>
      <c r="E3" s="456"/>
      <c r="F3" s="456"/>
      <c r="G3" s="457" t="s">
        <v>2540</v>
      </c>
      <c r="H3" s="457"/>
      <c r="I3" s="458" t="s">
        <v>2541</v>
      </c>
      <c r="J3" s="458"/>
      <c r="K3" s="458"/>
      <c r="L3" s="458"/>
      <c r="M3" s="458"/>
      <c r="N3" s="458"/>
      <c r="O3" s="458"/>
      <c r="P3" s="458"/>
      <c r="Q3" s="458"/>
      <c r="R3" s="458"/>
      <c r="S3" s="458"/>
      <c r="T3" s="458"/>
      <c r="U3" s="458"/>
      <c r="V3" s="458"/>
      <c r="W3" s="458"/>
      <c r="X3" s="458"/>
      <c r="Y3" s="458"/>
      <c r="Z3" s="459"/>
      <c r="AA3" s="451"/>
    </row>
    <row r="4" spans="1:29" s="3" customFormat="1" ht="28.5" customHeight="1">
      <c r="A4" s="460" t="s">
        <v>903</v>
      </c>
      <c r="B4" s="461"/>
      <c r="C4" s="461"/>
      <c r="D4" s="461"/>
      <c r="E4" s="461"/>
      <c r="F4" s="462"/>
      <c r="G4" s="457" t="s">
        <v>2542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2543</v>
      </c>
      <c r="H5" s="456"/>
      <c r="I5" s="792" t="s">
        <v>2544</v>
      </c>
      <c r="J5" s="793"/>
      <c r="K5" s="793"/>
      <c r="L5" s="793"/>
      <c r="M5" s="793"/>
      <c r="N5" s="793"/>
      <c r="O5" s="793"/>
      <c r="P5" s="793"/>
      <c r="Q5" s="793"/>
      <c r="R5" s="793"/>
      <c r="S5" s="793"/>
      <c r="T5" s="793"/>
      <c r="U5" s="793"/>
      <c r="V5" s="793"/>
      <c r="W5" s="793"/>
      <c r="X5" s="793"/>
      <c r="Y5" s="793"/>
      <c r="Z5" s="794"/>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2545</v>
      </c>
      <c r="C8" s="647"/>
      <c r="D8" s="647"/>
      <c r="E8" s="647"/>
      <c r="F8" s="647"/>
      <c r="G8" s="647"/>
      <c r="H8" s="647"/>
      <c r="I8" s="132">
        <v>20</v>
      </c>
      <c r="J8" s="133" t="s">
        <v>896</v>
      </c>
      <c r="K8" s="10"/>
      <c r="L8" s="30"/>
      <c r="M8" s="245"/>
      <c r="N8" s="245"/>
      <c r="O8" s="245"/>
      <c r="P8" s="30"/>
      <c r="Q8" s="30"/>
      <c r="R8" s="30"/>
      <c r="S8" s="30"/>
      <c r="T8" s="30"/>
      <c r="U8" s="30"/>
      <c r="V8" s="30"/>
      <c r="W8" s="30"/>
      <c r="X8" s="475"/>
      <c r="Y8" s="475"/>
      <c r="Z8" s="476"/>
      <c r="AA8" s="451"/>
      <c r="AC8" s="14">
        <v>20</v>
      </c>
    </row>
    <row r="9" spans="1:29" s="14" customFormat="1" ht="24">
      <c r="A9" s="7" t="s">
        <v>66</v>
      </c>
      <c r="B9" s="647" t="s">
        <v>2546</v>
      </c>
      <c r="C9" s="647"/>
      <c r="D9" s="647"/>
      <c r="E9" s="647"/>
      <c r="F9" s="647"/>
      <c r="G9" s="647"/>
      <c r="H9" s="647"/>
      <c r="I9" s="132">
        <v>20</v>
      </c>
      <c r="J9" s="133" t="s">
        <v>896</v>
      </c>
      <c r="K9" s="10"/>
      <c r="L9" s="30"/>
      <c r="M9" s="30"/>
      <c r="N9" s="245"/>
      <c r="O9" s="245"/>
      <c r="P9" s="30"/>
      <c r="Q9" s="30"/>
      <c r="R9" s="30"/>
      <c r="S9" s="30"/>
      <c r="T9" s="30"/>
      <c r="U9" s="30"/>
      <c r="V9" s="30"/>
      <c r="W9" s="30"/>
      <c r="X9" s="475"/>
      <c r="Y9" s="475"/>
      <c r="Z9" s="476"/>
      <c r="AA9" s="451"/>
      <c r="AC9" s="14">
        <v>10</v>
      </c>
    </row>
    <row r="10" spans="1:29" s="14" customFormat="1" ht="24">
      <c r="A10" s="7" t="s">
        <v>68</v>
      </c>
      <c r="B10" s="647" t="s">
        <v>2547</v>
      </c>
      <c r="C10" s="647"/>
      <c r="D10" s="647"/>
      <c r="E10" s="647"/>
      <c r="F10" s="647"/>
      <c r="G10" s="647"/>
      <c r="H10" s="647"/>
      <c r="I10" s="132">
        <v>15</v>
      </c>
      <c r="J10" s="133" t="s">
        <v>896</v>
      </c>
      <c r="K10" s="10"/>
      <c r="L10" s="30"/>
      <c r="M10" s="30"/>
      <c r="N10" s="245"/>
      <c r="O10" s="245"/>
      <c r="P10" s="245"/>
      <c r="Q10" s="245"/>
      <c r="R10" s="245"/>
      <c r="S10" s="245"/>
      <c r="T10" s="245"/>
      <c r="U10" s="245"/>
      <c r="V10" s="245"/>
      <c r="W10" s="245"/>
      <c r="X10" s="468"/>
      <c r="Y10" s="468"/>
      <c r="Z10" s="469"/>
      <c r="AA10" s="451"/>
      <c r="AC10" s="14">
        <f>(I10/10)*1</f>
        <v>1.5</v>
      </c>
    </row>
    <row r="11" spans="1:29" s="14" customFormat="1" ht="24">
      <c r="A11" s="7" t="s">
        <v>70</v>
      </c>
      <c r="B11" s="647" t="s">
        <v>2548</v>
      </c>
      <c r="C11" s="647"/>
      <c r="D11" s="647"/>
      <c r="E11" s="647"/>
      <c r="F11" s="647"/>
      <c r="G11" s="647"/>
      <c r="H11" s="647"/>
      <c r="I11" s="132">
        <v>20</v>
      </c>
      <c r="J11" s="133" t="s">
        <v>896</v>
      </c>
      <c r="K11" s="10"/>
      <c r="L11" s="30"/>
      <c r="M11" s="30"/>
      <c r="N11" s="245"/>
      <c r="O11" s="245"/>
      <c r="P11" s="245"/>
      <c r="Q11" s="245"/>
      <c r="R11" s="245"/>
      <c r="S11" s="245"/>
      <c r="T11" s="245"/>
      <c r="U11" s="245"/>
      <c r="V11" s="245"/>
      <c r="W11" s="245"/>
      <c r="X11" s="468"/>
      <c r="Y11" s="468"/>
      <c r="Z11" s="469"/>
      <c r="AA11" s="451"/>
      <c r="AC11" s="14">
        <f t="shared" ref="AC11:AC13" si="0">(I11/10)*1</f>
        <v>2</v>
      </c>
    </row>
    <row r="12" spans="1:29" s="14" customFormat="1" ht="24">
      <c r="A12" s="7" t="s">
        <v>153</v>
      </c>
      <c r="B12" s="647" t="s">
        <v>2549</v>
      </c>
      <c r="C12" s="647"/>
      <c r="D12" s="647"/>
      <c r="E12" s="647"/>
      <c r="F12" s="647"/>
      <c r="G12" s="647"/>
      <c r="H12" s="647"/>
      <c r="I12" s="132">
        <v>15</v>
      </c>
      <c r="J12" s="133" t="s">
        <v>896</v>
      </c>
      <c r="K12" s="10"/>
      <c r="L12" s="30"/>
      <c r="M12" s="30"/>
      <c r="N12" s="245"/>
      <c r="O12" s="245"/>
      <c r="P12" s="245"/>
      <c r="Q12" s="245"/>
      <c r="R12" s="245"/>
      <c r="S12" s="245"/>
      <c r="T12" s="245"/>
      <c r="U12" s="245"/>
      <c r="V12" s="245"/>
      <c r="W12" s="245"/>
      <c r="X12" s="475"/>
      <c r="Y12" s="475"/>
      <c r="Z12" s="476"/>
      <c r="AA12" s="451"/>
      <c r="AC12" s="14">
        <f t="shared" si="0"/>
        <v>1.5</v>
      </c>
    </row>
    <row r="13" spans="1:29" s="14" customFormat="1" ht="24">
      <c r="A13" s="7" t="s">
        <v>155</v>
      </c>
      <c r="B13" s="647" t="s">
        <v>2550</v>
      </c>
      <c r="C13" s="647"/>
      <c r="D13" s="647"/>
      <c r="E13" s="647"/>
      <c r="F13" s="647"/>
      <c r="G13" s="647"/>
      <c r="H13" s="647"/>
      <c r="I13" s="132">
        <v>10</v>
      </c>
      <c r="J13" s="133" t="s">
        <v>896</v>
      </c>
      <c r="K13" s="10"/>
      <c r="L13" s="30"/>
      <c r="M13" s="30"/>
      <c r="N13" s="245"/>
      <c r="O13" s="245"/>
      <c r="P13" s="245"/>
      <c r="Q13" s="245"/>
      <c r="R13" s="245"/>
      <c r="S13" s="245"/>
      <c r="T13" s="245"/>
      <c r="U13" s="245"/>
      <c r="V13" s="245"/>
      <c r="W13" s="245"/>
      <c r="X13" s="468"/>
      <c r="Y13" s="468"/>
      <c r="Z13" s="469"/>
      <c r="AA13" s="451"/>
      <c r="AC13" s="14">
        <f t="shared" si="0"/>
        <v>1</v>
      </c>
    </row>
    <row r="14" spans="1:29"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9" s="14" customFormat="1" ht="24">
      <c r="A15" s="7" t="s">
        <v>853</v>
      </c>
      <c r="B15" s="647"/>
      <c r="C15" s="647"/>
      <c r="D15" s="647"/>
      <c r="E15" s="647"/>
      <c r="F15" s="647"/>
      <c r="G15" s="647"/>
      <c r="H15" s="647"/>
      <c r="I15" s="132"/>
      <c r="J15" s="133"/>
      <c r="K15" s="10"/>
      <c r="L15" s="30"/>
      <c r="M15" s="30"/>
      <c r="N15" s="30"/>
      <c r="O15" s="30"/>
      <c r="P15" s="30"/>
      <c r="Q15" s="30"/>
      <c r="R15" s="30"/>
      <c r="S15" s="30"/>
      <c r="T15" s="30"/>
      <c r="U15" s="30"/>
      <c r="V15" s="30"/>
      <c r="W15" s="30"/>
      <c r="X15" s="468"/>
      <c r="Y15" s="468"/>
      <c r="Z15" s="469"/>
      <c r="AA15" s="451"/>
    </row>
    <row r="16" spans="1:29" s="14" customFormat="1" ht="24">
      <c r="A16" s="7" t="s">
        <v>892</v>
      </c>
      <c r="B16" s="647"/>
      <c r="C16" s="647"/>
      <c r="D16" s="647"/>
      <c r="E16" s="647"/>
      <c r="F16" s="647"/>
      <c r="G16" s="647"/>
      <c r="H16" s="647"/>
      <c r="I16" s="132"/>
      <c r="J16" s="133"/>
      <c r="K16" s="10"/>
      <c r="L16" s="30"/>
      <c r="M16" s="30"/>
      <c r="N16" s="30"/>
      <c r="O16" s="30"/>
      <c r="P16" s="30"/>
      <c r="Q16" s="30"/>
      <c r="R16" s="30"/>
      <c r="S16" s="30"/>
      <c r="T16" s="30"/>
      <c r="U16" s="30"/>
      <c r="V16" s="30"/>
      <c r="W16" s="30"/>
      <c r="X16" s="468"/>
      <c r="Y16" s="468"/>
      <c r="Z16" s="469"/>
      <c r="AA16" s="451"/>
    </row>
    <row r="17" spans="1:27" s="14" customFormat="1" ht="24">
      <c r="A17" s="7" t="s">
        <v>894</v>
      </c>
      <c r="B17" s="647"/>
      <c r="C17" s="647"/>
      <c r="D17" s="647"/>
      <c r="E17" s="647"/>
      <c r="F17" s="647"/>
      <c r="G17" s="647"/>
      <c r="H17" s="647"/>
      <c r="I17" s="132"/>
      <c r="J17" s="133"/>
      <c r="K17" s="10"/>
      <c r="L17" s="134"/>
      <c r="M17" s="134"/>
      <c r="N17" s="134"/>
      <c r="O17" s="134"/>
      <c r="P17" s="134"/>
      <c r="Q17" s="134"/>
      <c r="R17" s="134"/>
      <c r="S17" s="134"/>
      <c r="T17" s="134"/>
      <c r="U17" s="134"/>
      <c r="V17" s="134"/>
      <c r="W17" s="134"/>
      <c r="X17" s="651"/>
      <c r="Y17" s="651"/>
      <c r="Z17" s="652"/>
      <c r="AA17" s="451"/>
    </row>
    <row r="18" spans="1:27" ht="57.75" customHeight="1">
      <c r="A18" s="488" t="s">
        <v>42</v>
      </c>
      <c r="B18" s="489"/>
      <c r="C18" s="489"/>
      <c r="D18" s="489"/>
      <c r="E18" s="490"/>
      <c r="F18" s="472" t="s">
        <v>43</v>
      </c>
      <c r="G18" s="472"/>
      <c r="H18" s="472"/>
      <c r="I18" s="472"/>
      <c r="J18" s="472"/>
      <c r="K18" s="472" t="s">
        <v>44</v>
      </c>
      <c r="L18" s="472"/>
      <c r="M18" s="472"/>
      <c r="N18" s="472"/>
      <c r="O18" s="491" t="s">
        <v>45</v>
      </c>
      <c r="P18" s="492"/>
      <c r="Q18" s="492"/>
      <c r="R18" s="492"/>
      <c r="S18" s="492"/>
      <c r="T18" s="492"/>
      <c r="U18" s="492"/>
      <c r="V18" s="492"/>
      <c r="W18" s="493"/>
      <c r="X18" s="472" t="s">
        <v>46</v>
      </c>
      <c r="Y18" s="472"/>
      <c r="Z18" s="472"/>
      <c r="AA18" s="451"/>
    </row>
    <row r="19" spans="1:27" s="20" customFormat="1" ht="28.5">
      <c r="A19" s="494"/>
      <c r="B19" s="495"/>
      <c r="C19" s="495"/>
      <c r="D19" s="495"/>
      <c r="E19" s="496"/>
      <c r="F19" s="503"/>
      <c r="G19" s="504"/>
      <c r="H19" s="504"/>
      <c r="I19" s="504"/>
      <c r="J19" s="505"/>
      <c r="K19" s="486" t="s">
        <v>47</v>
      </c>
      <c r="L19" s="486"/>
      <c r="M19" s="486"/>
      <c r="N19" s="486"/>
      <c r="O19" s="477"/>
      <c r="P19" s="478"/>
      <c r="Q19" s="478"/>
      <c r="R19" s="478"/>
      <c r="S19" s="478"/>
      <c r="T19" s="478"/>
      <c r="U19" s="478"/>
      <c r="V19" s="478"/>
      <c r="W19" s="512"/>
      <c r="X19" s="477"/>
      <c r="Y19" s="478"/>
      <c r="Z19" s="479"/>
    </row>
    <row r="20" spans="1:27" s="20" customFormat="1" ht="28.5">
      <c r="A20" s="497"/>
      <c r="B20" s="498"/>
      <c r="C20" s="498"/>
      <c r="D20" s="498"/>
      <c r="E20" s="499"/>
      <c r="F20" s="506"/>
      <c r="G20" s="507"/>
      <c r="H20" s="507"/>
      <c r="I20" s="507"/>
      <c r="J20" s="508"/>
      <c r="K20" s="486"/>
      <c r="L20" s="486"/>
      <c r="M20" s="486"/>
      <c r="N20" s="486"/>
      <c r="O20" s="480"/>
      <c r="P20" s="481"/>
      <c r="Q20" s="481"/>
      <c r="R20" s="481"/>
      <c r="S20" s="481"/>
      <c r="T20" s="481"/>
      <c r="U20" s="481"/>
      <c r="V20" s="481"/>
      <c r="W20" s="513"/>
      <c r="X20" s="480"/>
      <c r="Y20" s="481"/>
      <c r="Z20" s="482"/>
    </row>
    <row r="21" spans="1:27" s="20" customFormat="1" ht="28.5">
      <c r="A21" s="497"/>
      <c r="B21" s="498"/>
      <c r="C21" s="498"/>
      <c r="D21" s="498"/>
      <c r="E21" s="499"/>
      <c r="F21" s="506"/>
      <c r="G21" s="507"/>
      <c r="H21" s="507"/>
      <c r="I21" s="507"/>
      <c r="J21" s="508"/>
      <c r="K21" s="486" t="s">
        <v>48</v>
      </c>
      <c r="L21" s="486"/>
      <c r="M21" s="486"/>
      <c r="N21" s="486"/>
      <c r="O21" s="480"/>
      <c r="P21" s="481"/>
      <c r="Q21" s="481"/>
      <c r="R21" s="481"/>
      <c r="S21" s="481"/>
      <c r="T21" s="481"/>
      <c r="U21" s="481"/>
      <c r="V21" s="481"/>
      <c r="W21" s="513"/>
      <c r="X21" s="480"/>
      <c r="Y21" s="481"/>
      <c r="Z21" s="482"/>
    </row>
    <row r="22" spans="1:27" s="20" customFormat="1" ht="29.25" thickBot="1">
      <c r="A22" s="500"/>
      <c r="B22" s="501"/>
      <c r="C22" s="501"/>
      <c r="D22" s="501"/>
      <c r="E22" s="502"/>
      <c r="F22" s="509"/>
      <c r="G22" s="510"/>
      <c r="H22" s="510"/>
      <c r="I22" s="510"/>
      <c r="J22" s="511"/>
      <c r="K22" s="487"/>
      <c r="L22" s="487"/>
      <c r="M22" s="487"/>
      <c r="N22" s="487"/>
      <c r="O22" s="483"/>
      <c r="P22" s="484"/>
      <c r="Q22" s="484"/>
      <c r="R22" s="484"/>
      <c r="S22" s="484"/>
      <c r="T22" s="484"/>
      <c r="U22" s="484"/>
      <c r="V22" s="484"/>
      <c r="W22" s="514"/>
      <c r="X22" s="483"/>
      <c r="Y22" s="484"/>
      <c r="Z22" s="485"/>
    </row>
    <row r="23" spans="1:27" ht="18.75" thickTop="1"/>
  </sheetData>
  <mergeCells count="50">
    <mergeCell ref="B9:H9"/>
    <mergeCell ref="X9:Z9"/>
    <mergeCell ref="A1:Y1"/>
    <mergeCell ref="AA1:AA18"/>
    <mergeCell ref="A2:Z2"/>
    <mergeCell ref="A3:F3"/>
    <mergeCell ref="G3:H3"/>
    <mergeCell ref="I3:Z4"/>
    <mergeCell ref="A4:F5"/>
    <mergeCell ref="G4:H4"/>
    <mergeCell ref="G5:H5"/>
    <mergeCell ref="I5:Z5"/>
    <mergeCell ref="B10:H10"/>
    <mergeCell ref="X10:Z10"/>
    <mergeCell ref="A6:A7"/>
    <mergeCell ref="B6:H7"/>
    <mergeCell ref="B13:H13"/>
    <mergeCell ref="X13:Z13"/>
    <mergeCell ref="B14:H14"/>
    <mergeCell ref="X14:Z14"/>
    <mergeCell ref="B15:H15"/>
    <mergeCell ref="X15:Z15"/>
    <mergeCell ref="K6:K7"/>
    <mergeCell ref="L6:W6"/>
    <mergeCell ref="X6:Z7"/>
    <mergeCell ref="B8:H8"/>
    <mergeCell ref="X8:Z8"/>
    <mergeCell ref="I6:I7"/>
    <mergeCell ref="J6:J7"/>
    <mergeCell ref="B16:H16"/>
    <mergeCell ref="X16:Z16"/>
    <mergeCell ref="X19:Z22"/>
    <mergeCell ref="L19:N20"/>
    <mergeCell ref="O19:W22"/>
    <mergeCell ref="B11:H11"/>
    <mergeCell ref="X11:Z11"/>
    <mergeCell ref="B12:H12"/>
    <mergeCell ref="X12:Z12"/>
    <mergeCell ref="K21:K22"/>
    <mergeCell ref="L21:N22"/>
    <mergeCell ref="B17:H17"/>
    <mergeCell ref="X17:Z17"/>
    <mergeCell ref="A18:E18"/>
    <mergeCell ref="F18:J18"/>
    <mergeCell ref="K18:N18"/>
    <mergeCell ref="O18:W18"/>
    <mergeCell ref="X18:Z18"/>
    <mergeCell ref="A19:E22"/>
    <mergeCell ref="F19:J22"/>
    <mergeCell ref="K19:K20"/>
  </mergeCells>
  <printOptions horizontalCentered="1" verticalCentered="1"/>
  <pageMargins left="0" right="0" top="0" bottom="0" header="0" footer="0"/>
  <pageSetup scale="40"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50492-F313-4379-8BA5-FE46BD0F4D8B}">
  <dimension ref="A1:AC23"/>
  <sheetViews>
    <sheetView rightToLeft="1" zoomScale="70" zoomScaleNormal="70" zoomScaleSheetLayoutView="9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899</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914</v>
      </c>
      <c r="B3" s="456"/>
      <c r="C3" s="456"/>
      <c r="D3" s="456"/>
      <c r="E3" s="456"/>
      <c r="F3" s="456"/>
      <c r="G3" s="457" t="s">
        <v>915</v>
      </c>
      <c r="H3" s="457"/>
      <c r="I3" s="458" t="s">
        <v>916</v>
      </c>
      <c r="J3" s="458"/>
      <c r="K3" s="458"/>
      <c r="L3" s="458"/>
      <c r="M3" s="458"/>
      <c r="N3" s="458"/>
      <c r="O3" s="458"/>
      <c r="P3" s="458"/>
      <c r="Q3" s="458"/>
      <c r="R3" s="458"/>
      <c r="S3" s="458"/>
      <c r="T3" s="458"/>
      <c r="U3" s="458"/>
      <c r="V3" s="458"/>
      <c r="W3" s="458"/>
      <c r="X3" s="458"/>
      <c r="Y3" s="458"/>
      <c r="Z3" s="459"/>
      <c r="AA3" s="451"/>
    </row>
    <row r="4" spans="1:29" s="3" customFormat="1" ht="28.5" customHeight="1">
      <c r="A4" s="460" t="s">
        <v>903</v>
      </c>
      <c r="B4" s="461"/>
      <c r="C4" s="461"/>
      <c r="D4" s="461"/>
      <c r="E4" s="461"/>
      <c r="F4" s="462"/>
      <c r="G4" s="457" t="s">
        <v>2527</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905</v>
      </c>
      <c r="H5" s="456"/>
      <c r="I5" s="456" t="s">
        <v>917</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918</v>
      </c>
      <c r="C8" s="647"/>
      <c r="D8" s="647"/>
      <c r="E8" s="647"/>
      <c r="F8" s="647"/>
      <c r="G8" s="647"/>
      <c r="H8" s="647"/>
      <c r="I8" s="132">
        <v>10</v>
      </c>
      <c r="J8" s="133" t="s">
        <v>896</v>
      </c>
      <c r="K8" s="10"/>
      <c r="L8" s="245"/>
      <c r="M8" s="30"/>
      <c r="N8" s="30"/>
      <c r="O8" s="30"/>
      <c r="P8" s="30"/>
      <c r="Q8" s="30"/>
      <c r="R8" s="30"/>
      <c r="S8" s="30"/>
      <c r="T8" s="30"/>
      <c r="U8" s="30"/>
      <c r="V8" s="30"/>
      <c r="W8" s="30"/>
      <c r="X8" s="475"/>
      <c r="Y8" s="475"/>
      <c r="Z8" s="476"/>
      <c r="AA8" s="451"/>
      <c r="AC8" s="14">
        <v>10</v>
      </c>
    </row>
    <row r="9" spans="1:29" s="14" customFormat="1" ht="24">
      <c r="A9" s="7" t="s">
        <v>66</v>
      </c>
      <c r="B9" s="647" t="s">
        <v>919</v>
      </c>
      <c r="C9" s="647"/>
      <c r="D9" s="647"/>
      <c r="E9" s="647"/>
      <c r="F9" s="647"/>
      <c r="G9" s="647"/>
      <c r="H9" s="647"/>
      <c r="I9" s="132">
        <v>60</v>
      </c>
      <c r="J9" s="133" t="s">
        <v>896</v>
      </c>
      <c r="K9" s="10"/>
      <c r="L9" s="30"/>
      <c r="M9" s="245"/>
      <c r="N9" s="245"/>
      <c r="O9" s="245"/>
      <c r="P9" s="30"/>
      <c r="Q9" s="30"/>
      <c r="R9" s="30"/>
      <c r="S9" s="30"/>
      <c r="T9" s="30"/>
      <c r="U9" s="30"/>
      <c r="V9" s="30"/>
      <c r="W9" s="30"/>
      <c r="X9" s="475"/>
      <c r="Y9" s="475"/>
      <c r="Z9" s="476"/>
      <c r="AA9" s="451"/>
      <c r="AC9" s="14">
        <f>(I9/3)*2</f>
        <v>40</v>
      </c>
    </row>
    <row r="10" spans="1:29" s="14" customFormat="1" ht="24">
      <c r="A10" s="7" t="s">
        <v>68</v>
      </c>
      <c r="B10" s="647" t="s">
        <v>920</v>
      </c>
      <c r="C10" s="647"/>
      <c r="D10" s="647"/>
      <c r="E10" s="647"/>
      <c r="F10" s="647"/>
      <c r="G10" s="647"/>
      <c r="H10" s="647"/>
      <c r="I10" s="132">
        <v>30</v>
      </c>
      <c r="J10" s="133" t="s">
        <v>896</v>
      </c>
      <c r="K10" s="10"/>
      <c r="L10" s="30"/>
      <c r="M10" s="30"/>
      <c r="N10" s="245"/>
      <c r="O10" s="245"/>
      <c r="P10" s="245"/>
      <c r="Q10" s="245"/>
      <c r="R10" s="30"/>
      <c r="S10" s="30"/>
      <c r="T10" s="30"/>
      <c r="U10" s="30"/>
      <c r="V10" s="30"/>
      <c r="W10" s="30"/>
      <c r="X10" s="468"/>
      <c r="Y10" s="468"/>
      <c r="Z10" s="469"/>
      <c r="AA10" s="451"/>
      <c r="AC10" s="14">
        <f>(I10/4)*1</f>
        <v>7.5</v>
      </c>
    </row>
    <row r="11" spans="1:29" s="14" customFormat="1" ht="24">
      <c r="A11" s="7" t="s">
        <v>70</v>
      </c>
      <c r="B11" s="647"/>
      <c r="C11" s="647"/>
      <c r="D11" s="647"/>
      <c r="E11" s="647"/>
      <c r="F11" s="647"/>
      <c r="G11" s="647"/>
      <c r="H11" s="647"/>
      <c r="I11" s="132"/>
      <c r="J11" s="133"/>
      <c r="K11" s="10"/>
      <c r="L11" s="30"/>
      <c r="M11" s="30"/>
      <c r="N11" s="30"/>
      <c r="O11" s="30"/>
      <c r="P11" s="30"/>
      <c r="Q11" s="30"/>
      <c r="R11" s="30"/>
      <c r="S11" s="30"/>
      <c r="T11" s="30"/>
      <c r="U11" s="30"/>
      <c r="V11" s="30"/>
      <c r="W11" s="30"/>
      <c r="X11" s="468"/>
      <c r="Y11" s="468"/>
      <c r="Z11" s="469"/>
      <c r="AA11" s="451"/>
    </row>
    <row r="12" spans="1:29"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9"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9"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9" s="14" customFormat="1" ht="24">
      <c r="A15" s="7" t="s">
        <v>853</v>
      </c>
      <c r="B15" s="647"/>
      <c r="C15" s="647"/>
      <c r="D15" s="647"/>
      <c r="E15" s="647"/>
      <c r="F15" s="647"/>
      <c r="G15" s="647"/>
      <c r="H15" s="647"/>
      <c r="I15" s="132"/>
      <c r="J15" s="133"/>
      <c r="K15" s="10"/>
      <c r="L15" s="30"/>
      <c r="M15" s="30"/>
      <c r="N15" s="30"/>
      <c r="O15" s="30"/>
      <c r="P15" s="30"/>
      <c r="Q15" s="30"/>
      <c r="R15" s="30"/>
      <c r="S15" s="30"/>
      <c r="T15" s="30"/>
      <c r="U15" s="30"/>
      <c r="V15" s="30"/>
      <c r="W15" s="30"/>
      <c r="X15" s="468"/>
      <c r="Y15" s="468"/>
      <c r="Z15" s="469"/>
      <c r="AA15" s="451"/>
    </row>
    <row r="16" spans="1:29" s="14" customFormat="1" ht="24">
      <c r="A16" s="7" t="s">
        <v>892</v>
      </c>
      <c r="B16" s="647"/>
      <c r="C16" s="647"/>
      <c r="D16" s="647"/>
      <c r="E16" s="647"/>
      <c r="F16" s="647"/>
      <c r="G16" s="647"/>
      <c r="H16" s="647"/>
      <c r="I16" s="132"/>
      <c r="J16" s="133"/>
      <c r="K16" s="10"/>
      <c r="L16" s="30"/>
      <c r="M16" s="30"/>
      <c r="N16" s="30"/>
      <c r="O16" s="30"/>
      <c r="P16" s="30"/>
      <c r="Q16" s="30"/>
      <c r="R16" s="30"/>
      <c r="S16" s="30"/>
      <c r="T16" s="30"/>
      <c r="U16" s="30"/>
      <c r="V16" s="30"/>
      <c r="W16" s="30"/>
      <c r="X16" s="468"/>
      <c r="Y16" s="468"/>
      <c r="Z16" s="469"/>
      <c r="AA16" s="451"/>
    </row>
    <row r="17" spans="1:27" s="14" customFormat="1" ht="24">
      <c r="A17" s="7" t="s">
        <v>894</v>
      </c>
      <c r="B17" s="647"/>
      <c r="C17" s="647"/>
      <c r="D17" s="647"/>
      <c r="E17" s="647"/>
      <c r="F17" s="647"/>
      <c r="G17" s="647"/>
      <c r="H17" s="647"/>
      <c r="I17" s="132"/>
      <c r="J17" s="133"/>
      <c r="K17" s="10"/>
      <c r="L17" s="134"/>
      <c r="M17" s="134"/>
      <c r="N17" s="134"/>
      <c r="O17" s="134"/>
      <c r="P17" s="134"/>
      <c r="Q17" s="134"/>
      <c r="R17" s="134"/>
      <c r="S17" s="134"/>
      <c r="T17" s="134"/>
      <c r="U17" s="134"/>
      <c r="V17" s="134"/>
      <c r="W17" s="134"/>
      <c r="X17" s="651"/>
      <c r="Y17" s="651"/>
      <c r="Z17" s="652"/>
      <c r="AA17" s="451"/>
    </row>
    <row r="18" spans="1:27" ht="57.75" customHeight="1">
      <c r="A18" s="488" t="s">
        <v>42</v>
      </c>
      <c r="B18" s="489"/>
      <c r="C18" s="489"/>
      <c r="D18" s="489"/>
      <c r="E18" s="490"/>
      <c r="F18" s="472" t="s">
        <v>43</v>
      </c>
      <c r="G18" s="472"/>
      <c r="H18" s="472"/>
      <c r="I18" s="472"/>
      <c r="J18" s="472"/>
      <c r="K18" s="472" t="s">
        <v>44</v>
      </c>
      <c r="L18" s="472"/>
      <c r="M18" s="472"/>
      <c r="N18" s="472"/>
      <c r="O18" s="491" t="s">
        <v>45</v>
      </c>
      <c r="P18" s="492"/>
      <c r="Q18" s="492"/>
      <c r="R18" s="492"/>
      <c r="S18" s="492"/>
      <c r="T18" s="492"/>
      <c r="U18" s="492"/>
      <c r="V18" s="492"/>
      <c r="W18" s="493"/>
      <c r="X18" s="472" t="s">
        <v>46</v>
      </c>
      <c r="Y18" s="472"/>
      <c r="Z18" s="472"/>
      <c r="AA18" s="451"/>
    </row>
    <row r="19" spans="1:27" s="20" customFormat="1" ht="28.5">
      <c r="A19" s="494"/>
      <c r="B19" s="495"/>
      <c r="C19" s="495"/>
      <c r="D19" s="495"/>
      <c r="E19" s="496"/>
      <c r="F19" s="503"/>
      <c r="G19" s="504"/>
      <c r="H19" s="504"/>
      <c r="I19" s="504"/>
      <c r="J19" s="505"/>
      <c r="K19" s="486" t="s">
        <v>47</v>
      </c>
      <c r="L19" s="486"/>
      <c r="M19" s="486"/>
      <c r="N19" s="486"/>
      <c r="O19" s="477"/>
      <c r="P19" s="478"/>
      <c r="Q19" s="478"/>
      <c r="R19" s="478"/>
      <c r="S19" s="478"/>
      <c r="T19" s="478"/>
      <c r="U19" s="478"/>
      <c r="V19" s="478"/>
      <c r="W19" s="512"/>
      <c r="X19" s="477"/>
      <c r="Y19" s="478"/>
      <c r="Z19" s="479"/>
    </row>
    <row r="20" spans="1:27" s="20" customFormat="1" ht="28.5">
      <c r="A20" s="497"/>
      <c r="B20" s="498"/>
      <c r="C20" s="498"/>
      <c r="D20" s="498"/>
      <c r="E20" s="499"/>
      <c r="F20" s="506"/>
      <c r="G20" s="507"/>
      <c r="H20" s="507"/>
      <c r="I20" s="507"/>
      <c r="J20" s="508"/>
      <c r="K20" s="486"/>
      <c r="L20" s="486"/>
      <c r="M20" s="486"/>
      <c r="N20" s="486"/>
      <c r="O20" s="480"/>
      <c r="P20" s="481"/>
      <c r="Q20" s="481"/>
      <c r="R20" s="481"/>
      <c r="S20" s="481"/>
      <c r="T20" s="481"/>
      <c r="U20" s="481"/>
      <c r="V20" s="481"/>
      <c r="W20" s="513"/>
      <c r="X20" s="480"/>
      <c r="Y20" s="481"/>
      <c r="Z20" s="482"/>
    </row>
    <row r="21" spans="1:27" s="20" customFormat="1" ht="28.5">
      <c r="A21" s="497"/>
      <c r="B21" s="498"/>
      <c r="C21" s="498"/>
      <c r="D21" s="498"/>
      <c r="E21" s="499"/>
      <c r="F21" s="506"/>
      <c r="G21" s="507"/>
      <c r="H21" s="507"/>
      <c r="I21" s="507"/>
      <c r="J21" s="508"/>
      <c r="K21" s="486" t="s">
        <v>48</v>
      </c>
      <c r="L21" s="486"/>
      <c r="M21" s="486"/>
      <c r="N21" s="486"/>
      <c r="O21" s="480"/>
      <c r="P21" s="481"/>
      <c r="Q21" s="481"/>
      <c r="R21" s="481"/>
      <c r="S21" s="481"/>
      <c r="T21" s="481"/>
      <c r="U21" s="481"/>
      <c r="V21" s="481"/>
      <c r="W21" s="513"/>
      <c r="X21" s="480"/>
      <c r="Y21" s="481"/>
      <c r="Z21" s="482"/>
    </row>
    <row r="22" spans="1:27" s="20" customFormat="1" ht="29.25" thickBot="1">
      <c r="A22" s="500"/>
      <c r="B22" s="501"/>
      <c r="C22" s="501"/>
      <c r="D22" s="501"/>
      <c r="E22" s="502"/>
      <c r="F22" s="509"/>
      <c r="G22" s="510"/>
      <c r="H22" s="510"/>
      <c r="I22" s="510"/>
      <c r="J22" s="511"/>
      <c r="K22" s="487"/>
      <c r="L22" s="487"/>
      <c r="M22" s="487"/>
      <c r="N22" s="487"/>
      <c r="O22" s="483"/>
      <c r="P22" s="484"/>
      <c r="Q22" s="484"/>
      <c r="R22" s="484"/>
      <c r="S22" s="484"/>
      <c r="T22" s="484"/>
      <c r="U22" s="484"/>
      <c r="V22" s="484"/>
      <c r="W22" s="514"/>
      <c r="X22" s="483"/>
      <c r="Y22" s="484"/>
      <c r="Z22" s="485"/>
    </row>
    <row r="23" spans="1:27" ht="18.75" thickTop="1"/>
  </sheetData>
  <mergeCells count="50">
    <mergeCell ref="B9:H9"/>
    <mergeCell ref="X9:Z9"/>
    <mergeCell ref="A1:Y1"/>
    <mergeCell ref="AA1:AA18"/>
    <mergeCell ref="A2:Z2"/>
    <mergeCell ref="A3:F3"/>
    <mergeCell ref="G3:H3"/>
    <mergeCell ref="I3:Z4"/>
    <mergeCell ref="A4:F5"/>
    <mergeCell ref="G4:H4"/>
    <mergeCell ref="G5:H5"/>
    <mergeCell ref="I5:Z5"/>
    <mergeCell ref="B10:H10"/>
    <mergeCell ref="X10:Z10"/>
    <mergeCell ref="A6:A7"/>
    <mergeCell ref="B6:H7"/>
    <mergeCell ref="B13:H13"/>
    <mergeCell ref="X13:Z13"/>
    <mergeCell ref="B14:H14"/>
    <mergeCell ref="X14:Z14"/>
    <mergeCell ref="B15:H15"/>
    <mergeCell ref="X15:Z15"/>
    <mergeCell ref="K6:K7"/>
    <mergeCell ref="L6:W6"/>
    <mergeCell ref="X6:Z7"/>
    <mergeCell ref="B8:H8"/>
    <mergeCell ref="X8:Z8"/>
    <mergeCell ref="I6:I7"/>
    <mergeCell ref="J6:J7"/>
    <mergeCell ref="B16:H16"/>
    <mergeCell ref="X16:Z16"/>
    <mergeCell ref="X19:Z22"/>
    <mergeCell ref="L19:N20"/>
    <mergeCell ref="O19:W22"/>
    <mergeCell ref="B11:H11"/>
    <mergeCell ref="X11:Z11"/>
    <mergeCell ref="B12:H12"/>
    <mergeCell ref="X12:Z12"/>
    <mergeCell ref="K21:K22"/>
    <mergeCell ref="L21:N22"/>
    <mergeCell ref="B17:H17"/>
    <mergeCell ref="X17:Z17"/>
    <mergeCell ref="A18:E18"/>
    <mergeCell ref="F18:J18"/>
    <mergeCell ref="K18:N18"/>
    <mergeCell ref="O18:W18"/>
    <mergeCell ref="X18:Z18"/>
    <mergeCell ref="A19:E22"/>
    <mergeCell ref="F19:J22"/>
    <mergeCell ref="K19:K20"/>
  </mergeCells>
  <printOptions horizontalCentered="1" verticalCentered="1"/>
  <pageMargins left="0" right="0" top="0" bottom="0" header="0" footer="0"/>
  <pageSetup scale="40"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3FCB3-4179-40B2-B1DC-3251D96D075B}">
  <dimension ref="A1:AC23"/>
  <sheetViews>
    <sheetView rightToLeft="1" zoomScale="70" zoomScaleNormal="70" zoomScaleSheetLayoutView="90" workbookViewId="0">
      <selection activeCell="AC11" sqref="AC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899</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908</v>
      </c>
      <c r="B3" s="456"/>
      <c r="C3" s="456"/>
      <c r="D3" s="456"/>
      <c r="E3" s="456"/>
      <c r="F3" s="456"/>
      <c r="G3" s="457" t="s">
        <v>909</v>
      </c>
      <c r="H3" s="457"/>
      <c r="I3" s="458" t="s">
        <v>910</v>
      </c>
      <c r="J3" s="458"/>
      <c r="K3" s="458"/>
      <c r="L3" s="458"/>
      <c r="M3" s="458"/>
      <c r="N3" s="458"/>
      <c r="O3" s="458"/>
      <c r="P3" s="458"/>
      <c r="Q3" s="458"/>
      <c r="R3" s="458"/>
      <c r="S3" s="458"/>
      <c r="T3" s="458"/>
      <c r="U3" s="458"/>
      <c r="V3" s="458"/>
      <c r="W3" s="458"/>
      <c r="X3" s="458"/>
      <c r="Y3" s="458"/>
      <c r="Z3" s="459"/>
      <c r="AA3" s="451"/>
    </row>
    <row r="4" spans="1:29" s="3" customFormat="1" ht="28.5" customHeight="1">
      <c r="A4" s="460" t="s">
        <v>903</v>
      </c>
      <c r="B4" s="461"/>
      <c r="C4" s="461"/>
      <c r="D4" s="461"/>
      <c r="E4" s="461"/>
      <c r="F4" s="462"/>
      <c r="G4" s="457" t="s">
        <v>2535</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905</v>
      </c>
      <c r="H5" s="456"/>
      <c r="I5" s="456" t="s">
        <v>2536</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911</v>
      </c>
      <c r="C8" s="647"/>
      <c r="D8" s="647"/>
      <c r="E8" s="647"/>
      <c r="F8" s="647"/>
      <c r="G8" s="647"/>
      <c r="H8" s="647"/>
      <c r="I8" s="132">
        <v>20</v>
      </c>
      <c r="J8" s="133" t="s">
        <v>896</v>
      </c>
      <c r="K8" s="10"/>
      <c r="L8" s="245"/>
      <c r="M8" s="30"/>
      <c r="N8" s="30"/>
      <c r="O8" s="30"/>
      <c r="P8" s="30"/>
      <c r="Q8" s="30"/>
      <c r="R8" s="30"/>
      <c r="S8" s="30"/>
      <c r="T8" s="30"/>
      <c r="U8" s="30"/>
      <c r="V8" s="30"/>
      <c r="W8" s="30"/>
      <c r="X8" s="475"/>
      <c r="Y8" s="475"/>
      <c r="Z8" s="476"/>
      <c r="AA8" s="451"/>
      <c r="AC8" s="14">
        <v>20</v>
      </c>
    </row>
    <row r="9" spans="1:29" s="14" customFormat="1" ht="24">
      <c r="A9" s="7" t="s">
        <v>66</v>
      </c>
      <c r="B9" s="647" t="s">
        <v>912</v>
      </c>
      <c r="C9" s="647"/>
      <c r="D9" s="647"/>
      <c r="E9" s="647"/>
      <c r="F9" s="647"/>
      <c r="G9" s="647"/>
      <c r="H9" s="647"/>
      <c r="I9" s="132">
        <v>20</v>
      </c>
      <c r="J9" s="133" t="s">
        <v>896</v>
      </c>
      <c r="K9" s="10"/>
      <c r="L9" s="30"/>
      <c r="M9" s="245"/>
      <c r="N9" s="30"/>
      <c r="O9" s="30"/>
      <c r="P9" s="30"/>
      <c r="Q9" s="30"/>
      <c r="R9" s="30"/>
      <c r="S9" s="30"/>
      <c r="T9" s="30"/>
      <c r="U9" s="30"/>
      <c r="V9" s="30"/>
      <c r="W9" s="30"/>
      <c r="X9" s="475"/>
      <c r="Y9" s="475"/>
      <c r="Z9" s="476"/>
      <c r="AA9" s="451"/>
      <c r="AC9" s="14">
        <v>20</v>
      </c>
    </row>
    <row r="10" spans="1:29" s="14" customFormat="1" ht="24">
      <c r="A10" s="7" t="s">
        <v>68</v>
      </c>
      <c r="B10" s="647" t="s">
        <v>913</v>
      </c>
      <c r="C10" s="647"/>
      <c r="D10" s="647"/>
      <c r="E10" s="647"/>
      <c r="F10" s="647"/>
      <c r="G10" s="647"/>
      <c r="H10" s="647"/>
      <c r="I10" s="132">
        <v>20</v>
      </c>
      <c r="J10" s="133" t="s">
        <v>896</v>
      </c>
      <c r="K10" s="10"/>
      <c r="L10" s="30"/>
      <c r="M10" s="30"/>
      <c r="N10" s="245"/>
      <c r="O10" s="245"/>
      <c r="P10" s="30"/>
      <c r="Q10" s="30"/>
      <c r="R10" s="30"/>
      <c r="S10" s="30"/>
      <c r="T10" s="30"/>
      <c r="U10" s="30"/>
      <c r="V10" s="30"/>
      <c r="W10" s="30"/>
      <c r="X10" s="468"/>
      <c r="Y10" s="468"/>
      <c r="Z10" s="469"/>
      <c r="AA10" s="451"/>
      <c r="AC10" s="14">
        <v>10</v>
      </c>
    </row>
    <row r="11" spans="1:29" s="14" customFormat="1" ht="45">
      <c r="A11" s="7" t="s">
        <v>70</v>
      </c>
      <c r="B11" s="647" t="s">
        <v>2537</v>
      </c>
      <c r="C11" s="647"/>
      <c r="D11" s="647"/>
      <c r="E11" s="647"/>
      <c r="F11" s="647"/>
      <c r="G11" s="647"/>
      <c r="H11" s="647"/>
      <c r="I11" s="132">
        <v>20</v>
      </c>
      <c r="J11" s="133" t="s">
        <v>2538</v>
      </c>
      <c r="K11" s="10"/>
      <c r="L11" s="30"/>
      <c r="M11" s="30"/>
      <c r="N11" s="30"/>
      <c r="O11" s="30"/>
      <c r="P11" s="245"/>
      <c r="Q11" s="30"/>
      <c r="R11" s="30"/>
      <c r="S11" s="30"/>
      <c r="T11" s="30"/>
      <c r="U11" s="30"/>
      <c r="V11" s="30"/>
      <c r="W11" s="30"/>
      <c r="X11" s="468"/>
      <c r="Y11" s="468"/>
      <c r="Z11" s="469"/>
      <c r="AA11" s="451"/>
    </row>
    <row r="12" spans="1:29" s="14" customFormat="1" ht="45">
      <c r="A12" s="7" t="s">
        <v>153</v>
      </c>
      <c r="B12" s="647" t="s">
        <v>907</v>
      </c>
      <c r="C12" s="647"/>
      <c r="D12" s="647"/>
      <c r="E12" s="647"/>
      <c r="F12" s="647"/>
      <c r="G12" s="647"/>
      <c r="H12" s="647"/>
      <c r="I12" s="132">
        <v>20</v>
      </c>
      <c r="J12" s="133" t="s">
        <v>2538</v>
      </c>
      <c r="K12" s="10"/>
      <c r="L12" s="30"/>
      <c r="M12" s="30"/>
      <c r="N12" s="30"/>
      <c r="O12" s="30"/>
      <c r="P12" s="30"/>
      <c r="Q12" s="245"/>
      <c r="R12" s="245"/>
      <c r="S12" s="30"/>
      <c r="T12" s="30"/>
      <c r="U12" s="30"/>
      <c r="V12" s="30"/>
      <c r="W12" s="30"/>
      <c r="X12" s="475"/>
      <c r="Y12" s="475"/>
      <c r="Z12" s="476"/>
      <c r="AA12" s="451"/>
    </row>
    <row r="13" spans="1:29"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9"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9" s="14" customFormat="1" ht="24">
      <c r="A15" s="7" t="s">
        <v>853</v>
      </c>
      <c r="B15" s="647"/>
      <c r="C15" s="647"/>
      <c r="D15" s="647"/>
      <c r="E15" s="647"/>
      <c r="F15" s="647"/>
      <c r="G15" s="647"/>
      <c r="H15" s="647"/>
      <c r="I15" s="132"/>
      <c r="J15" s="133"/>
      <c r="K15" s="10"/>
      <c r="L15" s="30"/>
      <c r="M15" s="30"/>
      <c r="N15" s="30"/>
      <c r="O15" s="30"/>
      <c r="P15" s="30"/>
      <c r="Q15" s="30"/>
      <c r="R15" s="30"/>
      <c r="S15" s="30"/>
      <c r="T15" s="30"/>
      <c r="U15" s="30"/>
      <c r="V15" s="30"/>
      <c r="W15" s="30"/>
      <c r="X15" s="468"/>
      <c r="Y15" s="468"/>
      <c r="Z15" s="469"/>
      <c r="AA15" s="451"/>
    </row>
    <row r="16" spans="1:29" s="14" customFormat="1" ht="24">
      <c r="A16" s="7" t="s">
        <v>892</v>
      </c>
      <c r="B16" s="647"/>
      <c r="C16" s="647"/>
      <c r="D16" s="647"/>
      <c r="E16" s="647"/>
      <c r="F16" s="647"/>
      <c r="G16" s="647"/>
      <c r="H16" s="647"/>
      <c r="I16" s="132"/>
      <c r="J16" s="133"/>
      <c r="K16" s="10"/>
      <c r="L16" s="30"/>
      <c r="M16" s="30"/>
      <c r="N16" s="30"/>
      <c r="O16" s="30"/>
      <c r="P16" s="30"/>
      <c r="Q16" s="30"/>
      <c r="R16" s="30"/>
      <c r="S16" s="30"/>
      <c r="T16" s="30"/>
      <c r="U16" s="30"/>
      <c r="V16" s="30"/>
      <c r="W16" s="30"/>
      <c r="X16" s="468"/>
      <c r="Y16" s="468"/>
      <c r="Z16" s="469"/>
      <c r="AA16" s="451"/>
    </row>
    <row r="17" spans="1:27" s="14" customFormat="1" ht="24">
      <c r="A17" s="7" t="s">
        <v>894</v>
      </c>
      <c r="B17" s="647"/>
      <c r="C17" s="647"/>
      <c r="D17" s="647"/>
      <c r="E17" s="647"/>
      <c r="F17" s="647"/>
      <c r="G17" s="647"/>
      <c r="H17" s="647"/>
      <c r="I17" s="132"/>
      <c r="J17" s="133"/>
      <c r="K17" s="10"/>
      <c r="L17" s="134"/>
      <c r="M17" s="134"/>
      <c r="N17" s="134"/>
      <c r="O17" s="134"/>
      <c r="P17" s="134"/>
      <c r="Q17" s="134"/>
      <c r="R17" s="134"/>
      <c r="S17" s="134"/>
      <c r="T17" s="134"/>
      <c r="U17" s="134"/>
      <c r="V17" s="134"/>
      <c r="W17" s="134"/>
      <c r="X17" s="651"/>
      <c r="Y17" s="651"/>
      <c r="Z17" s="652"/>
      <c r="AA17" s="451"/>
    </row>
    <row r="18" spans="1:27" ht="57.75" customHeight="1">
      <c r="A18" s="488" t="s">
        <v>42</v>
      </c>
      <c r="B18" s="489"/>
      <c r="C18" s="489"/>
      <c r="D18" s="489"/>
      <c r="E18" s="490"/>
      <c r="F18" s="472" t="s">
        <v>43</v>
      </c>
      <c r="G18" s="472"/>
      <c r="H18" s="472"/>
      <c r="I18" s="472"/>
      <c r="J18" s="472"/>
      <c r="K18" s="472" t="s">
        <v>44</v>
      </c>
      <c r="L18" s="472"/>
      <c r="M18" s="472"/>
      <c r="N18" s="472"/>
      <c r="O18" s="491" t="s">
        <v>45</v>
      </c>
      <c r="P18" s="492"/>
      <c r="Q18" s="492"/>
      <c r="R18" s="492"/>
      <c r="S18" s="492"/>
      <c r="T18" s="492"/>
      <c r="U18" s="492"/>
      <c r="V18" s="492"/>
      <c r="W18" s="493"/>
      <c r="X18" s="472" t="s">
        <v>46</v>
      </c>
      <c r="Y18" s="472"/>
      <c r="Z18" s="472"/>
      <c r="AA18" s="451"/>
    </row>
    <row r="19" spans="1:27" s="20" customFormat="1" ht="28.5">
      <c r="A19" s="494"/>
      <c r="B19" s="495"/>
      <c r="C19" s="495"/>
      <c r="D19" s="495"/>
      <c r="E19" s="496"/>
      <c r="F19" s="503"/>
      <c r="G19" s="504"/>
      <c r="H19" s="504"/>
      <c r="I19" s="504"/>
      <c r="J19" s="505"/>
      <c r="K19" s="486" t="s">
        <v>47</v>
      </c>
      <c r="L19" s="486"/>
      <c r="M19" s="486"/>
      <c r="N19" s="486"/>
      <c r="O19" s="477"/>
      <c r="P19" s="478"/>
      <c r="Q19" s="478"/>
      <c r="R19" s="478"/>
      <c r="S19" s="478"/>
      <c r="T19" s="478"/>
      <c r="U19" s="478"/>
      <c r="V19" s="478"/>
      <c r="W19" s="512"/>
      <c r="X19" s="477"/>
      <c r="Y19" s="478"/>
      <c r="Z19" s="479"/>
    </row>
    <row r="20" spans="1:27" s="20" customFormat="1" ht="28.5">
      <c r="A20" s="497"/>
      <c r="B20" s="498"/>
      <c r="C20" s="498"/>
      <c r="D20" s="498"/>
      <c r="E20" s="499"/>
      <c r="F20" s="506"/>
      <c r="G20" s="507"/>
      <c r="H20" s="507"/>
      <c r="I20" s="507"/>
      <c r="J20" s="508"/>
      <c r="K20" s="486"/>
      <c r="L20" s="486"/>
      <c r="M20" s="486"/>
      <c r="N20" s="486"/>
      <c r="O20" s="480"/>
      <c r="P20" s="481"/>
      <c r="Q20" s="481"/>
      <c r="R20" s="481"/>
      <c r="S20" s="481"/>
      <c r="T20" s="481"/>
      <c r="U20" s="481"/>
      <c r="V20" s="481"/>
      <c r="W20" s="513"/>
      <c r="X20" s="480"/>
      <c r="Y20" s="481"/>
      <c r="Z20" s="482"/>
    </row>
    <row r="21" spans="1:27" s="20" customFormat="1" ht="28.5">
      <c r="A21" s="497"/>
      <c r="B21" s="498"/>
      <c r="C21" s="498"/>
      <c r="D21" s="498"/>
      <c r="E21" s="499"/>
      <c r="F21" s="506"/>
      <c r="G21" s="507"/>
      <c r="H21" s="507"/>
      <c r="I21" s="507"/>
      <c r="J21" s="508"/>
      <c r="K21" s="486" t="s">
        <v>48</v>
      </c>
      <c r="L21" s="486"/>
      <c r="M21" s="486"/>
      <c r="N21" s="486"/>
      <c r="O21" s="480"/>
      <c r="P21" s="481"/>
      <c r="Q21" s="481"/>
      <c r="R21" s="481"/>
      <c r="S21" s="481"/>
      <c r="T21" s="481"/>
      <c r="U21" s="481"/>
      <c r="V21" s="481"/>
      <c r="W21" s="513"/>
      <c r="X21" s="480"/>
      <c r="Y21" s="481"/>
      <c r="Z21" s="482"/>
    </row>
    <row r="22" spans="1:27" s="20" customFormat="1" ht="29.25" thickBot="1">
      <c r="A22" s="500"/>
      <c r="B22" s="501"/>
      <c r="C22" s="501"/>
      <c r="D22" s="501"/>
      <c r="E22" s="502"/>
      <c r="F22" s="509"/>
      <c r="G22" s="510"/>
      <c r="H22" s="510"/>
      <c r="I22" s="510"/>
      <c r="J22" s="511"/>
      <c r="K22" s="487"/>
      <c r="L22" s="487"/>
      <c r="M22" s="487"/>
      <c r="N22" s="487"/>
      <c r="O22" s="483"/>
      <c r="P22" s="484"/>
      <c r="Q22" s="484"/>
      <c r="R22" s="484"/>
      <c r="S22" s="484"/>
      <c r="T22" s="484"/>
      <c r="U22" s="484"/>
      <c r="V22" s="484"/>
      <c r="W22" s="514"/>
      <c r="X22" s="483"/>
      <c r="Y22" s="484"/>
      <c r="Z22" s="485"/>
    </row>
    <row r="23" spans="1:27" ht="18.75" thickTop="1"/>
  </sheetData>
  <mergeCells count="50">
    <mergeCell ref="B9:H9"/>
    <mergeCell ref="X9:Z9"/>
    <mergeCell ref="A1:Y1"/>
    <mergeCell ref="AA1:AA18"/>
    <mergeCell ref="A2:Z2"/>
    <mergeCell ref="A3:F3"/>
    <mergeCell ref="G3:H3"/>
    <mergeCell ref="I3:Z4"/>
    <mergeCell ref="A4:F5"/>
    <mergeCell ref="G4:H4"/>
    <mergeCell ref="G5:H5"/>
    <mergeCell ref="I5:Z5"/>
    <mergeCell ref="B10:H10"/>
    <mergeCell ref="X10:Z10"/>
    <mergeCell ref="A6:A7"/>
    <mergeCell ref="B6:H7"/>
    <mergeCell ref="B13:H13"/>
    <mergeCell ref="X13:Z13"/>
    <mergeCell ref="B14:H14"/>
    <mergeCell ref="X14:Z14"/>
    <mergeCell ref="B15:H15"/>
    <mergeCell ref="X15:Z15"/>
    <mergeCell ref="K6:K7"/>
    <mergeCell ref="L6:W6"/>
    <mergeCell ref="X6:Z7"/>
    <mergeCell ref="B8:H8"/>
    <mergeCell ref="X8:Z8"/>
    <mergeCell ref="I6:I7"/>
    <mergeCell ref="J6:J7"/>
    <mergeCell ref="B16:H16"/>
    <mergeCell ref="X16:Z16"/>
    <mergeCell ref="X19:Z22"/>
    <mergeCell ref="L19:N20"/>
    <mergeCell ref="O19:W22"/>
    <mergeCell ref="B11:H11"/>
    <mergeCell ref="X11:Z11"/>
    <mergeCell ref="B12:H12"/>
    <mergeCell ref="X12:Z12"/>
    <mergeCell ref="K21:K22"/>
    <mergeCell ref="L21:N22"/>
    <mergeCell ref="B17:H17"/>
    <mergeCell ref="X17:Z17"/>
    <mergeCell ref="A18:E18"/>
    <mergeCell ref="F18:J18"/>
    <mergeCell ref="K18:N18"/>
    <mergeCell ref="O18:W18"/>
    <mergeCell ref="X18:Z18"/>
    <mergeCell ref="A19:E22"/>
    <mergeCell ref="F19:J22"/>
    <mergeCell ref="K19:K20"/>
  </mergeCells>
  <printOptions horizontalCentered="1" verticalCentered="1"/>
  <pageMargins left="0" right="0" top="0" bottom="0" header="0" footer="0"/>
  <pageSetup scale="40"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32C6-455F-401F-A479-3CC6785676F5}">
  <dimension ref="A1:AC23"/>
  <sheetViews>
    <sheetView rightToLeft="1" zoomScale="70" zoomScaleNormal="70" zoomScaleSheetLayoutView="70" workbookViewId="0">
      <selection activeCell="AC11" sqref="AC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899</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900</v>
      </c>
      <c r="B3" s="456"/>
      <c r="C3" s="456"/>
      <c r="D3" s="456"/>
      <c r="E3" s="456"/>
      <c r="F3" s="456"/>
      <c r="G3" s="457" t="s">
        <v>901</v>
      </c>
      <c r="H3" s="457"/>
      <c r="I3" s="458" t="s">
        <v>902</v>
      </c>
      <c r="J3" s="458"/>
      <c r="K3" s="458"/>
      <c r="L3" s="458"/>
      <c r="M3" s="458"/>
      <c r="N3" s="458"/>
      <c r="O3" s="458"/>
      <c r="P3" s="458"/>
      <c r="Q3" s="458"/>
      <c r="R3" s="458"/>
      <c r="S3" s="458"/>
      <c r="T3" s="458"/>
      <c r="U3" s="458"/>
      <c r="V3" s="458"/>
      <c r="W3" s="458"/>
      <c r="X3" s="458"/>
      <c r="Y3" s="458"/>
      <c r="Z3" s="459"/>
      <c r="AA3" s="451"/>
    </row>
    <row r="4" spans="1:29" s="3" customFormat="1" ht="28.5" customHeight="1">
      <c r="A4" s="460" t="s">
        <v>903</v>
      </c>
      <c r="B4" s="461"/>
      <c r="C4" s="461"/>
      <c r="D4" s="461"/>
      <c r="E4" s="461"/>
      <c r="F4" s="462"/>
      <c r="G4" s="457" t="s">
        <v>2527</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905</v>
      </c>
      <c r="H5" s="456"/>
      <c r="I5" s="456" t="s">
        <v>906</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732" t="s">
        <v>2528</v>
      </c>
      <c r="C8" s="647"/>
      <c r="D8" s="647"/>
      <c r="E8" s="647"/>
      <c r="F8" s="647"/>
      <c r="G8" s="647"/>
      <c r="H8" s="647"/>
      <c r="I8" s="132">
        <v>20</v>
      </c>
      <c r="J8" s="133" t="s">
        <v>896</v>
      </c>
      <c r="K8" s="10"/>
      <c r="L8" s="245"/>
      <c r="M8" s="30"/>
      <c r="N8" s="30"/>
      <c r="O8" s="30"/>
      <c r="P8" s="30"/>
      <c r="Q8" s="30"/>
      <c r="R8" s="30"/>
      <c r="S8" s="30"/>
      <c r="T8" s="30"/>
      <c r="U8" s="30"/>
      <c r="V8" s="30"/>
      <c r="W8" s="30"/>
      <c r="X8" s="475"/>
      <c r="Y8" s="475"/>
      <c r="Z8" s="476"/>
      <c r="AA8" s="451"/>
      <c r="AC8" s="14">
        <v>20</v>
      </c>
    </row>
    <row r="9" spans="1:29" s="14" customFormat="1" ht="24">
      <c r="A9" s="7" t="s">
        <v>66</v>
      </c>
      <c r="B9" s="732" t="s">
        <v>2529</v>
      </c>
      <c r="C9" s="647"/>
      <c r="D9" s="647"/>
      <c r="E9" s="647"/>
      <c r="F9" s="647"/>
      <c r="G9" s="647"/>
      <c r="H9" s="647"/>
      <c r="I9" s="132">
        <v>10</v>
      </c>
      <c r="J9" s="133" t="s">
        <v>896</v>
      </c>
      <c r="K9" s="10"/>
      <c r="L9" s="30"/>
      <c r="M9" s="245"/>
      <c r="N9" s="30"/>
      <c r="O9" s="30"/>
      <c r="P9" s="30"/>
      <c r="Q9" s="30"/>
      <c r="R9" s="30"/>
      <c r="S9" s="30"/>
      <c r="T9" s="30"/>
      <c r="U9" s="30"/>
      <c r="V9" s="30"/>
      <c r="W9" s="30"/>
      <c r="X9" s="475"/>
      <c r="Y9" s="475"/>
      <c r="Z9" s="476"/>
      <c r="AA9" s="451"/>
      <c r="AC9" s="14">
        <v>10</v>
      </c>
    </row>
    <row r="10" spans="1:29" s="14" customFormat="1" ht="24">
      <c r="A10" s="7" t="s">
        <v>68</v>
      </c>
      <c r="B10" s="732" t="s">
        <v>2530</v>
      </c>
      <c r="C10" s="647"/>
      <c r="D10" s="647"/>
      <c r="E10" s="647"/>
      <c r="F10" s="647"/>
      <c r="G10" s="647"/>
      <c r="H10" s="647"/>
      <c r="I10" s="132">
        <v>20</v>
      </c>
      <c r="J10" s="133" t="s">
        <v>896</v>
      </c>
      <c r="K10" s="10"/>
      <c r="L10" s="30"/>
      <c r="M10" s="30"/>
      <c r="N10" s="245"/>
      <c r="O10" s="245"/>
      <c r="P10" s="245"/>
      <c r="Q10" s="30"/>
      <c r="R10" s="30"/>
      <c r="S10" s="30"/>
      <c r="T10" s="30"/>
      <c r="U10" s="30"/>
      <c r="V10" s="30"/>
      <c r="W10" s="30"/>
      <c r="X10" s="468"/>
      <c r="Y10" s="468"/>
      <c r="Z10" s="469"/>
      <c r="AA10" s="451"/>
      <c r="AC10" s="14">
        <f>20/3</f>
        <v>6.666666666666667</v>
      </c>
    </row>
    <row r="11" spans="1:29" s="14" customFormat="1" ht="24">
      <c r="A11" s="7" t="s">
        <v>70</v>
      </c>
      <c r="B11" s="732" t="s">
        <v>2531</v>
      </c>
      <c r="C11" s="647"/>
      <c r="D11" s="647"/>
      <c r="E11" s="647"/>
      <c r="F11" s="647"/>
      <c r="G11" s="647"/>
      <c r="H11" s="647"/>
      <c r="I11" s="132">
        <v>25</v>
      </c>
      <c r="J11" s="133" t="s">
        <v>896</v>
      </c>
      <c r="K11" s="10"/>
      <c r="L11" s="30"/>
      <c r="M11" s="30"/>
      <c r="N11" s="30"/>
      <c r="O11" s="30"/>
      <c r="P11" s="245"/>
      <c r="Q11" s="30"/>
      <c r="R11" s="30"/>
      <c r="S11" s="30"/>
      <c r="T11" s="30"/>
      <c r="U11" s="30"/>
      <c r="V11" s="30"/>
      <c r="W11" s="30"/>
      <c r="X11" s="468"/>
      <c r="Y11" s="468"/>
      <c r="Z11" s="469"/>
      <c r="AA11" s="451"/>
    </row>
    <row r="12" spans="1:29" s="14" customFormat="1" ht="67.5">
      <c r="A12" s="7" t="s">
        <v>153</v>
      </c>
      <c r="B12" s="732" t="s">
        <v>2532</v>
      </c>
      <c r="C12" s="647"/>
      <c r="D12" s="647"/>
      <c r="E12" s="647"/>
      <c r="F12" s="647"/>
      <c r="G12" s="647"/>
      <c r="H12" s="647"/>
      <c r="I12" s="132">
        <v>15</v>
      </c>
      <c r="J12" s="133" t="s">
        <v>2533</v>
      </c>
      <c r="K12" s="10"/>
      <c r="L12" s="30"/>
      <c r="M12" s="30"/>
      <c r="N12" s="30"/>
      <c r="O12" s="30"/>
      <c r="P12" s="30"/>
      <c r="Q12" s="245"/>
      <c r="R12" s="245"/>
      <c r="S12" s="30"/>
      <c r="T12" s="30"/>
      <c r="U12" s="30"/>
      <c r="V12" s="30"/>
      <c r="W12" s="30"/>
      <c r="X12" s="475"/>
      <c r="Y12" s="475"/>
      <c r="Z12" s="476"/>
      <c r="AA12" s="451"/>
    </row>
    <row r="13" spans="1:29" s="14" customFormat="1" ht="67.5">
      <c r="A13" s="7" t="s">
        <v>155</v>
      </c>
      <c r="B13" s="647" t="s">
        <v>2534</v>
      </c>
      <c r="C13" s="647"/>
      <c r="D13" s="647"/>
      <c r="E13" s="647"/>
      <c r="F13" s="647"/>
      <c r="G13" s="647"/>
      <c r="H13" s="647"/>
      <c r="I13" s="132">
        <v>10</v>
      </c>
      <c r="J13" s="133" t="s">
        <v>2533</v>
      </c>
      <c r="K13" s="10"/>
      <c r="L13" s="30"/>
      <c r="M13" s="30"/>
      <c r="N13" s="30"/>
      <c r="O13" s="30"/>
      <c r="P13" s="30"/>
      <c r="Q13" s="30"/>
      <c r="R13" s="245"/>
      <c r="S13" s="245"/>
      <c r="T13" s="30"/>
      <c r="U13" s="30"/>
      <c r="V13" s="30"/>
      <c r="W13" s="30"/>
      <c r="X13" s="468"/>
      <c r="Y13" s="468"/>
      <c r="Z13" s="469"/>
      <c r="AA13" s="451"/>
    </row>
    <row r="14" spans="1:29" s="14" customFormat="1" ht="24">
      <c r="A14" s="7" t="s">
        <v>156</v>
      </c>
      <c r="B14" s="647"/>
      <c r="C14" s="647"/>
      <c r="D14" s="647"/>
      <c r="E14" s="647"/>
      <c r="F14" s="647"/>
      <c r="G14" s="647"/>
      <c r="H14" s="647"/>
      <c r="I14" s="132"/>
      <c r="J14" s="133"/>
      <c r="K14" s="10"/>
      <c r="L14" s="30"/>
      <c r="M14" s="30"/>
      <c r="N14" s="30"/>
      <c r="O14" s="30"/>
      <c r="P14" s="30"/>
      <c r="Q14" s="30"/>
      <c r="R14" s="30"/>
      <c r="S14" s="30"/>
      <c r="T14" s="30"/>
      <c r="U14" s="30"/>
      <c r="V14" s="30"/>
      <c r="W14" s="30"/>
      <c r="X14" s="468"/>
      <c r="Y14" s="468"/>
      <c r="Z14" s="469"/>
      <c r="AA14" s="451"/>
    </row>
    <row r="15" spans="1:29" s="14" customFormat="1" ht="24">
      <c r="A15" s="7" t="s">
        <v>853</v>
      </c>
      <c r="B15" s="647"/>
      <c r="C15" s="647"/>
      <c r="D15" s="647"/>
      <c r="E15" s="647"/>
      <c r="F15" s="647"/>
      <c r="G15" s="647"/>
      <c r="H15" s="647"/>
      <c r="I15" s="132"/>
      <c r="J15" s="10"/>
      <c r="K15" s="10"/>
      <c r="L15" s="30"/>
      <c r="M15" s="30"/>
      <c r="N15" s="30"/>
      <c r="O15" s="30"/>
      <c r="P15" s="30"/>
      <c r="Q15" s="30"/>
      <c r="R15" s="30"/>
      <c r="S15" s="30"/>
      <c r="T15" s="30"/>
      <c r="U15" s="30"/>
      <c r="V15" s="30"/>
      <c r="W15" s="30"/>
      <c r="X15" s="468"/>
      <c r="Y15" s="468"/>
      <c r="Z15" s="469"/>
      <c r="AA15" s="451"/>
    </row>
    <row r="16" spans="1:29" s="14" customFormat="1" ht="24">
      <c r="A16" s="7" t="s">
        <v>892</v>
      </c>
      <c r="B16" s="647"/>
      <c r="C16" s="647"/>
      <c r="D16" s="647"/>
      <c r="E16" s="647"/>
      <c r="F16" s="647"/>
      <c r="G16" s="647"/>
      <c r="H16" s="647"/>
      <c r="I16" s="132"/>
      <c r="J16" s="133"/>
      <c r="K16" s="10"/>
      <c r="L16" s="30"/>
      <c r="M16" s="30"/>
      <c r="N16" s="30"/>
      <c r="O16" s="30"/>
      <c r="P16" s="30"/>
      <c r="Q16" s="30"/>
      <c r="R16" s="30"/>
      <c r="S16" s="30"/>
      <c r="T16" s="30"/>
      <c r="U16" s="30"/>
      <c r="V16" s="30"/>
      <c r="W16" s="30"/>
      <c r="X16" s="468"/>
      <c r="Y16" s="468"/>
      <c r="Z16" s="469"/>
      <c r="AA16" s="451"/>
    </row>
    <row r="17" spans="1:27" s="14" customFormat="1" ht="24">
      <c r="A17" s="7" t="s">
        <v>894</v>
      </c>
      <c r="B17" s="647"/>
      <c r="C17" s="647"/>
      <c r="D17" s="647"/>
      <c r="E17" s="647"/>
      <c r="F17" s="647"/>
      <c r="G17" s="647"/>
      <c r="H17" s="647"/>
      <c r="I17" s="132"/>
      <c r="J17" s="133"/>
      <c r="K17" s="10"/>
      <c r="L17" s="134"/>
      <c r="M17" s="134"/>
      <c r="N17" s="134"/>
      <c r="O17" s="134"/>
      <c r="P17" s="134"/>
      <c r="Q17" s="134"/>
      <c r="R17" s="134"/>
      <c r="S17" s="134"/>
      <c r="T17" s="134"/>
      <c r="U17" s="134"/>
      <c r="V17" s="134"/>
      <c r="W17" s="134"/>
      <c r="X17" s="651"/>
      <c r="Y17" s="651"/>
      <c r="Z17" s="652"/>
      <c r="AA17" s="451"/>
    </row>
    <row r="18" spans="1:27" ht="57.75" customHeight="1">
      <c r="A18" s="488" t="s">
        <v>42</v>
      </c>
      <c r="B18" s="489"/>
      <c r="C18" s="489"/>
      <c r="D18" s="489"/>
      <c r="E18" s="490"/>
      <c r="F18" s="472" t="s">
        <v>43</v>
      </c>
      <c r="G18" s="472"/>
      <c r="H18" s="472"/>
      <c r="I18" s="472"/>
      <c r="J18" s="472"/>
      <c r="K18" s="472" t="s">
        <v>44</v>
      </c>
      <c r="L18" s="472"/>
      <c r="M18" s="472"/>
      <c r="N18" s="472"/>
      <c r="O18" s="491" t="s">
        <v>45</v>
      </c>
      <c r="P18" s="492"/>
      <c r="Q18" s="492"/>
      <c r="R18" s="492"/>
      <c r="S18" s="492"/>
      <c r="T18" s="492"/>
      <c r="U18" s="492"/>
      <c r="V18" s="492"/>
      <c r="W18" s="493"/>
      <c r="X18" s="472" t="s">
        <v>46</v>
      </c>
      <c r="Y18" s="472"/>
      <c r="Z18" s="472"/>
      <c r="AA18" s="451"/>
    </row>
    <row r="19" spans="1:27" s="20" customFormat="1" ht="28.5">
      <c r="A19" s="494"/>
      <c r="B19" s="495"/>
      <c r="C19" s="495"/>
      <c r="D19" s="495"/>
      <c r="E19" s="496"/>
      <c r="F19" s="503"/>
      <c r="G19" s="504"/>
      <c r="H19" s="504"/>
      <c r="I19" s="504"/>
      <c r="J19" s="505"/>
      <c r="K19" s="486" t="s">
        <v>47</v>
      </c>
      <c r="L19" s="486"/>
      <c r="M19" s="486"/>
      <c r="N19" s="486"/>
      <c r="O19" s="477"/>
      <c r="P19" s="478"/>
      <c r="Q19" s="478"/>
      <c r="R19" s="478"/>
      <c r="S19" s="478"/>
      <c r="T19" s="478"/>
      <c r="U19" s="478"/>
      <c r="V19" s="478"/>
      <c r="W19" s="512"/>
      <c r="X19" s="477"/>
      <c r="Y19" s="478"/>
      <c r="Z19" s="479"/>
    </row>
    <row r="20" spans="1:27" s="20" customFormat="1" ht="28.5">
      <c r="A20" s="497"/>
      <c r="B20" s="498"/>
      <c r="C20" s="498"/>
      <c r="D20" s="498"/>
      <c r="E20" s="499"/>
      <c r="F20" s="506"/>
      <c r="G20" s="507"/>
      <c r="H20" s="507"/>
      <c r="I20" s="507"/>
      <c r="J20" s="508"/>
      <c r="K20" s="486"/>
      <c r="L20" s="486"/>
      <c r="M20" s="486"/>
      <c r="N20" s="486"/>
      <c r="O20" s="480"/>
      <c r="P20" s="481"/>
      <c r="Q20" s="481"/>
      <c r="R20" s="481"/>
      <c r="S20" s="481"/>
      <c r="T20" s="481"/>
      <c r="U20" s="481"/>
      <c r="V20" s="481"/>
      <c r="W20" s="513"/>
      <c r="X20" s="480"/>
      <c r="Y20" s="481"/>
      <c r="Z20" s="482"/>
    </row>
    <row r="21" spans="1:27" s="20" customFormat="1" ht="28.5">
      <c r="A21" s="497"/>
      <c r="B21" s="498"/>
      <c r="C21" s="498"/>
      <c r="D21" s="498"/>
      <c r="E21" s="499"/>
      <c r="F21" s="506"/>
      <c r="G21" s="507"/>
      <c r="H21" s="507"/>
      <c r="I21" s="507"/>
      <c r="J21" s="508"/>
      <c r="K21" s="486" t="s">
        <v>48</v>
      </c>
      <c r="L21" s="486"/>
      <c r="M21" s="486"/>
      <c r="N21" s="486"/>
      <c r="O21" s="480"/>
      <c r="P21" s="481"/>
      <c r="Q21" s="481"/>
      <c r="R21" s="481"/>
      <c r="S21" s="481"/>
      <c r="T21" s="481"/>
      <c r="U21" s="481"/>
      <c r="V21" s="481"/>
      <c r="W21" s="513"/>
      <c r="X21" s="480"/>
      <c r="Y21" s="481"/>
      <c r="Z21" s="482"/>
    </row>
    <row r="22" spans="1:27" s="20" customFormat="1" ht="29.25" thickBot="1">
      <c r="A22" s="500"/>
      <c r="B22" s="501"/>
      <c r="C22" s="501"/>
      <c r="D22" s="501"/>
      <c r="E22" s="502"/>
      <c r="F22" s="509"/>
      <c r="G22" s="510"/>
      <c r="H22" s="510"/>
      <c r="I22" s="510"/>
      <c r="J22" s="511"/>
      <c r="K22" s="487"/>
      <c r="L22" s="487"/>
      <c r="M22" s="487"/>
      <c r="N22" s="487"/>
      <c r="O22" s="483"/>
      <c r="P22" s="484"/>
      <c r="Q22" s="484"/>
      <c r="R22" s="484"/>
      <c r="S22" s="484"/>
      <c r="T22" s="484"/>
      <c r="U22" s="484"/>
      <c r="V22" s="484"/>
      <c r="W22" s="514"/>
      <c r="X22" s="483"/>
      <c r="Y22" s="484"/>
      <c r="Z22" s="485"/>
    </row>
    <row r="23" spans="1:27" ht="18.75" thickTop="1"/>
  </sheetData>
  <mergeCells count="50">
    <mergeCell ref="B9:H9"/>
    <mergeCell ref="X9:Z9"/>
    <mergeCell ref="A1:Y1"/>
    <mergeCell ref="AA1:AA18"/>
    <mergeCell ref="A2:Z2"/>
    <mergeCell ref="A3:F3"/>
    <mergeCell ref="G3:H3"/>
    <mergeCell ref="I3:Z4"/>
    <mergeCell ref="A4:F5"/>
    <mergeCell ref="G4:H4"/>
    <mergeCell ref="G5:H5"/>
    <mergeCell ref="I5:Z5"/>
    <mergeCell ref="B10:H10"/>
    <mergeCell ref="X10:Z10"/>
    <mergeCell ref="A6:A7"/>
    <mergeCell ref="B6:H7"/>
    <mergeCell ref="B13:H13"/>
    <mergeCell ref="X13:Z13"/>
    <mergeCell ref="B14:H14"/>
    <mergeCell ref="X14:Z14"/>
    <mergeCell ref="B15:H15"/>
    <mergeCell ref="X15:Z15"/>
    <mergeCell ref="K6:K7"/>
    <mergeCell ref="L6:W6"/>
    <mergeCell ref="X6:Z7"/>
    <mergeCell ref="B8:H8"/>
    <mergeCell ref="X8:Z8"/>
    <mergeCell ref="I6:I7"/>
    <mergeCell ref="J6:J7"/>
    <mergeCell ref="B16:H16"/>
    <mergeCell ref="X16:Z16"/>
    <mergeCell ref="X19:Z22"/>
    <mergeCell ref="L19:N20"/>
    <mergeCell ref="O19:W22"/>
    <mergeCell ref="B11:H11"/>
    <mergeCell ref="X11:Z11"/>
    <mergeCell ref="B12:H12"/>
    <mergeCell ref="X12:Z12"/>
    <mergeCell ref="K21:K22"/>
    <mergeCell ref="L21:N22"/>
    <mergeCell ref="B17:H17"/>
    <mergeCell ref="X17:Z17"/>
    <mergeCell ref="A18:E18"/>
    <mergeCell ref="F18:J18"/>
    <mergeCell ref="K18:N18"/>
    <mergeCell ref="O18:W18"/>
    <mergeCell ref="X18:Z18"/>
    <mergeCell ref="A19:E22"/>
    <mergeCell ref="F19:J22"/>
    <mergeCell ref="K19:K20"/>
  </mergeCells>
  <printOptions horizontalCentered="1" verticalCentered="1"/>
  <pageMargins left="0" right="0" top="0" bottom="0" header="0" footer="0"/>
  <pageSetup scale="40"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06DAB-9C68-4A58-A084-C9534813EB2C}">
  <dimension ref="A1:AC24"/>
  <sheetViews>
    <sheetView rightToLeft="1" zoomScale="70" zoomScaleNormal="70" zoomScaleSheetLayoutView="70" workbookViewId="0">
      <selection activeCell="AC14" sqref="AC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31.14062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9"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9"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9" s="3" customFormat="1" ht="29.25" thickTop="1">
      <c r="A3" s="656" t="s">
        <v>872</v>
      </c>
      <c r="B3" s="657"/>
      <c r="C3" s="657"/>
      <c r="D3" s="657"/>
      <c r="E3" s="658"/>
      <c r="F3" s="659" t="s">
        <v>178</v>
      </c>
      <c r="G3" s="660"/>
      <c r="H3" s="661" t="s">
        <v>873</v>
      </c>
      <c r="I3" s="662"/>
      <c r="J3" s="662"/>
      <c r="K3" s="662"/>
      <c r="L3" s="662"/>
      <c r="M3" s="662"/>
      <c r="N3" s="662"/>
      <c r="O3" s="662"/>
      <c r="P3" s="662"/>
      <c r="Q3" s="662"/>
      <c r="R3" s="662"/>
      <c r="S3" s="662"/>
      <c r="T3" s="662"/>
      <c r="U3" s="662"/>
      <c r="V3" s="662"/>
      <c r="W3" s="662"/>
      <c r="X3" s="662"/>
      <c r="Y3" s="663"/>
      <c r="Z3" s="451"/>
    </row>
    <row r="4" spans="1:29" s="3" customFormat="1" ht="28.5">
      <c r="A4" s="667" t="s">
        <v>874</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9" s="3" customFormat="1" ht="29.25" thickBot="1">
      <c r="A5" s="672" t="s">
        <v>875</v>
      </c>
      <c r="B5" s="673"/>
      <c r="C5" s="673"/>
      <c r="D5" s="673"/>
      <c r="E5" s="674"/>
      <c r="F5" s="675" t="s">
        <v>56</v>
      </c>
      <c r="G5" s="675"/>
      <c r="H5" s="676" t="s">
        <v>57</v>
      </c>
      <c r="I5" s="677"/>
      <c r="J5" s="677"/>
      <c r="K5" s="677"/>
      <c r="L5" s="677"/>
      <c r="M5" s="677"/>
      <c r="N5" s="677"/>
      <c r="O5" s="677"/>
      <c r="P5" s="677"/>
      <c r="Q5" s="677"/>
      <c r="R5" s="677"/>
      <c r="S5" s="677"/>
      <c r="T5" s="677"/>
      <c r="U5" s="677"/>
      <c r="V5" s="677"/>
      <c r="W5" s="677"/>
      <c r="X5" s="677"/>
      <c r="Y5" s="678"/>
      <c r="Z5" s="451"/>
    </row>
    <row r="6" spans="1:29"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9"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c r="AC7" s="2">
        <v>10</v>
      </c>
    </row>
    <row r="8" spans="1:29" s="14" customFormat="1" ht="42">
      <c r="A8" s="23" t="s">
        <v>28</v>
      </c>
      <c r="B8" s="795" t="s">
        <v>876</v>
      </c>
      <c r="C8" s="795"/>
      <c r="D8" s="795"/>
      <c r="E8" s="795"/>
      <c r="F8" s="795"/>
      <c r="G8" s="795"/>
      <c r="H8" s="243">
        <v>0.1</v>
      </c>
      <c r="I8" s="244" t="s">
        <v>877</v>
      </c>
      <c r="J8" s="9"/>
      <c r="K8" s="236"/>
      <c r="L8" s="236"/>
      <c r="M8" s="16"/>
      <c r="N8" s="16"/>
      <c r="O8" s="16"/>
      <c r="P8" s="16"/>
      <c r="Q8" s="16"/>
      <c r="R8" s="16"/>
      <c r="S8" s="16"/>
      <c r="T8" s="16"/>
      <c r="U8" s="16"/>
      <c r="V8" s="16"/>
      <c r="W8" s="594"/>
      <c r="X8" s="595"/>
      <c r="Y8" s="596"/>
      <c r="Z8" s="451"/>
      <c r="AC8" s="14">
        <v>10</v>
      </c>
    </row>
    <row r="9" spans="1:29" s="14" customFormat="1" ht="24">
      <c r="A9" s="23" t="s">
        <v>66</v>
      </c>
      <c r="B9" s="795" t="s">
        <v>878</v>
      </c>
      <c r="C9" s="795"/>
      <c r="D9" s="795"/>
      <c r="E9" s="795"/>
      <c r="F9" s="795"/>
      <c r="G9" s="795"/>
      <c r="H9" s="243">
        <v>0.1</v>
      </c>
      <c r="I9" s="244" t="s">
        <v>879</v>
      </c>
      <c r="J9" s="9"/>
      <c r="K9" s="236"/>
      <c r="L9" s="236"/>
      <c r="M9" s="236"/>
      <c r="N9" s="16"/>
      <c r="O9" s="16"/>
      <c r="P9" s="16"/>
      <c r="Q9" s="16"/>
      <c r="R9" s="16"/>
      <c r="S9" s="16"/>
      <c r="T9" s="16"/>
      <c r="U9" s="16"/>
      <c r="V9" s="16"/>
      <c r="W9" s="597"/>
      <c r="X9" s="597"/>
      <c r="Y9" s="597"/>
      <c r="Z9" s="451"/>
      <c r="AC9" s="14">
        <v>15</v>
      </c>
    </row>
    <row r="10" spans="1:29" s="14" customFormat="1" ht="24">
      <c r="A10" s="23" t="s">
        <v>68</v>
      </c>
      <c r="B10" s="795" t="s">
        <v>880</v>
      </c>
      <c r="C10" s="795"/>
      <c r="D10" s="795"/>
      <c r="E10" s="795"/>
      <c r="F10" s="795"/>
      <c r="G10" s="795"/>
      <c r="H10" s="243">
        <v>0.15</v>
      </c>
      <c r="I10" s="244" t="s">
        <v>881</v>
      </c>
      <c r="J10" s="9"/>
      <c r="K10" s="236"/>
      <c r="L10" s="236"/>
      <c r="M10" s="236"/>
      <c r="N10" s="16"/>
      <c r="O10" s="16"/>
      <c r="P10" s="16"/>
      <c r="Q10" s="16"/>
      <c r="R10" s="16"/>
      <c r="S10" s="16"/>
      <c r="T10" s="16"/>
      <c r="U10" s="16"/>
      <c r="V10" s="16"/>
      <c r="W10" s="518"/>
      <c r="X10" s="518"/>
      <c r="Y10" s="518"/>
      <c r="Z10" s="451"/>
      <c r="AC10" s="14">
        <f>(H11/5)*2</f>
        <v>0.04</v>
      </c>
    </row>
    <row r="11" spans="1:29" s="14" customFormat="1" ht="42">
      <c r="A11" s="23" t="s">
        <v>70</v>
      </c>
      <c r="B11" s="795" t="s">
        <v>882</v>
      </c>
      <c r="C11" s="795"/>
      <c r="D11" s="795"/>
      <c r="E11" s="795"/>
      <c r="F11" s="795"/>
      <c r="G11" s="795"/>
      <c r="H11" s="243">
        <v>0.1</v>
      </c>
      <c r="I11" s="244" t="s">
        <v>883</v>
      </c>
      <c r="J11" s="9"/>
      <c r="K11" s="16"/>
      <c r="L11" s="236"/>
      <c r="M11" s="236"/>
      <c r="N11" s="236"/>
      <c r="O11" s="236"/>
      <c r="P11" s="236"/>
      <c r="Q11" s="16"/>
      <c r="R11" s="16"/>
      <c r="S11" s="16"/>
      <c r="T11" s="16"/>
      <c r="U11" s="16"/>
      <c r="V11" s="16"/>
      <c r="W11" s="518"/>
      <c r="X11" s="518"/>
      <c r="Y11" s="518"/>
      <c r="Z11" s="451"/>
      <c r="AC11" s="14">
        <f>(H12/4)*2</f>
        <v>2.5000000000000001E-2</v>
      </c>
    </row>
    <row r="12" spans="1:29" s="14" customFormat="1" ht="24">
      <c r="A12" s="23" t="s">
        <v>153</v>
      </c>
      <c r="B12" s="795" t="s">
        <v>884</v>
      </c>
      <c r="C12" s="795"/>
      <c r="D12" s="795"/>
      <c r="E12" s="795"/>
      <c r="F12" s="795"/>
      <c r="G12" s="795"/>
      <c r="H12" s="243">
        <v>0.05</v>
      </c>
      <c r="I12" s="244" t="s">
        <v>885</v>
      </c>
      <c r="J12" s="9"/>
      <c r="K12" s="16"/>
      <c r="L12" s="236"/>
      <c r="M12" s="236"/>
      <c r="N12" s="236"/>
      <c r="O12" s="236"/>
      <c r="P12" s="16"/>
      <c r="Q12" s="16"/>
      <c r="R12" s="16"/>
      <c r="S12" s="16"/>
      <c r="T12" s="16"/>
      <c r="U12" s="16"/>
      <c r="V12" s="16"/>
      <c r="W12" s="518"/>
      <c r="X12" s="518"/>
      <c r="Y12" s="518"/>
      <c r="Z12" s="451"/>
      <c r="AC12" s="14">
        <f>(H13/4)*2</f>
        <v>7.4999999999999997E-2</v>
      </c>
    </row>
    <row r="13" spans="1:29" s="14" customFormat="1" ht="44.25" customHeight="1">
      <c r="A13" s="23" t="s">
        <v>155</v>
      </c>
      <c r="B13" s="795" t="s">
        <v>886</v>
      </c>
      <c r="C13" s="795"/>
      <c r="D13" s="795"/>
      <c r="E13" s="795"/>
      <c r="F13" s="795"/>
      <c r="G13" s="795"/>
      <c r="H13" s="243">
        <v>0.15</v>
      </c>
      <c r="I13" s="244" t="s">
        <v>887</v>
      </c>
      <c r="J13" s="9"/>
      <c r="K13" s="16"/>
      <c r="L13" s="236"/>
      <c r="M13" s="236"/>
      <c r="N13" s="236"/>
      <c r="O13" s="236"/>
      <c r="P13" s="16"/>
      <c r="Q13" s="16"/>
      <c r="R13" s="16"/>
      <c r="S13" s="16"/>
      <c r="T13" s="16"/>
      <c r="U13" s="16"/>
      <c r="V13" s="16"/>
      <c r="W13" s="518"/>
      <c r="X13" s="518"/>
      <c r="Y13" s="518"/>
      <c r="Z13" s="451"/>
      <c r="AC13" s="14">
        <f>(H14/3)*2</f>
        <v>6.6666666666666666E-2</v>
      </c>
    </row>
    <row r="14" spans="1:29" s="14" customFormat="1" ht="42">
      <c r="A14" s="23" t="s">
        <v>156</v>
      </c>
      <c r="B14" s="795" t="s">
        <v>888</v>
      </c>
      <c r="C14" s="795"/>
      <c r="D14" s="795"/>
      <c r="E14" s="795"/>
      <c r="F14" s="795"/>
      <c r="G14" s="795"/>
      <c r="H14" s="243">
        <v>0.1</v>
      </c>
      <c r="I14" s="244" t="s">
        <v>889</v>
      </c>
      <c r="J14" s="9"/>
      <c r="K14" s="16"/>
      <c r="L14" s="236"/>
      <c r="M14" s="236"/>
      <c r="N14" s="236"/>
      <c r="O14" s="16"/>
      <c r="P14" s="16"/>
      <c r="Q14" s="16"/>
      <c r="R14" s="16"/>
      <c r="S14" s="16"/>
      <c r="T14" s="16"/>
      <c r="U14" s="16"/>
      <c r="V14" s="16"/>
      <c r="W14" s="518"/>
      <c r="X14" s="518"/>
      <c r="Y14" s="518"/>
      <c r="Z14" s="451"/>
    </row>
    <row r="15" spans="1:29" s="14" customFormat="1" ht="42">
      <c r="A15" s="23" t="s">
        <v>853</v>
      </c>
      <c r="B15" s="795" t="s">
        <v>890</v>
      </c>
      <c r="C15" s="795"/>
      <c r="D15" s="795"/>
      <c r="E15" s="795"/>
      <c r="F15" s="795"/>
      <c r="G15" s="795"/>
      <c r="H15" s="243">
        <v>0.1</v>
      </c>
      <c r="I15" s="244" t="s">
        <v>891</v>
      </c>
      <c r="J15" s="9"/>
      <c r="K15" s="16"/>
      <c r="L15" s="16"/>
      <c r="M15" s="16"/>
      <c r="N15" s="236"/>
      <c r="O15" s="236"/>
      <c r="P15" s="236"/>
      <c r="Q15" s="236"/>
      <c r="R15" s="236"/>
      <c r="S15" s="236"/>
      <c r="T15" s="236"/>
      <c r="U15" s="236"/>
      <c r="V15" s="236"/>
      <c r="W15" s="597"/>
      <c r="X15" s="597"/>
      <c r="Y15" s="597"/>
      <c r="Z15" s="451"/>
    </row>
    <row r="16" spans="1:29" s="14" customFormat="1" ht="24">
      <c r="A16" s="23" t="s">
        <v>892</v>
      </c>
      <c r="B16" s="795" t="s">
        <v>893</v>
      </c>
      <c r="C16" s="795"/>
      <c r="D16" s="795"/>
      <c r="E16" s="795"/>
      <c r="F16" s="795"/>
      <c r="G16" s="795"/>
      <c r="H16" s="243">
        <v>0.05</v>
      </c>
      <c r="I16" s="244" t="s">
        <v>235</v>
      </c>
      <c r="J16" s="9"/>
      <c r="K16" s="16"/>
      <c r="L16" s="16"/>
      <c r="M16" s="16"/>
      <c r="N16" s="236"/>
      <c r="O16" s="236"/>
      <c r="P16" s="236"/>
      <c r="Q16" s="236"/>
      <c r="R16" s="236"/>
      <c r="S16" s="236"/>
      <c r="T16" s="236"/>
      <c r="U16" s="236"/>
      <c r="V16" s="236"/>
      <c r="W16" s="518"/>
      <c r="X16" s="518"/>
      <c r="Y16" s="518"/>
      <c r="Z16" s="451"/>
    </row>
    <row r="17" spans="1:26" s="14" customFormat="1" ht="24">
      <c r="A17" s="23" t="s">
        <v>894</v>
      </c>
      <c r="B17" s="795" t="s">
        <v>895</v>
      </c>
      <c r="C17" s="795"/>
      <c r="D17" s="795"/>
      <c r="E17" s="795"/>
      <c r="F17" s="795"/>
      <c r="G17" s="795"/>
      <c r="H17" s="243">
        <v>0.05</v>
      </c>
      <c r="I17" s="244" t="s">
        <v>896</v>
      </c>
      <c r="J17" s="9"/>
      <c r="K17" s="16"/>
      <c r="L17" s="16"/>
      <c r="M17" s="16"/>
      <c r="N17" s="16"/>
      <c r="O17" s="236"/>
      <c r="P17" s="236"/>
      <c r="Q17" s="236"/>
      <c r="R17" s="236"/>
      <c r="S17" s="236"/>
      <c r="T17" s="236"/>
      <c r="U17" s="236"/>
      <c r="V17" s="236"/>
      <c r="W17" s="518"/>
      <c r="X17" s="518"/>
      <c r="Y17" s="518"/>
      <c r="Z17" s="451"/>
    </row>
    <row r="18" spans="1:26" s="14" customFormat="1" ht="24.75" thickBot="1">
      <c r="A18" s="23" t="s">
        <v>897</v>
      </c>
      <c r="B18" s="795" t="s">
        <v>898</v>
      </c>
      <c r="C18" s="795"/>
      <c r="D18" s="795"/>
      <c r="E18" s="795"/>
      <c r="F18" s="795"/>
      <c r="G18" s="795"/>
      <c r="H18" s="243">
        <v>0.05</v>
      </c>
      <c r="I18" s="244" t="s">
        <v>885</v>
      </c>
      <c r="J18" s="9"/>
      <c r="K18" s="16"/>
      <c r="L18" s="16"/>
      <c r="M18" s="16"/>
      <c r="N18" s="16"/>
      <c r="O18" s="236"/>
      <c r="P18" s="236"/>
      <c r="Q18" s="236"/>
      <c r="R18" s="236"/>
      <c r="S18" s="236"/>
      <c r="T18" s="236"/>
      <c r="U18" s="236"/>
      <c r="V18" s="236"/>
      <c r="W18" s="518"/>
      <c r="X18" s="518"/>
      <c r="Y18" s="518"/>
      <c r="Z18" s="451"/>
    </row>
    <row r="19" spans="1:26" ht="30" thickTop="1" thickBot="1">
      <c r="A19" s="519" t="s">
        <v>72</v>
      </c>
      <c r="B19" s="520"/>
      <c r="C19" s="520"/>
      <c r="D19" s="521"/>
      <c r="E19" s="527" t="s">
        <v>73</v>
      </c>
      <c r="F19" s="528"/>
      <c r="G19" s="528"/>
      <c r="H19" s="528"/>
      <c r="I19" s="528"/>
      <c r="J19" s="527" t="s">
        <v>74</v>
      </c>
      <c r="K19" s="528"/>
      <c r="L19" s="528"/>
      <c r="M19" s="529"/>
      <c r="N19" s="543" t="s">
        <v>75</v>
      </c>
      <c r="O19" s="544"/>
      <c r="P19" s="544"/>
      <c r="Q19" s="544"/>
      <c r="R19" s="544"/>
      <c r="S19" s="544"/>
      <c r="T19" s="544"/>
      <c r="U19" s="544"/>
      <c r="V19" s="545"/>
      <c r="W19" s="543" t="s">
        <v>76</v>
      </c>
      <c r="X19" s="544"/>
      <c r="Y19" s="545"/>
      <c r="Z19" s="451"/>
    </row>
    <row r="20" spans="1:26" s="20" customFormat="1" ht="29.25" thickTop="1">
      <c r="A20" s="522"/>
      <c r="B20" s="498"/>
      <c r="C20" s="498"/>
      <c r="D20" s="523"/>
      <c r="E20" s="533"/>
      <c r="F20" s="534"/>
      <c r="G20" s="533"/>
      <c r="H20" s="539"/>
      <c r="I20" s="534"/>
      <c r="J20" s="541" t="s">
        <v>47</v>
      </c>
      <c r="K20" s="539"/>
      <c r="L20" s="539"/>
      <c r="M20" s="534"/>
      <c r="N20" s="546"/>
      <c r="O20" s="481"/>
      <c r="P20" s="481"/>
      <c r="Q20" s="481"/>
      <c r="R20" s="481"/>
      <c r="S20" s="481"/>
      <c r="T20" s="481"/>
      <c r="U20" s="481"/>
      <c r="V20" s="547"/>
      <c r="W20" s="546"/>
      <c r="X20" s="481"/>
      <c r="Y20" s="547"/>
    </row>
    <row r="21" spans="1:26" s="20" customFormat="1" ht="29.25" thickBot="1">
      <c r="A21" s="522"/>
      <c r="B21" s="498"/>
      <c r="C21" s="498"/>
      <c r="D21" s="523"/>
      <c r="E21" s="535"/>
      <c r="F21" s="536"/>
      <c r="G21" s="535"/>
      <c r="H21" s="507"/>
      <c r="I21" s="536"/>
      <c r="J21" s="542"/>
      <c r="K21" s="540"/>
      <c r="L21" s="540"/>
      <c r="M21" s="538"/>
      <c r="N21" s="546"/>
      <c r="O21" s="481"/>
      <c r="P21" s="481"/>
      <c r="Q21" s="481"/>
      <c r="R21" s="481"/>
      <c r="S21" s="481"/>
      <c r="T21" s="481"/>
      <c r="U21" s="481"/>
      <c r="V21" s="547"/>
      <c r="W21" s="546"/>
      <c r="X21" s="481"/>
      <c r="Y21" s="547"/>
    </row>
    <row r="22" spans="1:26" s="20" customFormat="1" ht="29.25" thickTop="1">
      <c r="A22" s="522"/>
      <c r="B22" s="498"/>
      <c r="C22" s="498"/>
      <c r="D22" s="523"/>
      <c r="E22" s="535"/>
      <c r="F22" s="536"/>
      <c r="G22" s="535"/>
      <c r="H22" s="507"/>
      <c r="I22" s="536"/>
      <c r="J22" s="541" t="s">
        <v>48</v>
      </c>
      <c r="K22" s="539"/>
      <c r="L22" s="539"/>
      <c r="M22" s="534"/>
      <c r="N22" s="546"/>
      <c r="O22" s="481"/>
      <c r="P22" s="481"/>
      <c r="Q22" s="481"/>
      <c r="R22" s="481"/>
      <c r="S22" s="481"/>
      <c r="T22" s="481"/>
      <c r="U22" s="481"/>
      <c r="V22" s="547"/>
      <c r="W22" s="546"/>
      <c r="X22" s="481"/>
      <c r="Y22" s="547"/>
    </row>
    <row r="23" spans="1:26" s="20" customFormat="1" ht="29.25" thickBot="1">
      <c r="A23" s="524"/>
      <c r="B23" s="525"/>
      <c r="C23" s="525"/>
      <c r="D23" s="526"/>
      <c r="E23" s="537"/>
      <c r="F23" s="538"/>
      <c r="G23" s="537"/>
      <c r="H23" s="540"/>
      <c r="I23" s="538"/>
      <c r="J23" s="542"/>
      <c r="K23" s="540"/>
      <c r="L23" s="540"/>
      <c r="M23" s="538"/>
      <c r="N23" s="548"/>
      <c r="O23" s="549"/>
      <c r="P23" s="549"/>
      <c r="Q23" s="549"/>
      <c r="R23" s="549"/>
      <c r="S23" s="549"/>
      <c r="T23" s="549"/>
      <c r="U23" s="549"/>
      <c r="V23" s="550"/>
      <c r="W23" s="548"/>
      <c r="X23" s="549"/>
      <c r="Y23" s="550"/>
    </row>
    <row r="24" spans="1:26" ht="18.75" thickTop="1"/>
  </sheetData>
  <mergeCells count="51">
    <mergeCell ref="A1:Y1"/>
    <mergeCell ref="Z1:Z19"/>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B14:G14"/>
    <mergeCell ref="W14:Y14"/>
    <mergeCell ref="B15:G15"/>
    <mergeCell ref="W15:Y15"/>
    <mergeCell ref="B16:G16"/>
    <mergeCell ref="W16:Y16"/>
    <mergeCell ref="B17:G17"/>
    <mergeCell ref="W17:Y17"/>
    <mergeCell ref="B18:G18"/>
    <mergeCell ref="W18:Y18"/>
    <mergeCell ref="A19:D23"/>
    <mergeCell ref="E19:I19"/>
    <mergeCell ref="J19:M19"/>
    <mergeCell ref="N19:V23"/>
    <mergeCell ref="W19:Y23"/>
    <mergeCell ref="E20:F23"/>
    <mergeCell ref="G20:I23"/>
    <mergeCell ref="J20:J21"/>
    <mergeCell ref="K20:M21"/>
    <mergeCell ref="J22:J23"/>
    <mergeCell ref="K22:M23"/>
  </mergeCells>
  <printOptions horizontalCentered="1" verticalCentered="1"/>
  <pageMargins left="0" right="0" top="0" bottom="0" header="0" footer="0"/>
  <pageSetup scale="45"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E98F-9552-4912-8F12-D43C774B3DF9}">
  <dimension ref="A1:AB20"/>
  <sheetViews>
    <sheetView rightToLeft="1" topLeftCell="A5" zoomScale="70" zoomScaleNormal="70" zoomScaleSheetLayoutView="70" workbookViewId="0">
      <selection activeCell="B11" sqref="B11:G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35.8554687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856</v>
      </c>
      <c r="B3" s="657"/>
      <c r="C3" s="657"/>
      <c r="D3" s="657"/>
      <c r="E3" s="658"/>
      <c r="F3" s="659" t="s">
        <v>178</v>
      </c>
      <c r="G3" s="660"/>
      <c r="H3" s="661" t="s">
        <v>857</v>
      </c>
      <c r="I3" s="662"/>
      <c r="J3" s="662"/>
      <c r="K3" s="662"/>
      <c r="L3" s="662"/>
      <c r="M3" s="662"/>
      <c r="N3" s="662"/>
      <c r="O3" s="662"/>
      <c r="P3" s="662"/>
      <c r="Q3" s="662"/>
      <c r="R3" s="662"/>
      <c r="S3" s="662"/>
      <c r="T3" s="662"/>
      <c r="U3" s="662"/>
      <c r="V3" s="662"/>
      <c r="W3" s="662"/>
      <c r="X3" s="662"/>
      <c r="Y3" s="663"/>
      <c r="Z3" s="451"/>
    </row>
    <row r="4" spans="1:28" s="3" customFormat="1" ht="28.5">
      <c r="A4" s="667" t="s">
        <v>822</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858</v>
      </c>
      <c r="B5" s="673"/>
      <c r="C5" s="673"/>
      <c r="D5" s="673"/>
      <c r="E5" s="674"/>
      <c r="F5" s="675" t="s">
        <v>825</v>
      </c>
      <c r="G5" s="675"/>
      <c r="H5" s="676" t="s">
        <v>859</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57" customHeight="1">
      <c r="A8" s="23" t="s">
        <v>28</v>
      </c>
      <c r="B8" s="796" t="s">
        <v>860</v>
      </c>
      <c r="C8" s="797"/>
      <c r="D8" s="797"/>
      <c r="E8" s="797"/>
      <c r="F8" s="797"/>
      <c r="G8" s="798"/>
      <c r="H8" s="226">
        <v>0.15</v>
      </c>
      <c r="I8" s="9" t="s">
        <v>861</v>
      </c>
      <c r="J8" s="9"/>
      <c r="K8" s="236"/>
      <c r="L8" s="236"/>
      <c r="M8" s="236"/>
      <c r="N8" s="19"/>
      <c r="O8" s="19"/>
      <c r="P8" s="19"/>
      <c r="Q8" s="19"/>
      <c r="R8" s="19"/>
      <c r="S8" s="19"/>
      <c r="T8" s="19"/>
      <c r="U8" s="19"/>
      <c r="V8" s="19"/>
      <c r="W8" s="594"/>
      <c r="X8" s="595"/>
      <c r="Y8" s="596"/>
      <c r="Z8" s="451"/>
      <c r="AB8" s="14">
        <v>15</v>
      </c>
    </row>
    <row r="9" spans="1:28" s="14" customFormat="1" ht="57" customHeight="1">
      <c r="A9" s="23" t="s">
        <v>66</v>
      </c>
      <c r="B9" s="796" t="s">
        <v>862</v>
      </c>
      <c r="C9" s="799"/>
      <c r="D9" s="799"/>
      <c r="E9" s="799"/>
      <c r="F9" s="799"/>
      <c r="G9" s="800"/>
      <c r="H9" s="226">
        <v>0.1</v>
      </c>
      <c r="I9" s="9" t="s">
        <v>827</v>
      </c>
      <c r="J9" s="9"/>
      <c r="K9" s="19"/>
      <c r="L9" s="19"/>
      <c r="M9" s="236"/>
      <c r="N9" s="236"/>
      <c r="O9" s="236"/>
      <c r="P9" s="236"/>
      <c r="Q9" s="236"/>
      <c r="R9" s="236"/>
      <c r="S9" s="236"/>
      <c r="T9" s="236"/>
      <c r="U9" s="236"/>
      <c r="V9" s="236"/>
      <c r="W9" s="594"/>
      <c r="X9" s="595"/>
      <c r="Y9" s="596"/>
      <c r="Z9" s="451"/>
      <c r="AB9" s="14">
        <f>(10/10)*1</f>
        <v>1</v>
      </c>
    </row>
    <row r="10" spans="1:28" s="14" customFormat="1" ht="45" customHeight="1">
      <c r="A10" s="23" t="s">
        <v>68</v>
      </c>
      <c r="B10" s="796" t="s">
        <v>863</v>
      </c>
      <c r="C10" s="799"/>
      <c r="D10" s="799"/>
      <c r="E10" s="799"/>
      <c r="F10" s="799"/>
      <c r="G10" s="800"/>
      <c r="H10" s="226">
        <v>0.1</v>
      </c>
      <c r="I10" s="9" t="s">
        <v>864</v>
      </c>
      <c r="J10" s="9"/>
      <c r="K10" s="19"/>
      <c r="L10" s="19"/>
      <c r="M10" s="236"/>
      <c r="N10" s="236"/>
      <c r="O10" s="236"/>
      <c r="P10" s="236"/>
      <c r="Q10" s="236"/>
      <c r="R10" s="236"/>
      <c r="S10" s="236"/>
      <c r="T10" s="236"/>
      <c r="U10" s="236"/>
      <c r="V10" s="236"/>
      <c r="W10" s="597"/>
      <c r="X10" s="597"/>
      <c r="Y10" s="597"/>
      <c r="Z10" s="451"/>
      <c r="AB10" s="14">
        <f>(10/10)*1</f>
        <v>1</v>
      </c>
    </row>
    <row r="11" spans="1:28" s="14" customFormat="1" ht="45" customHeight="1">
      <c r="A11" s="23" t="s">
        <v>70</v>
      </c>
      <c r="B11" s="801" t="s">
        <v>865</v>
      </c>
      <c r="C11" s="797"/>
      <c r="D11" s="797"/>
      <c r="E11" s="797"/>
      <c r="F11" s="797"/>
      <c r="G11" s="798"/>
      <c r="H11" s="226">
        <v>0.1</v>
      </c>
      <c r="I11" s="9" t="s">
        <v>866</v>
      </c>
      <c r="J11" s="9"/>
      <c r="K11" s="236"/>
      <c r="L11" s="236"/>
      <c r="M11" s="236"/>
      <c r="N11" s="236"/>
      <c r="O11" s="236"/>
      <c r="P11" s="236"/>
      <c r="Q11" s="236"/>
      <c r="R11" s="236"/>
      <c r="S11" s="236"/>
      <c r="T11" s="236"/>
      <c r="U11" s="236"/>
      <c r="V11" s="236"/>
      <c r="W11" s="518"/>
      <c r="X11" s="518"/>
      <c r="Y11" s="518"/>
      <c r="Z11" s="451"/>
      <c r="AB11" s="14">
        <f>(20/12)*3</f>
        <v>5</v>
      </c>
    </row>
    <row r="12" spans="1:28" s="14" customFormat="1" ht="57" customHeight="1">
      <c r="A12" s="23" t="s">
        <v>153</v>
      </c>
      <c r="B12" s="801" t="s">
        <v>867</v>
      </c>
      <c r="C12" s="797"/>
      <c r="D12" s="797"/>
      <c r="E12" s="797"/>
      <c r="F12" s="797"/>
      <c r="G12" s="798"/>
      <c r="H12" s="226">
        <v>0.2</v>
      </c>
      <c r="I12" s="9" t="s">
        <v>868</v>
      </c>
      <c r="J12" s="9"/>
      <c r="K12" s="236"/>
      <c r="L12" s="236"/>
      <c r="M12" s="236"/>
      <c r="N12" s="236"/>
      <c r="O12" s="236"/>
      <c r="P12" s="236"/>
      <c r="Q12" s="236"/>
      <c r="R12" s="236"/>
      <c r="S12" s="236"/>
      <c r="T12" s="236"/>
      <c r="U12" s="236"/>
      <c r="V12" s="236"/>
      <c r="W12" s="518"/>
      <c r="X12" s="518"/>
      <c r="Y12" s="518"/>
      <c r="Z12" s="451"/>
      <c r="AB12" s="14">
        <f>(20/12)*3</f>
        <v>5</v>
      </c>
    </row>
    <row r="13" spans="1:28" s="14" customFormat="1" ht="66.75" customHeight="1">
      <c r="A13" s="23" t="s">
        <v>155</v>
      </c>
      <c r="B13" s="237" t="s">
        <v>869</v>
      </c>
      <c r="C13" s="238"/>
      <c r="D13" s="238"/>
      <c r="E13" s="238"/>
      <c r="F13" s="238"/>
      <c r="G13" s="239"/>
      <c r="H13" s="226">
        <v>0.2</v>
      </c>
      <c r="I13" s="9" t="s">
        <v>870</v>
      </c>
      <c r="J13" s="9"/>
      <c r="K13" s="16"/>
      <c r="L13" s="19"/>
      <c r="M13" s="19"/>
      <c r="N13" s="236"/>
      <c r="O13" s="236"/>
      <c r="P13" s="236"/>
      <c r="Q13" s="236"/>
      <c r="R13" s="236"/>
      <c r="S13" s="236"/>
      <c r="T13" s="236"/>
      <c r="U13" s="236"/>
      <c r="V13" s="236"/>
      <c r="W13" s="518"/>
      <c r="X13" s="518"/>
      <c r="Y13" s="518"/>
      <c r="Z13" s="451"/>
    </row>
    <row r="14" spans="1:28" s="14" customFormat="1" ht="51" customHeight="1" thickBot="1">
      <c r="A14" s="23" t="s">
        <v>156</v>
      </c>
      <c r="B14" s="796" t="s">
        <v>871</v>
      </c>
      <c r="C14" s="797"/>
      <c r="D14" s="797"/>
      <c r="E14" s="797"/>
      <c r="F14" s="797"/>
      <c r="G14" s="798"/>
      <c r="H14" s="226">
        <v>0.15</v>
      </c>
      <c r="I14" s="9" t="s">
        <v>829</v>
      </c>
      <c r="J14" s="9"/>
      <c r="K14" s="16"/>
      <c r="L14" s="16"/>
      <c r="N14" s="236"/>
      <c r="O14" s="236"/>
      <c r="P14" s="236"/>
      <c r="Q14" s="236"/>
      <c r="R14" s="236"/>
      <c r="S14" s="236"/>
      <c r="T14" s="236"/>
      <c r="U14" s="236"/>
      <c r="V14" s="236"/>
      <c r="W14" s="597"/>
      <c r="X14" s="597"/>
      <c r="Y14" s="597"/>
      <c r="Z14" s="451"/>
    </row>
    <row r="15" spans="1:28" s="20" customFormat="1" ht="30" thickTop="1" thickBot="1">
      <c r="A15" s="522" t="s">
        <v>72</v>
      </c>
      <c r="B15" s="520"/>
      <c r="C15" s="520"/>
      <c r="D15" s="521"/>
      <c r="E15" s="527" t="s">
        <v>73</v>
      </c>
      <c r="F15" s="528"/>
      <c r="G15" s="528"/>
      <c r="H15" s="549"/>
      <c r="I15" s="549"/>
      <c r="J15" s="548" t="s">
        <v>74</v>
      </c>
      <c r="K15" s="549"/>
      <c r="L15" s="549"/>
      <c r="M15" s="550"/>
      <c r="N15" s="546" t="s">
        <v>75</v>
      </c>
      <c r="O15" s="481"/>
      <c r="P15" s="481"/>
      <c r="Q15" s="481"/>
      <c r="R15" s="481"/>
      <c r="S15" s="481"/>
      <c r="T15" s="481"/>
      <c r="U15" s="481"/>
      <c r="V15" s="547"/>
      <c r="W15" s="546" t="s">
        <v>76</v>
      </c>
      <c r="X15" s="481"/>
      <c r="Y15" s="547"/>
    </row>
    <row r="16" spans="1:28"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ht="18.7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2">
    <mergeCell ref="A1:Y1"/>
    <mergeCell ref="Z1:Z14"/>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14:G14"/>
    <mergeCell ref="W14:Y14"/>
    <mergeCell ref="B8:G8"/>
    <mergeCell ref="W8:Y8"/>
    <mergeCell ref="B9:G9"/>
    <mergeCell ref="W9:Y9"/>
    <mergeCell ref="B10:G10"/>
    <mergeCell ref="W10:Y10"/>
    <mergeCell ref="B11:G11"/>
    <mergeCell ref="W11:Y11"/>
    <mergeCell ref="B12:G12"/>
    <mergeCell ref="W12:Y12"/>
    <mergeCell ref="W13:Y13"/>
    <mergeCell ref="A15:D19"/>
    <mergeCell ref="E15:I15"/>
    <mergeCell ref="J15:M15"/>
    <mergeCell ref="N15:V19"/>
    <mergeCell ref="W15:Y19"/>
    <mergeCell ref="E16:F19"/>
    <mergeCell ref="G16:I19"/>
    <mergeCell ref="J16:J17"/>
    <mergeCell ref="K16:M17"/>
    <mergeCell ref="J18:J19"/>
    <mergeCell ref="K18:M19"/>
  </mergeCells>
  <printOptions horizontalCentered="1" verticalCentered="1"/>
  <pageMargins left="0" right="0" top="0" bottom="0" header="0" footer="0"/>
  <pageSetup scale="45" orientation="landscape"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BBBEA-3E33-4D06-AE3A-AEE7DD5D063E}">
  <dimension ref="A1:AB22"/>
  <sheetViews>
    <sheetView rightToLeft="1" zoomScale="70" zoomScaleNormal="70" zoomScaleSheetLayoutView="70" workbookViewId="0">
      <selection activeCell="A5" sqref="A5:E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9.42578125" style="21" customWidth="1"/>
    <col min="8" max="8" width="21.140625" style="21" customWidth="1"/>
    <col min="9" max="9" width="35.8554687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839</v>
      </c>
      <c r="B3" s="657"/>
      <c r="C3" s="657"/>
      <c r="D3" s="657"/>
      <c r="E3" s="658"/>
      <c r="F3" s="659" t="s">
        <v>178</v>
      </c>
      <c r="G3" s="660"/>
      <c r="H3" s="661" t="s">
        <v>840</v>
      </c>
      <c r="I3" s="662"/>
      <c r="J3" s="662"/>
      <c r="K3" s="662"/>
      <c r="L3" s="662"/>
      <c r="M3" s="662"/>
      <c r="N3" s="662"/>
      <c r="O3" s="662"/>
      <c r="P3" s="662"/>
      <c r="Q3" s="662"/>
      <c r="R3" s="662"/>
      <c r="S3" s="662"/>
      <c r="T3" s="662"/>
      <c r="U3" s="662"/>
      <c r="V3" s="662"/>
      <c r="W3" s="662"/>
      <c r="X3" s="662"/>
      <c r="Y3" s="663"/>
      <c r="Z3" s="451"/>
    </row>
    <row r="4" spans="1:28" s="3" customFormat="1" ht="28.5">
      <c r="A4" s="667" t="s">
        <v>841</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842</v>
      </c>
      <c r="B5" s="673"/>
      <c r="C5" s="673"/>
      <c r="D5" s="673"/>
      <c r="E5" s="674"/>
      <c r="F5" s="675" t="s">
        <v>825</v>
      </c>
      <c r="G5" s="675"/>
      <c r="H5" s="676" t="s">
        <v>57</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57" customHeight="1">
      <c r="A8" s="23" t="s">
        <v>28</v>
      </c>
      <c r="B8" s="796" t="s">
        <v>843</v>
      </c>
      <c r="C8" s="799"/>
      <c r="D8" s="799"/>
      <c r="E8" s="799"/>
      <c r="F8" s="799"/>
      <c r="G8" s="800"/>
      <c r="H8" s="226">
        <v>0.05</v>
      </c>
      <c r="I8" s="9" t="s">
        <v>827</v>
      </c>
      <c r="J8" s="9"/>
      <c r="K8" s="16"/>
      <c r="L8" s="236"/>
      <c r="M8" s="16"/>
      <c r="N8" s="16"/>
      <c r="O8" s="16"/>
      <c r="P8" s="16"/>
      <c r="Q8" s="16"/>
      <c r="R8" s="16"/>
      <c r="S8" s="16"/>
      <c r="T8" s="16"/>
      <c r="U8" s="16"/>
      <c r="V8" s="16"/>
      <c r="W8" s="594"/>
      <c r="X8" s="595"/>
      <c r="Y8" s="596"/>
      <c r="Z8" s="451"/>
      <c r="AB8" s="14">
        <v>5</v>
      </c>
    </row>
    <row r="9" spans="1:28" s="14" customFormat="1" ht="45" customHeight="1">
      <c r="A9" s="23" t="s">
        <v>66</v>
      </c>
      <c r="B9" s="796" t="s">
        <v>844</v>
      </c>
      <c r="C9" s="799"/>
      <c r="D9" s="799"/>
      <c r="E9" s="799"/>
      <c r="F9" s="799"/>
      <c r="G9" s="800"/>
      <c r="H9" s="226">
        <v>0.1</v>
      </c>
      <c r="I9" s="9" t="s">
        <v>845</v>
      </c>
      <c r="J9" s="9"/>
      <c r="K9" s="236"/>
      <c r="L9" s="236"/>
      <c r="M9" s="16"/>
      <c r="N9" s="16"/>
      <c r="O9" s="16"/>
      <c r="P9" s="16"/>
      <c r="Q9" s="16"/>
      <c r="R9" s="16"/>
      <c r="S9" s="16"/>
      <c r="T9" s="16"/>
      <c r="U9" s="16"/>
      <c r="V9" s="16"/>
      <c r="W9" s="597"/>
      <c r="X9" s="597"/>
      <c r="Y9" s="597"/>
      <c r="Z9" s="451"/>
      <c r="AB9" s="14">
        <v>10</v>
      </c>
    </row>
    <row r="10" spans="1:28" s="14" customFormat="1" ht="45" customHeight="1">
      <c r="A10" s="23" t="s">
        <v>68</v>
      </c>
      <c r="B10" s="801" t="s">
        <v>830</v>
      </c>
      <c r="C10" s="797"/>
      <c r="D10" s="797"/>
      <c r="E10" s="797"/>
      <c r="F10" s="797"/>
      <c r="G10" s="798"/>
      <c r="H10" s="226">
        <v>0.1</v>
      </c>
      <c r="I10" s="9" t="s">
        <v>846</v>
      </c>
      <c r="J10" s="9"/>
      <c r="K10" s="16"/>
      <c r="L10" s="236"/>
      <c r="M10" s="236"/>
      <c r="N10" s="236"/>
      <c r="O10" s="16"/>
      <c r="P10" s="16"/>
      <c r="Q10" s="16"/>
      <c r="R10" s="16"/>
      <c r="S10" s="16"/>
      <c r="T10" s="16"/>
      <c r="U10" s="16"/>
      <c r="V10" s="16"/>
      <c r="W10" s="518"/>
      <c r="X10" s="518"/>
      <c r="Y10" s="518"/>
      <c r="Z10" s="451"/>
      <c r="AB10" s="14">
        <f>10/3</f>
        <v>3.3333333333333335</v>
      </c>
    </row>
    <row r="11" spans="1:28" s="14" customFormat="1" ht="57" customHeight="1">
      <c r="A11" s="23" t="s">
        <v>70</v>
      </c>
      <c r="B11" s="801" t="s">
        <v>847</v>
      </c>
      <c r="C11" s="797"/>
      <c r="D11" s="797"/>
      <c r="E11" s="797"/>
      <c r="F11" s="797"/>
      <c r="G11" s="798"/>
      <c r="H11" s="226">
        <v>0.1</v>
      </c>
      <c r="I11" s="9" t="s">
        <v>846</v>
      </c>
      <c r="J11" s="9"/>
      <c r="K11" s="16"/>
      <c r="L11" s="236"/>
      <c r="M11" s="236"/>
      <c r="N11" s="236"/>
      <c r="O11" s="236"/>
      <c r="P11" s="236"/>
      <c r="Q11" s="16"/>
      <c r="R11" s="16"/>
      <c r="S11" s="16"/>
      <c r="T11" s="16"/>
      <c r="U11" s="16"/>
      <c r="V11" s="16"/>
      <c r="W11" s="518"/>
      <c r="X11" s="518"/>
      <c r="Y11" s="518"/>
      <c r="Z11" s="451"/>
      <c r="AB11" s="14">
        <f>(10/5)*2</f>
        <v>4</v>
      </c>
    </row>
    <row r="12" spans="1:28" s="14" customFormat="1" ht="51" customHeight="1">
      <c r="A12" s="23" t="s">
        <v>153</v>
      </c>
      <c r="B12" s="801" t="s">
        <v>848</v>
      </c>
      <c r="C12" s="797"/>
      <c r="D12" s="797"/>
      <c r="E12" s="797"/>
      <c r="F12" s="797"/>
      <c r="G12" s="798"/>
      <c r="H12" s="226">
        <v>0.1</v>
      </c>
      <c r="I12" s="9" t="s">
        <v>849</v>
      </c>
      <c r="J12" s="9"/>
      <c r="K12" s="16"/>
      <c r="L12" s="236"/>
      <c r="M12" s="236"/>
      <c r="N12" s="236"/>
      <c r="O12" s="236"/>
      <c r="P12" s="236"/>
      <c r="Q12" s="236"/>
      <c r="R12" s="236"/>
      <c r="S12" s="236"/>
      <c r="T12" s="236"/>
      <c r="U12" s="236"/>
      <c r="V12" s="236"/>
      <c r="W12" s="597"/>
      <c r="X12" s="597"/>
      <c r="Y12" s="597"/>
      <c r="Z12" s="451"/>
      <c r="AB12" s="14">
        <f>(10/11)*1</f>
        <v>0.90909090909090906</v>
      </c>
    </row>
    <row r="13" spans="1:28" s="14" customFormat="1" ht="44.25" customHeight="1">
      <c r="A13" s="23" t="s">
        <v>155</v>
      </c>
      <c r="B13" s="795" t="s">
        <v>850</v>
      </c>
      <c r="C13" s="795"/>
      <c r="D13" s="795"/>
      <c r="E13" s="795"/>
      <c r="F13" s="795"/>
      <c r="G13" s="795"/>
      <c r="H13" s="226">
        <v>0.1</v>
      </c>
      <c r="I13" s="9" t="s">
        <v>829</v>
      </c>
      <c r="J13" s="9"/>
      <c r="K13" s="16"/>
      <c r="L13" s="16"/>
      <c r="M13" s="236"/>
      <c r="N13" s="236"/>
      <c r="O13" s="236"/>
      <c r="P13" s="236"/>
      <c r="Q13" s="236"/>
      <c r="R13" s="236"/>
      <c r="S13" s="236"/>
      <c r="T13" s="236"/>
      <c r="U13" s="236"/>
      <c r="V13" s="236"/>
      <c r="W13" s="518"/>
      <c r="X13" s="518"/>
      <c r="Y13" s="518"/>
      <c r="Z13" s="451"/>
      <c r="AB13" s="14">
        <f>(10/10)*1</f>
        <v>1</v>
      </c>
    </row>
    <row r="14" spans="1:28" s="14" customFormat="1" ht="44.25" customHeight="1">
      <c r="A14" s="23" t="s">
        <v>156</v>
      </c>
      <c r="B14" s="802" t="s">
        <v>851</v>
      </c>
      <c r="C14" s="802"/>
      <c r="D14" s="802"/>
      <c r="E14" s="802"/>
      <c r="F14" s="802"/>
      <c r="G14" s="802"/>
      <c r="H14" s="241">
        <v>0.2</v>
      </c>
      <c r="I14" s="242" t="s">
        <v>852</v>
      </c>
      <c r="J14" s="9"/>
      <c r="K14" s="16"/>
      <c r="L14" s="16"/>
      <c r="M14" s="236"/>
      <c r="N14" s="236"/>
      <c r="O14" s="236"/>
      <c r="P14" s="236"/>
      <c r="Q14" s="236"/>
      <c r="R14" s="236"/>
      <c r="S14" s="236"/>
      <c r="T14" s="236"/>
      <c r="U14" s="236"/>
      <c r="V14" s="236"/>
      <c r="W14" s="25"/>
      <c r="X14" s="26"/>
      <c r="Y14" s="26"/>
      <c r="Z14" s="451"/>
      <c r="AB14" s="14">
        <f>(20/10)*1</f>
        <v>2</v>
      </c>
    </row>
    <row r="15" spans="1:28" s="14" customFormat="1" ht="61.5" customHeight="1" thickBot="1">
      <c r="A15" s="23" t="s">
        <v>853</v>
      </c>
      <c r="B15" s="795" t="s">
        <v>854</v>
      </c>
      <c r="C15" s="795"/>
      <c r="D15" s="795"/>
      <c r="E15" s="795"/>
      <c r="F15" s="795"/>
      <c r="G15" s="795"/>
      <c r="H15" s="226">
        <v>0.25</v>
      </c>
      <c r="I15" s="9" t="s">
        <v>855</v>
      </c>
      <c r="J15" s="9"/>
      <c r="K15" s="232"/>
      <c r="L15" s="232"/>
      <c r="M15" s="236"/>
      <c r="N15" s="236"/>
      <c r="O15" s="236"/>
      <c r="P15" s="240"/>
      <c r="Q15" s="240"/>
      <c r="R15" s="240"/>
      <c r="S15" s="240"/>
      <c r="T15" s="240"/>
      <c r="U15" s="240"/>
      <c r="V15" s="240"/>
      <c r="W15" s="679"/>
      <c r="X15" s="680"/>
      <c r="Y15" s="681"/>
      <c r="Z15" s="451"/>
      <c r="AB15" s="14">
        <f>(25/10)*1</f>
        <v>2.5</v>
      </c>
    </row>
    <row r="16" spans="1:28" s="14" customFormat="1" ht="66" customHeight="1" thickTop="1" thickBot="1">
      <c r="A16" s="522" t="s">
        <v>72</v>
      </c>
      <c r="B16" s="520"/>
      <c r="C16" s="520"/>
      <c r="D16" s="521"/>
      <c r="E16" s="527" t="s">
        <v>73</v>
      </c>
      <c r="F16" s="528"/>
      <c r="G16" s="528"/>
      <c r="H16" s="549"/>
      <c r="I16" s="549"/>
      <c r="J16" s="548" t="s">
        <v>74</v>
      </c>
      <c r="K16" s="549"/>
      <c r="L16" s="549"/>
      <c r="M16" s="550"/>
      <c r="N16" s="546" t="s">
        <v>75</v>
      </c>
      <c r="O16" s="481"/>
      <c r="P16" s="481"/>
      <c r="Q16" s="481"/>
      <c r="R16" s="481"/>
      <c r="S16" s="481"/>
      <c r="T16" s="481"/>
      <c r="U16" s="481"/>
      <c r="V16" s="547"/>
      <c r="W16" s="546" t="s">
        <v>76</v>
      </c>
      <c r="X16" s="481"/>
      <c r="Y16" s="547"/>
      <c r="Z16" s="451"/>
    </row>
    <row r="17" spans="1:26" s="14" customFormat="1" ht="51" customHeight="1" thickTop="1">
      <c r="A17" s="522"/>
      <c r="B17" s="498"/>
      <c r="C17" s="498"/>
      <c r="D17" s="523"/>
      <c r="E17" s="533"/>
      <c r="F17" s="534"/>
      <c r="G17" s="533"/>
      <c r="H17" s="539"/>
      <c r="I17" s="534"/>
      <c r="J17" s="541" t="s">
        <v>47</v>
      </c>
      <c r="K17" s="539"/>
      <c r="L17" s="539"/>
      <c r="M17" s="534"/>
      <c r="N17" s="546"/>
      <c r="O17" s="481"/>
      <c r="P17" s="481"/>
      <c r="Q17" s="481"/>
      <c r="R17" s="481"/>
      <c r="S17" s="481"/>
      <c r="T17" s="481"/>
      <c r="U17" s="481"/>
      <c r="V17" s="547"/>
      <c r="W17" s="546"/>
      <c r="X17" s="481"/>
      <c r="Y17" s="547"/>
      <c r="Z17" s="451"/>
    </row>
    <row r="18" spans="1:26" ht="18.75" thickBot="1">
      <c r="A18" s="522"/>
      <c r="B18" s="498"/>
      <c r="C18" s="498"/>
      <c r="D18" s="523"/>
      <c r="E18" s="535"/>
      <c r="F18" s="536"/>
      <c r="G18" s="535"/>
      <c r="H18" s="507"/>
      <c r="I18" s="536"/>
      <c r="J18" s="542"/>
      <c r="K18" s="540"/>
      <c r="L18" s="540"/>
      <c r="M18" s="538"/>
      <c r="N18" s="546"/>
      <c r="O18" s="481"/>
      <c r="P18" s="481"/>
      <c r="Q18" s="481"/>
      <c r="R18" s="481"/>
      <c r="S18" s="481"/>
      <c r="T18" s="481"/>
      <c r="U18" s="481"/>
      <c r="V18" s="547"/>
      <c r="W18" s="546"/>
      <c r="X18" s="481"/>
      <c r="Y18" s="547"/>
      <c r="Z18" s="451"/>
    </row>
    <row r="19" spans="1:26" s="20" customFormat="1" ht="29.25" thickTop="1">
      <c r="A19" s="522"/>
      <c r="B19" s="498"/>
      <c r="C19" s="498"/>
      <c r="D19" s="523"/>
      <c r="E19" s="535"/>
      <c r="F19" s="536"/>
      <c r="G19" s="535"/>
      <c r="H19" s="507"/>
      <c r="I19" s="536"/>
      <c r="J19" s="541" t="s">
        <v>48</v>
      </c>
      <c r="K19" s="539"/>
      <c r="L19" s="539"/>
      <c r="M19" s="534"/>
      <c r="N19" s="546"/>
      <c r="O19" s="481"/>
      <c r="P19" s="481"/>
      <c r="Q19" s="481"/>
      <c r="R19" s="481"/>
      <c r="S19" s="481"/>
      <c r="T19" s="481"/>
      <c r="U19" s="481"/>
      <c r="V19" s="547"/>
      <c r="W19" s="546"/>
      <c r="X19" s="481"/>
      <c r="Y19" s="547"/>
    </row>
    <row r="20" spans="1:26" s="20" customFormat="1" ht="29.25" thickBot="1">
      <c r="A20" s="524"/>
      <c r="B20" s="525"/>
      <c r="C20" s="525"/>
      <c r="D20" s="526"/>
      <c r="E20" s="537"/>
      <c r="F20" s="538"/>
      <c r="G20" s="537"/>
      <c r="H20" s="540"/>
      <c r="I20" s="538"/>
      <c r="J20" s="542"/>
      <c r="K20" s="540"/>
      <c r="L20" s="540"/>
      <c r="M20" s="538"/>
      <c r="N20" s="548"/>
      <c r="O20" s="549"/>
      <c r="P20" s="549"/>
      <c r="Q20" s="549"/>
      <c r="R20" s="549"/>
      <c r="S20" s="549"/>
      <c r="T20" s="549"/>
      <c r="U20" s="549"/>
      <c r="V20" s="550"/>
      <c r="W20" s="548"/>
      <c r="X20" s="549"/>
      <c r="Y20" s="550"/>
    </row>
    <row r="21" spans="1:26" s="20" customFormat="1" ht="29.25" thickTop="1">
      <c r="A21" s="21"/>
      <c r="B21" s="21"/>
      <c r="C21" s="21"/>
      <c r="D21" s="21"/>
      <c r="E21" s="21"/>
      <c r="F21" s="21"/>
      <c r="G21" s="21"/>
      <c r="H21" s="21"/>
      <c r="I21" s="21"/>
      <c r="J21" s="21"/>
      <c r="K21" s="21"/>
      <c r="L21" s="21"/>
      <c r="M21" s="21"/>
      <c r="N21" s="21"/>
      <c r="O21" s="21"/>
      <c r="P21" s="21"/>
      <c r="Q21" s="21"/>
      <c r="R21" s="21"/>
      <c r="S21" s="21"/>
      <c r="T21" s="21"/>
      <c r="U21" s="21"/>
      <c r="V21" s="21"/>
      <c r="W21" s="21"/>
      <c r="X21" s="21"/>
      <c r="Y21" s="21"/>
    </row>
    <row r="22" spans="1:26" s="20" customFormat="1" ht="28.5">
      <c r="A22" s="21"/>
      <c r="B22" s="21"/>
      <c r="C22" s="21"/>
      <c r="D22" s="21"/>
      <c r="E22" s="21"/>
      <c r="F22" s="21"/>
      <c r="G22" s="21"/>
      <c r="H22" s="21"/>
      <c r="I22" s="21"/>
      <c r="J22" s="21"/>
      <c r="K22" s="21"/>
      <c r="L22" s="21"/>
      <c r="M22" s="21"/>
      <c r="N22" s="21"/>
      <c r="O22" s="21"/>
      <c r="P22" s="21"/>
      <c r="Q22" s="21"/>
      <c r="R22" s="21"/>
      <c r="S22" s="21"/>
      <c r="T22" s="21"/>
      <c r="U22" s="21"/>
      <c r="V22" s="21"/>
      <c r="W22" s="21"/>
      <c r="X22" s="21"/>
      <c r="Y22" s="21"/>
    </row>
  </sheetData>
  <mergeCells count="44">
    <mergeCell ref="A1:Y1"/>
    <mergeCell ref="Z1:Z18"/>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W15:Y15"/>
    <mergeCell ref="A16:D20"/>
    <mergeCell ref="E16:I16"/>
    <mergeCell ref="J16:M16"/>
    <mergeCell ref="N16:V20"/>
    <mergeCell ref="W16:Y20"/>
    <mergeCell ref="E17:F20"/>
    <mergeCell ref="G17:I20"/>
    <mergeCell ref="J17:J18"/>
    <mergeCell ref="K17:M18"/>
    <mergeCell ref="J19:J20"/>
    <mergeCell ref="K19:M20"/>
    <mergeCell ref="B14:G14"/>
    <mergeCell ref="B15:G15"/>
  </mergeCells>
  <printOptions horizontalCentered="1" verticalCentered="1"/>
  <pageMargins left="0" right="0" top="0" bottom="0" header="0" footer="0"/>
  <pageSetup scale="44"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F234B-6C38-4112-BB25-F0A43F487599}">
  <sheetPr>
    <pageSetUpPr fitToPage="1"/>
  </sheetPr>
  <dimension ref="A1:AB20"/>
  <sheetViews>
    <sheetView rightToLeft="1" zoomScale="70" zoomScaleNormal="70" zoomScaleSheetLayoutView="70" workbookViewId="0">
      <selection activeCell="AB14" sqref="AB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42.85546875" style="21" customWidth="1"/>
    <col min="8" max="8" width="21.140625" style="21" customWidth="1"/>
    <col min="9" max="9" width="35.85546875"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820</v>
      </c>
      <c r="B3" s="657"/>
      <c r="C3" s="657"/>
      <c r="D3" s="657"/>
      <c r="E3" s="658"/>
      <c r="F3" s="659" t="s">
        <v>178</v>
      </c>
      <c r="G3" s="660"/>
      <c r="H3" s="661" t="s">
        <v>821</v>
      </c>
      <c r="I3" s="662"/>
      <c r="J3" s="662"/>
      <c r="K3" s="662"/>
      <c r="L3" s="662"/>
      <c r="M3" s="662"/>
      <c r="N3" s="662"/>
      <c r="O3" s="662"/>
      <c r="P3" s="662"/>
      <c r="Q3" s="662"/>
      <c r="R3" s="662"/>
      <c r="S3" s="662"/>
      <c r="T3" s="662"/>
      <c r="U3" s="662"/>
      <c r="V3" s="662"/>
      <c r="W3" s="662"/>
      <c r="X3" s="662"/>
      <c r="Y3" s="663"/>
      <c r="Z3" s="451"/>
    </row>
    <row r="4" spans="1:28" s="3" customFormat="1" ht="28.5">
      <c r="A4" s="667" t="s">
        <v>822</v>
      </c>
      <c r="B4" s="668"/>
      <c r="C4" s="668"/>
      <c r="D4" s="668"/>
      <c r="E4" s="669"/>
      <c r="F4" s="670" t="s">
        <v>823</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824</v>
      </c>
      <c r="B5" s="673"/>
      <c r="C5" s="673"/>
      <c r="D5" s="673"/>
      <c r="E5" s="674"/>
      <c r="F5" s="675" t="s">
        <v>825</v>
      </c>
      <c r="G5" s="675"/>
      <c r="H5" s="676" t="s">
        <v>57</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57" customHeight="1">
      <c r="A8" s="23" t="s">
        <v>28</v>
      </c>
      <c r="B8" s="796" t="s">
        <v>826</v>
      </c>
      <c r="C8" s="799"/>
      <c r="D8" s="799"/>
      <c r="E8" s="799"/>
      <c r="F8" s="799"/>
      <c r="G8" s="800"/>
      <c r="H8" s="226">
        <v>0.05</v>
      </c>
      <c r="I8" s="9" t="s">
        <v>827</v>
      </c>
      <c r="J8" s="9"/>
      <c r="K8" s="19"/>
      <c r="L8" s="236"/>
      <c r="M8" s="16"/>
      <c r="N8" s="16"/>
      <c r="O8" s="16"/>
      <c r="P8" s="16"/>
      <c r="Q8" s="16"/>
      <c r="R8" s="16"/>
      <c r="S8" s="16"/>
      <c r="T8" s="16"/>
      <c r="U8" s="16"/>
      <c r="V8" s="16"/>
      <c r="W8" s="594"/>
      <c r="X8" s="595"/>
      <c r="Y8" s="596"/>
      <c r="Z8" s="451"/>
      <c r="AB8" s="14">
        <v>5</v>
      </c>
    </row>
    <row r="9" spans="1:28" s="14" customFormat="1" ht="57" customHeight="1">
      <c r="A9" s="23" t="s">
        <v>66</v>
      </c>
      <c r="B9" s="801" t="s">
        <v>828</v>
      </c>
      <c r="C9" s="797"/>
      <c r="D9" s="797"/>
      <c r="E9" s="797"/>
      <c r="F9" s="797"/>
      <c r="G9" s="798"/>
      <c r="H9" s="226">
        <v>0.05</v>
      </c>
      <c r="I9" s="9" t="s">
        <v>829</v>
      </c>
      <c r="J9" s="9"/>
      <c r="K9" s="236"/>
      <c r="L9" s="236"/>
      <c r="M9" s="16"/>
      <c r="N9" s="16"/>
      <c r="O9" s="16"/>
      <c r="P9" s="16"/>
      <c r="Q9" s="16"/>
      <c r="R9" s="16"/>
      <c r="S9" s="16"/>
      <c r="T9" s="16"/>
      <c r="U9" s="16"/>
      <c r="V9" s="16"/>
      <c r="W9" s="228"/>
      <c r="X9" s="229"/>
      <c r="Y9" s="230"/>
      <c r="Z9" s="451"/>
      <c r="AB9" s="14">
        <v>5</v>
      </c>
    </row>
    <row r="10" spans="1:28" s="14" customFormat="1" ht="45" customHeight="1">
      <c r="A10" s="23" t="s">
        <v>68</v>
      </c>
      <c r="B10" s="796" t="s">
        <v>830</v>
      </c>
      <c r="C10" s="799"/>
      <c r="D10" s="799"/>
      <c r="E10" s="799"/>
      <c r="F10" s="799"/>
      <c r="G10" s="800"/>
      <c r="H10" s="226">
        <v>0.1</v>
      </c>
      <c r="I10" s="9" t="s">
        <v>831</v>
      </c>
      <c r="J10" s="9"/>
      <c r="K10" s="236"/>
      <c r="L10" s="236"/>
      <c r="M10" s="236"/>
      <c r="N10" s="16"/>
      <c r="O10" s="16"/>
      <c r="P10" s="16"/>
      <c r="Q10" s="16"/>
      <c r="R10" s="16"/>
      <c r="S10" s="16"/>
      <c r="T10" s="16"/>
      <c r="U10" s="16"/>
      <c r="V10" s="16"/>
      <c r="W10" s="597"/>
      <c r="X10" s="597"/>
      <c r="Y10" s="597"/>
      <c r="Z10" s="451"/>
      <c r="AB10" s="14">
        <v>10</v>
      </c>
    </row>
    <row r="11" spans="1:28" s="14" customFormat="1" ht="45" customHeight="1">
      <c r="A11" s="23" t="s">
        <v>70</v>
      </c>
      <c r="B11" s="796" t="s">
        <v>832</v>
      </c>
      <c r="C11" s="799"/>
      <c r="D11" s="799"/>
      <c r="E11" s="799"/>
      <c r="F11" s="799"/>
      <c r="G11" s="800"/>
      <c r="H11" s="226">
        <v>0.15</v>
      </c>
      <c r="I11" s="9" t="s">
        <v>833</v>
      </c>
      <c r="J11" s="9"/>
      <c r="K11" s="236"/>
      <c r="L11" s="236"/>
      <c r="M11" s="236"/>
      <c r="N11" s="236"/>
      <c r="O11" s="236"/>
      <c r="P11" s="16"/>
      <c r="Q11" s="16"/>
      <c r="R11" s="16"/>
      <c r="S11" s="16"/>
      <c r="T11" s="16"/>
      <c r="U11" s="16"/>
      <c r="V11" s="16"/>
      <c r="W11" s="231"/>
      <c r="X11" s="231"/>
      <c r="Y11" s="231"/>
      <c r="Z11" s="451"/>
      <c r="AB11" s="14">
        <f>15/5</f>
        <v>3</v>
      </c>
    </row>
    <row r="12" spans="1:28" s="14" customFormat="1" ht="55.5" customHeight="1">
      <c r="A12" s="23" t="s">
        <v>153</v>
      </c>
      <c r="B12" s="796" t="s">
        <v>834</v>
      </c>
      <c r="C12" s="799"/>
      <c r="D12" s="799"/>
      <c r="E12" s="799"/>
      <c r="F12" s="799"/>
      <c r="G12" s="800"/>
      <c r="H12" s="226">
        <v>0.1</v>
      </c>
      <c r="I12" s="9" t="s">
        <v>835</v>
      </c>
      <c r="J12" s="9"/>
      <c r="K12" s="16"/>
      <c r="L12" s="236"/>
      <c r="M12" s="236"/>
      <c r="N12" s="236"/>
      <c r="O12" s="236"/>
      <c r="P12" s="236"/>
      <c r="Q12" s="236"/>
      <c r="R12" s="236"/>
      <c r="S12" s="236"/>
      <c r="T12" s="236"/>
      <c r="U12" s="236"/>
      <c r="V12" s="236"/>
      <c r="W12" s="518"/>
      <c r="X12" s="518"/>
      <c r="Y12" s="518"/>
      <c r="Z12" s="451"/>
      <c r="AB12" s="14">
        <f>(10/11)*2</f>
        <v>1.8181818181818181</v>
      </c>
    </row>
    <row r="13" spans="1:28" s="14" customFormat="1" ht="58.5" customHeight="1">
      <c r="A13" s="23" t="s">
        <v>155</v>
      </c>
      <c r="B13" s="801" t="s">
        <v>836</v>
      </c>
      <c r="C13" s="797"/>
      <c r="D13" s="797"/>
      <c r="E13" s="797"/>
      <c r="F13" s="797"/>
      <c r="G13" s="798"/>
      <c r="H13" s="226">
        <v>0.15</v>
      </c>
      <c r="I13" s="9" t="s">
        <v>829</v>
      </c>
      <c r="J13" s="9"/>
      <c r="K13" s="16"/>
      <c r="L13" s="236"/>
      <c r="M13" s="236"/>
      <c r="N13" s="236"/>
      <c r="O13" s="236"/>
      <c r="P13" s="236"/>
      <c r="Q13" s="236"/>
      <c r="R13" s="236"/>
      <c r="S13" s="236"/>
      <c r="T13" s="236"/>
      <c r="U13" s="236"/>
      <c r="V13" s="236"/>
      <c r="W13" s="518"/>
      <c r="X13" s="518"/>
      <c r="Y13" s="518"/>
      <c r="Z13" s="451"/>
      <c r="AB13" s="14">
        <f>(15/11)*2</f>
        <v>2.7272727272727271</v>
      </c>
    </row>
    <row r="14" spans="1:28" s="14" customFormat="1" ht="69" customHeight="1" thickBot="1">
      <c r="A14" s="23" t="s">
        <v>156</v>
      </c>
      <c r="B14" s="795" t="s">
        <v>837</v>
      </c>
      <c r="C14" s="795"/>
      <c r="D14" s="795"/>
      <c r="E14" s="795"/>
      <c r="F14" s="795"/>
      <c r="G14" s="795"/>
      <c r="H14" s="226">
        <v>0.4</v>
      </c>
      <c r="I14" s="9" t="s">
        <v>838</v>
      </c>
      <c r="J14" s="9"/>
      <c r="K14" s="240"/>
      <c r="L14" s="240"/>
      <c r="M14" s="240"/>
      <c r="N14" s="240"/>
      <c r="O14" s="240"/>
      <c r="P14" s="240"/>
      <c r="Q14" s="236"/>
      <c r="R14" s="240"/>
      <c r="S14" s="240"/>
      <c r="T14" s="240"/>
      <c r="U14" s="240"/>
      <c r="V14" s="240"/>
      <c r="W14" s="679"/>
      <c r="X14" s="680"/>
      <c r="Y14" s="681"/>
      <c r="Z14" s="451"/>
      <c r="AB14" s="14">
        <f>(40/11)*2</f>
        <v>7.2727272727272725</v>
      </c>
    </row>
    <row r="15" spans="1:28" ht="30" thickTop="1" thickBot="1">
      <c r="A15" s="522" t="s">
        <v>72</v>
      </c>
      <c r="B15" s="520"/>
      <c r="C15" s="520"/>
      <c r="D15" s="521"/>
      <c r="E15" s="527" t="s">
        <v>73</v>
      </c>
      <c r="F15" s="528"/>
      <c r="G15" s="528"/>
      <c r="H15" s="549"/>
      <c r="I15" s="549"/>
      <c r="J15" s="548" t="s">
        <v>74</v>
      </c>
      <c r="K15" s="549"/>
      <c r="L15" s="549"/>
      <c r="M15" s="550"/>
      <c r="N15" s="546" t="s">
        <v>75</v>
      </c>
      <c r="O15" s="481"/>
      <c r="P15" s="481"/>
      <c r="Q15" s="481"/>
      <c r="R15" s="481"/>
      <c r="S15" s="481"/>
      <c r="T15" s="481"/>
      <c r="U15" s="481"/>
      <c r="V15" s="547"/>
      <c r="W15" s="546" t="s">
        <v>76</v>
      </c>
      <c r="X15" s="481"/>
      <c r="Y15" s="547"/>
      <c r="Z15" s="451"/>
    </row>
    <row r="16" spans="1:28"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1">
    <mergeCell ref="A1:Y1"/>
    <mergeCell ref="Z1:Z15"/>
    <mergeCell ref="A2:Y2"/>
    <mergeCell ref="A3:E3"/>
    <mergeCell ref="F3:G3"/>
    <mergeCell ref="H3:Y4"/>
    <mergeCell ref="A4:E4"/>
    <mergeCell ref="F4:G4"/>
    <mergeCell ref="A5:E5"/>
    <mergeCell ref="F5:G5"/>
    <mergeCell ref="B11:G11"/>
    <mergeCell ref="H5:Y5"/>
    <mergeCell ref="A6:A7"/>
    <mergeCell ref="B6:G7"/>
    <mergeCell ref="H6:H7"/>
    <mergeCell ref="I6:I7"/>
    <mergeCell ref="J6:J7"/>
    <mergeCell ref="K6:V6"/>
    <mergeCell ref="W6:Y7"/>
    <mergeCell ref="B8:G8"/>
    <mergeCell ref="W8:Y8"/>
    <mergeCell ref="B9:G9"/>
    <mergeCell ref="B10:G10"/>
    <mergeCell ref="W10:Y10"/>
    <mergeCell ref="B12:G12"/>
    <mergeCell ref="W12:Y12"/>
    <mergeCell ref="B13:G13"/>
    <mergeCell ref="W13:Y13"/>
    <mergeCell ref="B14:G14"/>
    <mergeCell ref="W14:Y14"/>
    <mergeCell ref="W15:Y19"/>
    <mergeCell ref="E16:F19"/>
    <mergeCell ref="G16:I19"/>
    <mergeCell ref="J16:J17"/>
    <mergeCell ref="K16:M17"/>
    <mergeCell ref="J18:J19"/>
    <mergeCell ref="K18:M19"/>
    <mergeCell ref="A15:D19"/>
    <mergeCell ref="E15:I15"/>
    <mergeCell ref="J15:M15"/>
    <mergeCell ref="N15:V19"/>
  </mergeCells>
  <printOptions horizontalCentered="1" verticalCentered="1"/>
  <pageMargins left="0" right="0" top="0" bottom="0" header="0" footer="0"/>
  <pageSetup scale="42"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B9D4-17FD-44E5-8846-837BDC08A977}">
  <dimension ref="A1:AD20"/>
  <sheetViews>
    <sheetView rightToLeft="1" zoomScale="55" zoomScaleNormal="55" zoomScaleSheetLayoutView="90" workbookViewId="0">
      <selection activeCell="AD10" sqref="AD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809</v>
      </c>
      <c r="B3" s="456"/>
      <c r="C3" s="456"/>
      <c r="D3" s="456"/>
      <c r="E3" s="456"/>
      <c r="F3" s="456"/>
      <c r="G3" s="457" t="s">
        <v>810</v>
      </c>
      <c r="H3" s="457"/>
      <c r="I3" s="458" t="s">
        <v>811</v>
      </c>
      <c r="J3" s="458"/>
      <c r="K3" s="458"/>
      <c r="L3" s="458"/>
      <c r="M3" s="458"/>
      <c r="N3" s="458"/>
      <c r="O3" s="458"/>
      <c r="P3" s="458"/>
      <c r="Q3" s="458"/>
      <c r="R3" s="458"/>
      <c r="S3" s="458"/>
      <c r="T3" s="458"/>
      <c r="U3" s="458"/>
      <c r="V3" s="458"/>
      <c r="W3" s="458"/>
      <c r="X3" s="458"/>
      <c r="Y3" s="458"/>
      <c r="Z3" s="459"/>
      <c r="AA3" s="451"/>
    </row>
    <row r="4" spans="1:30" s="3" customFormat="1" ht="28.5" customHeight="1">
      <c r="A4" s="460" t="s">
        <v>768</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479</v>
      </c>
      <c r="H5" s="456"/>
      <c r="I5" s="456" t="s">
        <v>812</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6.2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24">
      <c r="A8" s="7" t="s">
        <v>28</v>
      </c>
      <c r="B8" s="647" t="s">
        <v>813</v>
      </c>
      <c r="C8" s="647"/>
      <c r="D8" s="647"/>
      <c r="E8" s="647"/>
      <c r="F8" s="647"/>
      <c r="G8" s="647"/>
      <c r="H8" s="647"/>
      <c r="I8" s="234">
        <v>0.2</v>
      </c>
      <c r="J8" s="133" t="s">
        <v>775</v>
      </c>
      <c r="K8" s="10"/>
      <c r="L8" s="30"/>
      <c r="M8" s="170"/>
      <c r="N8" s="170"/>
      <c r="O8" s="30"/>
      <c r="P8" s="30"/>
      <c r="Q8" s="30"/>
      <c r="R8" s="30"/>
      <c r="S8" s="30"/>
      <c r="T8" s="30"/>
      <c r="U8" s="30"/>
      <c r="V8" s="30"/>
      <c r="W8" s="30"/>
      <c r="X8" s="475"/>
      <c r="Y8" s="475"/>
      <c r="Z8" s="476"/>
      <c r="AA8" s="451"/>
      <c r="AD8" s="14">
        <v>20</v>
      </c>
    </row>
    <row r="9" spans="1:30" s="14" customFormat="1" ht="24">
      <c r="A9" s="7" t="s">
        <v>66</v>
      </c>
      <c r="B9" s="647" t="s">
        <v>814</v>
      </c>
      <c r="C9" s="647"/>
      <c r="D9" s="647"/>
      <c r="E9" s="647"/>
      <c r="F9" s="647"/>
      <c r="G9" s="647"/>
      <c r="H9" s="647"/>
      <c r="I9" s="234">
        <v>0.3</v>
      </c>
      <c r="J9" s="133" t="s">
        <v>815</v>
      </c>
      <c r="K9" s="10"/>
      <c r="L9" s="30"/>
      <c r="M9" s="30"/>
      <c r="N9" s="170"/>
      <c r="O9" s="170"/>
      <c r="P9" s="170"/>
      <c r="Q9" s="170"/>
      <c r="R9" s="30"/>
      <c r="S9" s="30"/>
      <c r="T9" s="30"/>
      <c r="U9" s="30"/>
      <c r="V9" s="30"/>
      <c r="W9" s="30"/>
      <c r="X9" s="475"/>
      <c r="Y9" s="475"/>
      <c r="Z9" s="476"/>
      <c r="AA9" s="451"/>
      <c r="AD9" s="14">
        <f>30/4</f>
        <v>7.5</v>
      </c>
    </row>
    <row r="10" spans="1:30" s="14" customFormat="1" ht="24">
      <c r="A10" s="7" t="s">
        <v>68</v>
      </c>
      <c r="B10" s="647" t="s">
        <v>816</v>
      </c>
      <c r="C10" s="647"/>
      <c r="D10" s="647"/>
      <c r="E10" s="647"/>
      <c r="F10" s="647"/>
      <c r="G10" s="647"/>
      <c r="H10" s="647"/>
      <c r="I10" s="234">
        <v>0.2</v>
      </c>
      <c r="J10" s="133" t="s">
        <v>775</v>
      </c>
      <c r="K10" s="10"/>
      <c r="L10" s="30"/>
      <c r="M10" s="30"/>
      <c r="N10" s="30"/>
      <c r="O10" s="30"/>
      <c r="P10" s="170"/>
      <c r="Q10" s="170"/>
      <c r="R10" s="170"/>
      <c r="S10" s="30"/>
      <c r="T10" s="30"/>
      <c r="U10" s="30"/>
      <c r="V10" s="30"/>
      <c r="W10" s="30"/>
      <c r="X10" s="468"/>
      <c r="Y10" s="468"/>
      <c r="Z10" s="469"/>
      <c r="AA10" s="451"/>
    </row>
    <row r="11" spans="1:30" s="14" customFormat="1" ht="24">
      <c r="A11" s="7" t="s">
        <v>70</v>
      </c>
      <c r="B11" s="647" t="s">
        <v>817</v>
      </c>
      <c r="C11" s="647"/>
      <c r="D11" s="647"/>
      <c r="E11" s="647"/>
      <c r="F11" s="647"/>
      <c r="G11" s="647"/>
      <c r="H11" s="647"/>
      <c r="I11" s="234">
        <v>0.1</v>
      </c>
      <c r="J11" s="133" t="s">
        <v>815</v>
      </c>
      <c r="K11" s="10"/>
      <c r="L11" s="30"/>
      <c r="M11" s="30"/>
      <c r="N11" s="30"/>
      <c r="O11" s="30"/>
      <c r="P11" s="30"/>
      <c r="Q11" s="30"/>
      <c r="R11" s="30"/>
      <c r="S11" s="170"/>
      <c r="T11" s="30"/>
      <c r="U11" s="30"/>
      <c r="V11" s="30"/>
      <c r="W11" s="30"/>
      <c r="X11" s="468"/>
      <c r="Y11" s="468"/>
      <c r="Z11" s="469"/>
      <c r="AA11" s="451"/>
    </row>
    <row r="12" spans="1:30" s="14" customFormat="1" ht="45">
      <c r="A12" s="7" t="s">
        <v>153</v>
      </c>
      <c r="B12" s="647" t="s">
        <v>818</v>
      </c>
      <c r="C12" s="647"/>
      <c r="D12" s="647"/>
      <c r="E12" s="647"/>
      <c r="F12" s="647"/>
      <c r="G12" s="647"/>
      <c r="H12" s="647"/>
      <c r="I12" s="234">
        <v>0.2</v>
      </c>
      <c r="J12" s="133" t="s">
        <v>819</v>
      </c>
      <c r="K12" s="10"/>
      <c r="L12" s="30"/>
      <c r="M12" s="30"/>
      <c r="N12" s="30"/>
      <c r="O12" s="30"/>
      <c r="P12" s="30"/>
      <c r="Q12" s="30"/>
      <c r="R12" s="30"/>
      <c r="S12" s="170"/>
      <c r="T12" s="170"/>
      <c r="U12" s="170"/>
      <c r="V12" s="170"/>
      <c r="W12" s="30"/>
      <c r="X12" s="475"/>
      <c r="Y12" s="475"/>
      <c r="Z12" s="476"/>
      <c r="AA12" s="451"/>
    </row>
    <row r="13" spans="1:30" s="14" customFormat="1" ht="24">
      <c r="A13" s="7" t="s">
        <v>155</v>
      </c>
      <c r="B13" s="647"/>
      <c r="C13" s="647"/>
      <c r="D13" s="647"/>
      <c r="E13" s="647"/>
      <c r="F13" s="647"/>
      <c r="G13" s="647"/>
      <c r="H13" s="647"/>
      <c r="I13" s="234"/>
      <c r="J13" s="133"/>
      <c r="K13" s="10"/>
      <c r="L13" s="30"/>
      <c r="M13" s="30"/>
      <c r="N13" s="30"/>
      <c r="O13" s="30"/>
      <c r="P13" s="30"/>
      <c r="Q13" s="30"/>
      <c r="R13" s="30"/>
      <c r="S13" s="30"/>
      <c r="T13" s="30"/>
      <c r="U13" s="30"/>
      <c r="V13" s="30"/>
      <c r="W13" s="30"/>
      <c r="X13" s="468"/>
      <c r="Y13" s="468"/>
      <c r="Z13" s="469"/>
      <c r="AA13" s="451"/>
    </row>
    <row r="14" spans="1:30" s="14" customFormat="1" ht="24">
      <c r="A14" s="7" t="s">
        <v>156</v>
      </c>
      <c r="B14" s="647"/>
      <c r="C14" s="647"/>
      <c r="D14" s="647"/>
      <c r="E14" s="647"/>
      <c r="F14" s="647"/>
      <c r="G14" s="647"/>
      <c r="H14" s="647"/>
      <c r="I14" s="234"/>
      <c r="J14" s="133"/>
      <c r="K14" s="10"/>
      <c r="L14" s="134"/>
      <c r="M14" s="134"/>
      <c r="N14" s="134"/>
      <c r="O14" s="134"/>
      <c r="P14" s="134"/>
      <c r="Q14" s="134"/>
      <c r="R14" s="134"/>
      <c r="S14" s="134"/>
      <c r="T14" s="134"/>
      <c r="U14" s="134"/>
      <c r="V14" s="134"/>
      <c r="W14" s="134"/>
      <c r="X14" s="651"/>
      <c r="Y14" s="651"/>
      <c r="Z14" s="652"/>
      <c r="AA14" s="451"/>
    </row>
    <row r="15" spans="1:30"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30"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1CDA8-B2FA-4D82-86A1-B1E215E61366}">
  <dimension ref="A1:AD20"/>
  <sheetViews>
    <sheetView rightToLeft="1" zoomScale="55" zoomScaleNormal="55" zoomScaleSheetLayoutView="70" workbookViewId="0">
      <selection activeCell="AD9" sqref="AD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798</v>
      </c>
      <c r="B3" s="456"/>
      <c r="C3" s="456"/>
      <c r="D3" s="456"/>
      <c r="E3" s="456"/>
      <c r="F3" s="456"/>
      <c r="G3" s="457" t="s">
        <v>3</v>
      </c>
      <c r="H3" s="457"/>
      <c r="I3" s="458" t="s">
        <v>799</v>
      </c>
      <c r="J3" s="458"/>
      <c r="K3" s="458"/>
      <c r="L3" s="458"/>
      <c r="M3" s="458"/>
      <c r="N3" s="458"/>
      <c r="O3" s="458"/>
      <c r="P3" s="458"/>
      <c r="Q3" s="458"/>
      <c r="R3" s="458"/>
      <c r="S3" s="458"/>
      <c r="T3" s="458"/>
      <c r="U3" s="458"/>
      <c r="V3" s="458"/>
      <c r="W3" s="458"/>
      <c r="X3" s="458"/>
      <c r="Y3" s="458"/>
      <c r="Z3" s="459"/>
      <c r="AA3" s="451"/>
    </row>
    <row r="4" spans="1:30" s="3" customFormat="1" ht="28.5" customHeight="1">
      <c r="A4" s="460" t="s">
        <v>143</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479</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6.2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24">
      <c r="A8" s="7" t="s">
        <v>28</v>
      </c>
      <c r="B8" s="647" t="s">
        <v>800</v>
      </c>
      <c r="C8" s="647"/>
      <c r="D8" s="647"/>
      <c r="E8" s="647"/>
      <c r="F8" s="647"/>
      <c r="G8" s="647"/>
      <c r="H8" s="647"/>
      <c r="I8" s="132">
        <v>15</v>
      </c>
      <c r="J8" s="133" t="s">
        <v>801</v>
      </c>
      <c r="K8" s="10"/>
      <c r="L8" s="30"/>
      <c r="M8" s="235"/>
      <c r="N8" s="235"/>
      <c r="O8" s="235"/>
      <c r="P8" s="30"/>
      <c r="Q8" s="30"/>
      <c r="R8" s="30"/>
      <c r="S8" s="30"/>
      <c r="T8" s="30"/>
      <c r="U8" s="30"/>
      <c r="V8" s="30"/>
      <c r="W8" s="30"/>
      <c r="X8" s="475"/>
      <c r="Y8" s="475"/>
      <c r="Z8" s="476"/>
      <c r="AA8" s="451"/>
      <c r="AD8" s="14">
        <f>(15/3)*2</f>
        <v>10</v>
      </c>
    </row>
    <row r="9" spans="1:30" s="14" customFormat="1" ht="45">
      <c r="A9" s="7" t="s">
        <v>66</v>
      </c>
      <c r="B9" s="647" t="s">
        <v>802</v>
      </c>
      <c r="C9" s="647"/>
      <c r="D9" s="647"/>
      <c r="E9" s="647"/>
      <c r="F9" s="647"/>
      <c r="G9" s="647"/>
      <c r="H9" s="647"/>
      <c r="I9" s="132">
        <v>15</v>
      </c>
      <c r="J9" s="133" t="s">
        <v>803</v>
      </c>
      <c r="K9" s="10"/>
      <c r="L9" s="30"/>
      <c r="M9" s="30"/>
      <c r="N9" s="30"/>
      <c r="O9" s="235"/>
      <c r="P9" s="235"/>
      <c r="Q9" s="30"/>
      <c r="R9" s="30"/>
      <c r="S9" s="30"/>
      <c r="T9" s="30"/>
      <c r="U9" s="30"/>
      <c r="V9" s="30"/>
      <c r="W9" s="30"/>
      <c r="X9" s="475"/>
      <c r="Y9" s="475"/>
      <c r="Z9" s="476"/>
      <c r="AA9" s="451"/>
    </row>
    <row r="10" spans="1:30" s="14" customFormat="1" ht="24">
      <c r="A10" s="7" t="s">
        <v>68</v>
      </c>
      <c r="B10" s="647" t="s">
        <v>804</v>
      </c>
      <c r="C10" s="647"/>
      <c r="D10" s="647"/>
      <c r="E10" s="647"/>
      <c r="F10" s="647"/>
      <c r="G10" s="647"/>
      <c r="H10" s="647"/>
      <c r="I10" s="132">
        <v>25</v>
      </c>
      <c r="J10" s="133" t="s">
        <v>805</v>
      </c>
      <c r="K10" s="10"/>
      <c r="L10" s="30"/>
      <c r="M10" s="30"/>
      <c r="N10" s="30"/>
      <c r="O10" s="30"/>
      <c r="P10" s="30"/>
      <c r="Q10" s="235"/>
      <c r="R10" s="235"/>
      <c r="S10" s="235"/>
      <c r="T10" s="30"/>
      <c r="U10" s="30"/>
      <c r="V10" s="30"/>
      <c r="W10" s="30"/>
      <c r="X10" s="468"/>
      <c r="Y10" s="468"/>
      <c r="Z10" s="469"/>
      <c r="AA10" s="451"/>
    </row>
    <row r="11" spans="1:30" s="14" customFormat="1" ht="24">
      <c r="A11" s="7" t="s">
        <v>70</v>
      </c>
      <c r="B11" s="647" t="s">
        <v>806</v>
      </c>
      <c r="C11" s="647"/>
      <c r="D11" s="647"/>
      <c r="E11" s="647"/>
      <c r="F11" s="647"/>
      <c r="G11" s="647"/>
      <c r="H11" s="647"/>
      <c r="I11" s="132">
        <v>20</v>
      </c>
      <c r="J11" s="133" t="s">
        <v>775</v>
      </c>
      <c r="K11" s="10"/>
      <c r="L11" s="30"/>
      <c r="M11" s="30"/>
      <c r="N11" s="30"/>
      <c r="O11" s="30"/>
      <c r="P11" s="30"/>
      <c r="Q11" s="30"/>
      <c r="R11" s="30"/>
      <c r="S11" s="235"/>
      <c r="T11" s="235"/>
      <c r="U11" s="235"/>
      <c r="V11" s="30"/>
      <c r="W11" s="30"/>
      <c r="X11" s="468"/>
      <c r="Y11" s="468"/>
      <c r="Z11" s="469"/>
      <c r="AA11" s="451"/>
    </row>
    <row r="12" spans="1:30" s="14" customFormat="1" ht="45">
      <c r="A12" s="7" t="s">
        <v>153</v>
      </c>
      <c r="B12" s="647" t="s">
        <v>807</v>
      </c>
      <c r="C12" s="647"/>
      <c r="D12" s="647"/>
      <c r="E12" s="647"/>
      <c r="F12" s="647"/>
      <c r="G12" s="647"/>
      <c r="H12" s="647"/>
      <c r="I12" s="132">
        <v>25</v>
      </c>
      <c r="J12" s="133" t="s">
        <v>808</v>
      </c>
      <c r="K12" s="10"/>
      <c r="L12" s="30"/>
      <c r="M12" s="30"/>
      <c r="N12" s="30"/>
      <c r="O12" s="30"/>
      <c r="P12" s="30"/>
      <c r="Q12" s="30"/>
      <c r="R12" s="30"/>
      <c r="S12" s="30"/>
      <c r="T12" s="30"/>
      <c r="U12" s="235"/>
      <c r="V12" s="235"/>
      <c r="W12" s="235"/>
      <c r="X12" s="475"/>
      <c r="Y12" s="475"/>
      <c r="Z12" s="476"/>
      <c r="AA12" s="451"/>
    </row>
    <row r="13" spans="1:30"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30"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30"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30"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44C74-A243-4B81-8D83-326BFEF58691}">
  <dimension ref="A1:AA20"/>
  <sheetViews>
    <sheetView rightToLeft="1" zoomScale="55" zoomScaleNormal="55" zoomScaleSheetLayoutView="85" workbookViewId="0">
      <selection activeCell="AC8" sqref="AC8:AC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789</v>
      </c>
      <c r="B3" s="456"/>
      <c r="C3" s="456"/>
      <c r="D3" s="456"/>
      <c r="E3" s="456"/>
      <c r="F3" s="456"/>
      <c r="G3" s="457" t="s">
        <v>790</v>
      </c>
      <c r="H3" s="457"/>
      <c r="I3" s="458" t="s">
        <v>791</v>
      </c>
      <c r="J3" s="458"/>
      <c r="K3" s="458"/>
      <c r="L3" s="458"/>
      <c r="M3" s="458"/>
      <c r="N3" s="458"/>
      <c r="O3" s="458"/>
      <c r="P3" s="458"/>
      <c r="Q3" s="458"/>
      <c r="R3" s="458"/>
      <c r="S3" s="458"/>
      <c r="T3" s="458"/>
      <c r="U3" s="458"/>
      <c r="V3" s="458"/>
      <c r="W3" s="458"/>
      <c r="X3" s="458"/>
      <c r="Y3" s="458"/>
      <c r="Z3" s="459"/>
      <c r="AA3" s="451"/>
    </row>
    <row r="4" spans="1:27" s="3" customFormat="1" ht="28.5" customHeight="1">
      <c r="A4" s="460" t="s">
        <v>768</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479</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6.2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792</v>
      </c>
      <c r="C8" s="647"/>
      <c r="D8" s="647"/>
      <c r="E8" s="647"/>
      <c r="F8" s="647"/>
      <c r="G8" s="647"/>
      <c r="H8" s="647"/>
      <c r="I8" s="234">
        <v>0.2</v>
      </c>
      <c r="J8" s="133" t="s">
        <v>771</v>
      </c>
      <c r="K8" s="10"/>
      <c r="L8" s="30"/>
      <c r="M8" s="30"/>
      <c r="N8" s="30"/>
      <c r="O8" s="170"/>
      <c r="P8" s="170"/>
      <c r="Q8" s="30"/>
      <c r="R8" s="30"/>
      <c r="S8" s="30"/>
      <c r="T8" s="30"/>
      <c r="U8" s="30"/>
      <c r="V8" s="30"/>
      <c r="W8" s="30"/>
      <c r="X8" s="475"/>
      <c r="Y8" s="475"/>
      <c r="Z8" s="476"/>
      <c r="AA8" s="451"/>
    </row>
    <row r="9" spans="1:27" s="14" customFormat="1" ht="24">
      <c r="A9" s="7" t="s">
        <v>66</v>
      </c>
      <c r="B9" s="647" t="s">
        <v>793</v>
      </c>
      <c r="C9" s="647"/>
      <c r="D9" s="647"/>
      <c r="E9" s="647"/>
      <c r="F9" s="647"/>
      <c r="G9" s="647"/>
      <c r="H9" s="647"/>
      <c r="I9" s="234">
        <v>0.2</v>
      </c>
      <c r="J9" s="133" t="s">
        <v>794</v>
      </c>
      <c r="K9" s="10"/>
      <c r="L9" s="30"/>
      <c r="M9" s="30"/>
      <c r="N9" s="30"/>
      <c r="O9" s="170"/>
      <c r="P9" s="170"/>
      <c r="Q9" s="30"/>
      <c r="R9" s="30"/>
      <c r="S9" s="30"/>
      <c r="T9" s="30"/>
      <c r="U9" s="30"/>
      <c r="V9" s="30"/>
      <c r="W9" s="30"/>
      <c r="X9" s="475"/>
      <c r="Y9" s="475"/>
      <c r="Z9" s="476"/>
      <c r="AA9" s="451"/>
    </row>
    <row r="10" spans="1:27" s="14" customFormat="1" ht="24">
      <c r="A10" s="7" t="s">
        <v>68</v>
      </c>
      <c r="B10" s="647" t="s">
        <v>795</v>
      </c>
      <c r="C10" s="647"/>
      <c r="D10" s="647"/>
      <c r="E10" s="647"/>
      <c r="F10" s="647"/>
      <c r="G10" s="647"/>
      <c r="H10" s="647"/>
      <c r="I10" s="234">
        <v>0.2</v>
      </c>
      <c r="J10" s="133" t="s">
        <v>794</v>
      </c>
      <c r="K10" s="10"/>
      <c r="L10" s="30"/>
      <c r="M10" s="30"/>
      <c r="N10" s="30"/>
      <c r="O10" s="170"/>
      <c r="P10" s="170"/>
      <c r="Q10" s="30"/>
      <c r="R10" s="30"/>
      <c r="S10" s="30"/>
      <c r="T10" s="30"/>
      <c r="U10" s="30"/>
      <c r="V10" s="30"/>
      <c r="W10" s="30"/>
      <c r="X10" s="468"/>
      <c r="Y10" s="468"/>
      <c r="Z10" s="469"/>
      <c r="AA10" s="451"/>
    </row>
    <row r="11" spans="1:27" s="14" customFormat="1" ht="24">
      <c r="A11" s="7" t="s">
        <v>70</v>
      </c>
      <c r="B11" s="647" t="s">
        <v>796</v>
      </c>
      <c r="C11" s="647"/>
      <c r="D11" s="647"/>
      <c r="E11" s="647"/>
      <c r="F11" s="647"/>
      <c r="G11" s="647"/>
      <c r="H11" s="647"/>
      <c r="I11" s="234">
        <v>0.2</v>
      </c>
      <c r="J11" s="133" t="s">
        <v>771</v>
      </c>
      <c r="K11" s="10"/>
      <c r="L11" s="30"/>
      <c r="M11" s="30"/>
      <c r="N11" s="30"/>
      <c r="O11" s="30"/>
      <c r="P11" s="30"/>
      <c r="Q11" s="170"/>
      <c r="R11" s="30"/>
      <c r="S11" s="30"/>
      <c r="T11" s="30"/>
      <c r="U11" s="30"/>
      <c r="V11" s="30"/>
      <c r="W11" s="30"/>
      <c r="X11" s="468"/>
      <c r="Y11" s="468"/>
      <c r="Z11" s="469"/>
      <c r="AA11" s="451"/>
    </row>
    <row r="12" spans="1:27" s="14" customFormat="1" ht="24">
      <c r="A12" s="7" t="s">
        <v>153</v>
      </c>
      <c r="B12" s="647" t="s">
        <v>797</v>
      </c>
      <c r="C12" s="647"/>
      <c r="D12" s="647"/>
      <c r="E12" s="647"/>
      <c r="F12" s="647"/>
      <c r="G12" s="647"/>
      <c r="H12" s="647"/>
      <c r="I12" s="234">
        <v>0.2</v>
      </c>
      <c r="J12" s="133" t="s">
        <v>771</v>
      </c>
      <c r="K12" s="10"/>
      <c r="L12" s="30"/>
      <c r="M12" s="30"/>
      <c r="N12" s="30"/>
      <c r="O12" s="30"/>
      <c r="P12" s="30"/>
      <c r="Q12" s="30"/>
      <c r="R12" s="170"/>
      <c r="S12" s="170"/>
      <c r="T12" s="170"/>
      <c r="U12" s="170"/>
      <c r="V12" s="170"/>
      <c r="W12" s="170"/>
      <c r="X12" s="475"/>
      <c r="Y12" s="475"/>
      <c r="Z12" s="476"/>
      <c r="AA12" s="451"/>
    </row>
    <row r="13" spans="1:27" s="14" customFormat="1" ht="24">
      <c r="A13" s="7" t="s">
        <v>155</v>
      </c>
      <c r="B13" s="647"/>
      <c r="C13" s="647"/>
      <c r="D13" s="647"/>
      <c r="E13" s="647"/>
      <c r="F13" s="647"/>
      <c r="G13" s="647"/>
      <c r="H13" s="647"/>
      <c r="I13" s="234"/>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234"/>
      <c r="J14" s="133"/>
      <c r="K14" s="10"/>
      <c r="L14" s="134"/>
      <c r="M14" s="134"/>
      <c r="N14" s="134"/>
      <c r="O14" s="134"/>
      <c r="P14" s="134"/>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1F422-5C30-4460-BCDD-E2992ECC15B6}">
  <dimension ref="A1:AC20"/>
  <sheetViews>
    <sheetView rightToLeft="1" zoomScale="55" zoomScaleNormal="55" zoomScaleSheetLayoutView="85" workbookViewId="0">
      <selection activeCell="AC9" sqref="AC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777</v>
      </c>
      <c r="B3" s="456"/>
      <c r="C3" s="456"/>
      <c r="D3" s="456"/>
      <c r="E3" s="456"/>
      <c r="F3" s="456"/>
      <c r="G3" s="457" t="s">
        <v>778</v>
      </c>
      <c r="H3" s="457"/>
      <c r="I3" s="458" t="s">
        <v>779</v>
      </c>
      <c r="J3" s="458"/>
      <c r="K3" s="458"/>
      <c r="L3" s="458"/>
      <c r="M3" s="458"/>
      <c r="N3" s="458"/>
      <c r="O3" s="458"/>
      <c r="P3" s="458"/>
      <c r="Q3" s="458"/>
      <c r="R3" s="458"/>
      <c r="S3" s="458"/>
      <c r="T3" s="458"/>
      <c r="U3" s="458"/>
      <c r="V3" s="458"/>
      <c r="W3" s="458"/>
      <c r="X3" s="458"/>
      <c r="Y3" s="458"/>
      <c r="Z3" s="459"/>
      <c r="AA3" s="451"/>
    </row>
    <row r="4" spans="1:29" s="3" customFormat="1" ht="28.5" customHeight="1">
      <c r="A4" s="460" t="s">
        <v>768</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158</v>
      </c>
      <c r="H5" s="456"/>
      <c r="I5" s="456" t="s">
        <v>172</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6.2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45">
      <c r="A8" s="7" t="s">
        <v>28</v>
      </c>
      <c r="B8" s="647" t="s">
        <v>780</v>
      </c>
      <c r="C8" s="647"/>
      <c r="D8" s="647"/>
      <c r="E8" s="647"/>
      <c r="F8" s="647"/>
      <c r="G8" s="647"/>
      <c r="H8" s="647"/>
      <c r="I8" s="234">
        <v>0.1</v>
      </c>
      <c r="J8" s="133" t="s">
        <v>781</v>
      </c>
      <c r="K8" s="10"/>
      <c r="L8" s="30"/>
      <c r="M8" s="30"/>
      <c r="N8" s="170"/>
      <c r="O8" s="170"/>
      <c r="P8" s="30"/>
      <c r="Q8" s="30"/>
      <c r="R8" s="30"/>
      <c r="S8" s="30"/>
      <c r="T8" s="30"/>
      <c r="U8" s="30"/>
      <c r="V8" s="30"/>
      <c r="W8" s="30"/>
      <c r="X8" s="475"/>
      <c r="Y8" s="475"/>
      <c r="Z8" s="476"/>
      <c r="AA8" s="451"/>
      <c r="AC8" s="14">
        <v>5</v>
      </c>
    </row>
    <row r="9" spans="1:29" s="14" customFormat="1" ht="45">
      <c r="A9" s="7" t="s">
        <v>66</v>
      </c>
      <c r="B9" s="647" t="s">
        <v>782</v>
      </c>
      <c r="C9" s="647"/>
      <c r="D9" s="647"/>
      <c r="E9" s="647"/>
      <c r="F9" s="647"/>
      <c r="G9" s="647"/>
      <c r="H9" s="647"/>
      <c r="I9" s="234">
        <v>0.2</v>
      </c>
      <c r="J9" s="133" t="s">
        <v>781</v>
      </c>
      <c r="K9" s="10"/>
      <c r="L9" s="30"/>
      <c r="M9" s="30"/>
      <c r="N9" s="30"/>
      <c r="O9" s="170"/>
      <c r="P9" s="170"/>
      <c r="Q9" s="170"/>
      <c r="R9" s="30"/>
      <c r="S9" s="30"/>
      <c r="T9" s="30"/>
      <c r="U9" s="30"/>
      <c r="V9" s="30"/>
      <c r="W9" s="30"/>
      <c r="X9" s="475"/>
      <c r="Y9" s="475"/>
      <c r="Z9" s="476"/>
      <c r="AA9" s="451"/>
    </row>
    <row r="10" spans="1:29" s="14" customFormat="1" ht="45">
      <c r="A10" s="7" t="s">
        <v>68</v>
      </c>
      <c r="B10" s="647" t="s">
        <v>783</v>
      </c>
      <c r="C10" s="647"/>
      <c r="D10" s="647"/>
      <c r="E10" s="647"/>
      <c r="F10" s="647"/>
      <c r="G10" s="647"/>
      <c r="H10" s="647"/>
      <c r="I10" s="234">
        <v>0.1</v>
      </c>
      <c r="J10" s="133" t="s">
        <v>784</v>
      </c>
      <c r="K10" s="10"/>
      <c r="L10" s="30"/>
      <c r="M10" s="30"/>
      <c r="N10" s="30"/>
      <c r="O10" s="30"/>
      <c r="P10" s="30"/>
      <c r="Q10" s="170"/>
      <c r="R10" s="30"/>
      <c r="S10" s="30"/>
      <c r="T10" s="30"/>
      <c r="U10" s="30"/>
      <c r="V10" s="30"/>
      <c r="W10" s="30"/>
      <c r="X10" s="468"/>
      <c r="Y10" s="468"/>
      <c r="Z10" s="469"/>
      <c r="AA10" s="451"/>
    </row>
    <row r="11" spans="1:29" s="14" customFormat="1" ht="45">
      <c r="A11" s="7" t="s">
        <v>70</v>
      </c>
      <c r="B11" s="647" t="s">
        <v>785</v>
      </c>
      <c r="C11" s="647"/>
      <c r="D11" s="647"/>
      <c r="E11" s="647"/>
      <c r="F11" s="647"/>
      <c r="G11" s="647"/>
      <c r="H11" s="647"/>
      <c r="I11" s="234">
        <v>0.1</v>
      </c>
      <c r="J11" s="133" t="s">
        <v>784</v>
      </c>
      <c r="K11" s="10"/>
      <c r="L11" s="30"/>
      <c r="M11" s="30"/>
      <c r="N11" s="30"/>
      <c r="O11" s="30"/>
      <c r="P11" s="30"/>
      <c r="Q11" s="30"/>
      <c r="R11" s="170"/>
      <c r="S11" s="30"/>
      <c r="T11" s="30"/>
      <c r="U11" s="30"/>
      <c r="V11" s="30"/>
      <c r="W11" s="30"/>
      <c r="X11" s="468"/>
      <c r="Y11" s="468"/>
      <c r="Z11" s="469"/>
      <c r="AA11" s="451"/>
    </row>
    <row r="12" spans="1:29" s="14" customFormat="1" ht="45">
      <c r="A12" s="7" t="s">
        <v>153</v>
      </c>
      <c r="B12" s="647" t="s">
        <v>786</v>
      </c>
      <c r="C12" s="647"/>
      <c r="D12" s="647"/>
      <c r="E12" s="647"/>
      <c r="F12" s="647"/>
      <c r="G12" s="647"/>
      <c r="H12" s="647"/>
      <c r="I12" s="234">
        <v>0.2</v>
      </c>
      <c r="J12" s="133" t="s">
        <v>784</v>
      </c>
      <c r="K12" s="10"/>
      <c r="L12" s="30"/>
      <c r="M12" s="30"/>
      <c r="N12" s="30"/>
      <c r="O12" s="30"/>
      <c r="P12" s="30"/>
      <c r="Q12" s="30"/>
      <c r="R12" s="170"/>
      <c r="S12" s="170"/>
      <c r="T12" s="30"/>
      <c r="U12" s="30"/>
      <c r="V12" s="30"/>
      <c r="W12" s="30"/>
      <c r="X12" s="475"/>
      <c r="Y12" s="475"/>
      <c r="Z12" s="476"/>
      <c r="AA12" s="451"/>
    </row>
    <row r="13" spans="1:29" s="14" customFormat="1" ht="45">
      <c r="A13" s="7" t="s">
        <v>155</v>
      </c>
      <c r="B13" s="647" t="s">
        <v>787</v>
      </c>
      <c r="C13" s="647"/>
      <c r="D13" s="647"/>
      <c r="E13" s="647"/>
      <c r="F13" s="647"/>
      <c r="G13" s="647"/>
      <c r="H13" s="647"/>
      <c r="I13" s="234">
        <v>0.2</v>
      </c>
      <c r="J13" s="133" t="s">
        <v>781</v>
      </c>
      <c r="K13" s="10"/>
      <c r="L13" s="30"/>
      <c r="M13" s="30"/>
      <c r="N13" s="30"/>
      <c r="O13" s="30"/>
      <c r="P13" s="30"/>
      <c r="Q13" s="170"/>
      <c r="R13" s="170"/>
      <c r="S13" s="170"/>
      <c r="T13" s="170"/>
      <c r="U13" s="30"/>
      <c r="V13" s="30"/>
      <c r="W13" s="30"/>
      <c r="X13" s="468"/>
      <c r="Y13" s="468"/>
      <c r="Z13" s="469"/>
      <c r="AA13" s="451"/>
    </row>
    <row r="14" spans="1:29" s="14" customFormat="1" ht="45">
      <c r="A14" s="7" t="s">
        <v>156</v>
      </c>
      <c r="B14" s="647" t="s">
        <v>788</v>
      </c>
      <c r="C14" s="647"/>
      <c r="D14" s="647"/>
      <c r="E14" s="647"/>
      <c r="F14" s="647"/>
      <c r="G14" s="647"/>
      <c r="H14" s="647"/>
      <c r="I14" s="234">
        <v>0.1</v>
      </c>
      <c r="J14" s="133" t="s">
        <v>784</v>
      </c>
      <c r="K14" s="10"/>
      <c r="L14" s="134"/>
      <c r="M14" s="134"/>
      <c r="N14" s="134"/>
      <c r="O14" s="134"/>
      <c r="P14" s="134"/>
      <c r="Q14" s="134"/>
      <c r="R14" s="134"/>
      <c r="S14" s="134"/>
      <c r="T14" s="197"/>
      <c r="U14" s="197"/>
      <c r="V14" s="134"/>
      <c r="W14" s="134"/>
      <c r="X14" s="651"/>
      <c r="Y14" s="651"/>
      <c r="Z14" s="652"/>
      <c r="AA14" s="451"/>
    </row>
    <row r="15" spans="1:29"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9"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F7EC-D402-44D2-BE07-554BC6EED391}">
  <dimension ref="A1:AA19"/>
  <sheetViews>
    <sheetView rightToLeft="1" zoomScale="85" zoomScaleNormal="85" zoomScaleSheetLayoutView="85" workbookViewId="0">
      <selection activeCell="B13" sqref="B13:H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33"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765</v>
      </c>
      <c r="B3" s="456"/>
      <c r="C3" s="456"/>
      <c r="D3" s="456"/>
      <c r="E3" s="456"/>
      <c r="F3" s="456"/>
      <c r="G3" s="457" t="s">
        <v>766</v>
      </c>
      <c r="H3" s="457"/>
      <c r="I3" s="458" t="s">
        <v>767</v>
      </c>
      <c r="J3" s="458"/>
      <c r="K3" s="458"/>
      <c r="L3" s="458"/>
      <c r="M3" s="458"/>
      <c r="N3" s="458"/>
      <c r="O3" s="458"/>
      <c r="P3" s="458"/>
      <c r="Q3" s="458"/>
      <c r="R3" s="458"/>
      <c r="S3" s="458"/>
      <c r="T3" s="458"/>
      <c r="U3" s="458"/>
      <c r="V3" s="458"/>
      <c r="W3" s="458"/>
      <c r="X3" s="458"/>
      <c r="Y3" s="458"/>
      <c r="Z3" s="459"/>
      <c r="AA3" s="451"/>
    </row>
    <row r="4" spans="1:27" s="3" customFormat="1" ht="28.5" customHeight="1">
      <c r="A4" s="460" t="s">
        <v>768</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769</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770</v>
      </c>
      <c r="C8" s="647"/>
      <c r="D8" s="647"/>
      <c r="E8" s="647"/>
      <c r="F8" s="647"/>
      <c r="G8" s="647"/>
      <c r="H8" s="647"/>
      <c r="I8" s="234">
        <v>0.2</v>
      </c>
      <c r="J8" s="133" t="s">
        <v>771</v>
      </c>
      <c r="K8" s="10"/>
      <c r="L8" s="30"/>
      <c r="M8" s="30"/>
      <c r="N8" s="30"/>
      <c r="O8" s="170"/>
      <c r="P8" s="30"/>
      <c r="Q8" s="30"/>
      <c r="R8" s="30"/>
      <c r="S8" s="30"/>
      <c r="T8" s="30"/>
      <c r="U8" s="30"/>
      <c r="V8" s="30"/>
      <c r="W8" s="30"/>
      <c r="X8" s="475"/>
      <c r="Y8" s="475"/>
      <c r="Z8" s="476"/>
      <c r="AA8" s="451"/>
    </row>
    <row r="9" spans="1:27" s="14" customFormat="1" ht="24">
      <c r="A9" s="7" t="s">
        <v>66</v>
      </c>
      <c r="B9" s="647" t="s">
        <v>772</v>
      </c>
      <c r="C9" s="647"/>
      <c r="D9" s="647"/>
      <c r="E9" s="647"/>
      <c r="F9" s="647"/>
      <c r="G9" s="647"/>
      <c r="H9" s="647"/>
      <c r="I9" s="234">
        <v>0.5</v>
      </c>
      <c r="J9" s="133" t="s">
        <v>773</v>
      </c>
      <c r="K9" s="10"/>
      <c r="L9" s="30"/>
      <c r="M9" s="30"/>
      <c r="N9" s="30"/>
      <c r="O9" s="170"/>
      <c r="P9" s="170"/>
      <c r="Q9" s="170"/>
      <c r="R9" s="170"/>
      <c r="S9" s="30"/>
      <c r="T9" s="30"/>
      <c r="U9" s="30"/>
      <c r="V9" s="30"/>
      <c r="W9" s="30"/>
      <c r="X9" s="475"/>
      <c r="Y9" s="475"/>
      <c r="Z9" s="476"/>
      <c r="AA9" s="451"/>
    </row>
    <row r="10" spans="1:27" s="14" customFormat="1" ht="24">
      <c r="A10" s="7" t="s">
        <v>68</v>
      </c>
      <c r="B10" s="648" t="s">
        <v>774</v>
      </c>
      <c r="C10" s="649"/>
      <c r="D10" s="649"/>
      <c r="E10" s="649"/>
      <c r="F10" s="649"/>
      <c r="G10" s="649"/>
      <c r="H10" s="650"/>
      <c r="I10" s="234">
        <v>0.2</v>
      </c>
      <c r="J10" s="133" t="s">
        <v>775</v>
      </c>
      <c r="K10" s="10"/>
      <c r="L10" s="30"/>
      <c r="M10" s="30"/>
      <c r="N10" s="30"/>
      <c r="O10" s="30"/>
      <c r="P10" s="30"/>
      <c r="Q10" s="30"/>
      <c r="R10" s="30"/>
      <c r="S10" s="170"/>
      <c r="T10" s="170"/>
      <c r="U10" s="162"/>
      <c r="V10" s="162"/>
      <c r="W10" s="162"/>
      <c r="X10" s="468"/>
      <c r="Y10" s="468"/>
      <c r="Z10" s="469"/>
      <c r="AA10" s="451"/>
    </row>
    <row r="11" spans="1:27" s="14" customFormat="1" ht="24">
      <c r="A11" s="7" t="s">
        <v>70</v>
      </c>
      <c r="B11" s="648" t="s">
        <v>776</v>
      </c>
      <c r="C11" s="649"/>
      <c r="D11" s="649"/>
      <c r="E11" s="649"/>
      <c r="F11" s="649"/>
      <c r="G11" s="649"/>
      <c r="H11" s="650"/>
      <c r="I11" s="234">
        <v>0.1</v>
      </c>
      <c r="J11" s="133" t="s">
        <v>775</v>
      </c>
      <c r="K11" s="10"/>
      <c r="L11" s="30"/>
      <c r="M11" s="30"/>
      <c r="N11" s="30"/>
      <c r="O11" s="30"/>
      <c r="P11" s="30"/>
      <c r="Q11" s="30"/>
      <c r="R11" s="30"/>
      <c r="S11" s="30"/>
      <c r="T11" s="30"/>
      <c r="U11" s="170"/>
      <c r="V11" s="170"/>
      <c r="W11" s="170"/>
      <c r="X11" s="475"/>
      <c r="Y11" s="475"/>
      <c r="Z11" s="476"/>
      <c r="AA11" s="451"/>
    </row>
    <row r="12" spans="1:27" s="14" customFormat="1" ht="24">
      <c r="A12" s="7" t="s">
        <v>153</v>
      </c>
      <c r="B12" s="647"/>
      <c r="C12" s="647"/>
      <c r="D12" s="647"/>
      <c r="E12" s="647"/>
      <c r="F12" s="647"/>
      <c r="G12" s="647"/>
      <c r="H12" s="647"/>
      <c r="I12" s="234"/>
      <c r="J12" s="133"/>
      <c r="K12" s="10"/>
      <c r="L12" s="30"/>
      <c r="M12" s="30"/>
      <c r="N12" s="30"/>
      <c r="O12" s="30"/>
      <c r="P12" s="30"/>
      <c r="Q12" s="30"/>
      <c r="R12" s="30"/>
      <c r="S12" s="30"/>
      <c r="T12" s="30"/>
      <c r="U12" s="30"/>
      <c r="V12" s="30"/>
      <c r="W12" s="30"/>
      <c r="X12" s="468"/>
      <c r="Y12" s="468"/>
      <c r="Z12" s="469"/>
      <c r="AA12" s="451"/>
    </row>
    <row r="13" spans="1:27" s="14" customFormat="1" ht="24">
      <c r="A13" s="7" t="s">
        <v>155</v>
      </c>
      <c r="B13" s="647"/>
      <c r="C13" s="647"/>
      <c r="D13" s="647"/>
      <c r="E13" s="647"/>
      <c r="F13" s="647"/>
      <c r="G13" s="647"/>
      <c r="H13" s="647"/>
      <c r="I13" s="234"/>
      <c r="J13" s="133"/>
      <c r="K13" s="10"/>
      <c r="L13" s="134"/>
      <c r="M13" s="134"/>
      <c r="N13" s="134"/>
      <c r="O13" s="134"/>
      <c r="P13" s="134"/>
      <c r="Q13" s="134"/>
      <c r="R13" s="134"/>
      <c r="S13" s="134"/>
      <c r="T13" s="134"/>
      <c r="U13" s="134"/>
      <c r="V13" s="134"/>
      <c r="W13" s="134"/>
      <c r="X13" s="651"/>
      <c r="Y13" s="651"/>
      <c r="Z13" s="652"/>
      <c r="AA13" s="451"/>
    </row>
    <row r="14" spans="1:27"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27"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27"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2">
    <mergeCell ref="A1:Y1"/>
    <mergeCell ref="AA1:AA14"/>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B11:H11"/>
    <mergeCell ref="X11:Z11"/>
    <mergeCell ref="B12:H12"/>
    <mergeCell ref="X12:Z12"/>
    <mergeCell ref="B13:H13"/>
    <mergeCell ref="X13:Z13"/>
    <mergeCell ref="X15:Z18"/>
    <mergeCell ref="K17:K18"/>
    <mergeCell ref="L17:N18"/>
    <mergeCell ref="A14:E14"/>
    <mergeCell ref="F14:J14"/>
    <mergeCell ref="K14:N14"/>
    <mergeCell ref="O14:W14"/>
    <mergeCell ref="X14:Z14"/>
    <mergeCell ref="A15:E18"/>
    <mergeCell ref="F15:J18"/>
    <mergeCell ref="K15:K16"/>
    <mergeCell ref="L15:N16"/>
    <mergeCell ref="O15:W18"/>
  </mergeCells>
  <printOptions horizontalCentered="1" verticalCentered="1"/>
  <pageMargins left="0" right="0" top="0" bottom="0" header="0" footer="0"/>
  <pageSetup scale="40"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EEC0-C834-49C9-9F85-524099C573E1}">
  <dimension ref="A1:AC20"/>
  <sheetViews>
    <sheetView rightToLeft="1" zoomScale="55" zoomScaleNormal="55" zoomScaleSheetLayoutView="55"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31.85546875"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751</v>
      </c>
      <c r="B3" s="456"/>
      <c r="C3" s="456"/>
      <c r="D3" s="456"/>
      <c r="E3" s="456"/>
      <c r="F3" s="456"/>
      <c r="G3" s="457" t="s">
        <v>752</v>
      </c>
      <c r="H3" s="457"/>
      <c r="I3" s="458" t="s">
        <v>753</v>
      </c>
      <c r="J3" s="458"/>
      <c r="K3" s="458"/>
      <c r="L3" s="458"/>
      <c r="M3" s="458"/>
      <c r="N3" s="458"/>
      <c r="O3" s="458"/>
      <c r="P3" s="458"/>
      <c r="Q3" s="458"/>
      <c r="R3" s="458"/>
      <c r="S3" s="458"/>
      <c r="T3" s="458"/>
      <c r="U3" s="458"/>
      <c r="V3" s="458"/>
      <c r="W3" s="458"/>
      <c r="X3" s="458"/>
      <c r="Y3" s="458"/>
      <c r="Z3" s="459"/>
      <c r="AA3" s="451"/>
    </row>
    <row r="4" spans="1:29" s="3" customFormat="1" ht="28.5" customHeight="1">
      <c r="A4" s="460" t="s">
        <v>754</v>
      </c>
      <c r="B4" s="461"/>
      <c r="C4" s="461"/>
      <c r="D4" s="461"/>
      <c r="E4" s="461"/>
      <c r="F4" s="462"/>
      <c r="G4" s="457" t="s">
        <v>381</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755</v>
      </c>
      <c r="H5" s="456"/>
      <c r="I5" s="456" t="s">
        <v>756</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6.2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45">
      <c r="A8" s="7" t="s">
        <v>28</v>
      </c>
      <c r="B8" s="804" t="s">
        <v>757</v>
      </c>
      <c r="C8" s="804"/>
      <c r="D8" s="804"/>
      <c r="E8" s="804"/>
      <c r="F8" s="804"/>
      <c r="G8" s="804"/>
      <c r="H8" s="804"/>
      <c r="I8" s="234">
        <v>0.2</v>
      </c>
      <c r="J8" s="133" t="s">
        <v>758</v>
      </c>
      <c r="K8" s="10"/>
      <c r="L8" s="30"/>
      <c r="M8" s="170"/>
      <c r="N8" s="170"/>
      <c r="O8" s="30"/>
      <c r="P8" s="30"/>
      <c r="Q8" s="30"/>
      <c r="R8" s="30"/>
      <c r="S8" s="30"/>
      <c r="T8" s="30"/>
      <c r="U8" s="30"/>
      <c r="V8" s="30"/>
      <c r="W8" s="30"/>
      <c r="X8" s="475"/>
      <c r="Y8" s="475"/>
      <c r="Z8" s="476"/>
      <c r="AA8" s="451"/>
      <c r="AC8" s="14">
        <v>20</v>
      </c>
    </row>
    <row r="9" spans="1:29" s="14" customFormat="1" ht="45">
      <c r="A9" s="7" t="s">
        <v>66</v>
      </c>
      <c r="B9" s="804" t="s">
        <v>759</v>
      </c>
      <c r="C9" s="804"/>
      <c r="D9" s="804"/>
      <c r="E9" s="804"/>
      <c r="F9" s="804"/>
      <c r="G9" s="804"/>
      <c r="H9" s="804"/>
      <c r="I9" s="234">
        <v>0.2</v>
      </c>
      <c r="J9" s="133" t="s">
        <v>758</v>
      </c>
      <c r="K9" s="10"/>
      <c r="L9" s="30"/>
      <c r="M9" s="30"/>
      <c r="N9" s="170"/>
      <c r="O9" s="170"/>
      <c r="P9" s="30"/>
      <c r="Q9" s="30"/>
      <c r="R9" s="30"/>
      <c r="S9" s="30"/>
      <c r="T9" s="30"/>
      <c r="U9" s="30"/>
      <c r="V9" s="30"/>
      <c r="W9" s="30"/>
      <c r="X9" s="475"/>
      <c r="Y9" s="475"/>
      <c r="Z9" s="476"/>
      <c r="AA9" s="451"/>
      <c r="AC9" s="14">
        <v>10</v>
      </c>
    </row>
    <row r="10" spans="1:29" s="14" customFormat="1" ht="24">
      <c r="A10" s="7" t="s">
        <v>68</v>
      </c>
      <c r="B10" s="804" t="s">
        <v>760</v>
      </c>
      <c r="C10" s="804"/>
      <c r="D10" s="804"/>
      <c r="E10" s="804"/>
      <c r="F10" s="804"/>
      <c r="G10" s="804"/>
      <c r="H10" s="804"/>
      <c r="I10" s="234">
        <v>0.35</v>
      </c>
      <c r="J10" s="133" t="s">
        <v>761</v>
      </c>
      <c r="K10" s="10">
        <v>2</v>
      </c>
      <c r="L10" s="30"/>
      <c r="M10" s="30"/>
      <c r="N10" s="30"/>
      <c r="O10" s="30"/>
      <c r="P10" s="170"/>
      <c r="Q10" s="170"/>
      <c r="R10" s="30"/>
      <c r="S10" s="30"/>
      <c r="T10" s="30"/>
      <c r="U10" s="30"/>
      <c r="V10" s="30"/>
      <c r="W10" s="30"/>
      <c r="X10" s="468"/>
      <c r="Y10" s="468"/>
      <c r="Z10" s="469"/>
      <c r="AA10" s="451"/>
    </row>
    <row r="11" spans="1:29" s="14" customFormat="1" ht="24">
      <c r="A11" s="7" t="s">
        <v>70</v>
      </c>
      <c r="B11" s="804" t="s">
        <v>762</v>
      </c>
      <c r="C11" s="804"/>
      <c r="D11" s="804"/>
      <c r="E11" s="804"/>
      <c r="F11" s="804"/>
      <c r="G11" s="804"/>
      <c r="H11" s="804"/>
      <c r="I11" s="234">
        <v>0.1</v>
      </c>
      <c r="J11" s="133" t="s">
        <v>763</v>
      </c>
      <c r="K11" s="10"/>
      <c r="L11" s="30"/>
      <c r="M11" s="30"/>
      <c r="N11" s="30"/>
      <c r="O11" s="30"/>
      <c r="P11" s="30"/>
      <c r="Q11" s="30"/>
      <c r="R11" s="170"/>
      <c r="S11" s="30"/>
      <c r="T11" s="30"/>
      <c r="U11" s="30"/>
      <c r="V11" s="30"/>
      <c r="W11" s="30"/>
      <c r="X11" s="468"/>
      <c r="Y11" s="468"/>
      <c r="Z11" s="469"/>
      <c r="AA11" s="451"/>
    </row>
    <row r="12" spans="1:29" s="14" customFormat="1" ht="24">
      <c r="A12" s="7" t="s">
        <v>153</v>
      </c>
      <c r="B12" s="804" t="s">
        <v>764</v>
      </c>
      <c r="C12" s="804"/>
      <c r="D12" s="804"/>
      <c r="E12" s="804"/>
      <c r="F12" s="804"/>
      <c r="G12" s="804"/>
      <c r="H12" s="804"/>
      <c r="I12" s="234">
        <v>0.15</v>
      </c>
      <c r="J12" s="133" t="s">
        <v>763</v>
      </c>
      <c r="K12" s="10"/>
      <c r="L12" s="30"/>
      <c r="M12" s="30"/>
      <c r="N12" s="30"/>
      <c r="O12" s="30"/>
      <c r="P12" s="30"/>
      <c r="Q12" s="30"/>
      <c r="R12" s="30"/>
      <c r="S12" s="170"/>
      <c r="T12" s="170"/>
      <c r="U12" s="30"/>
      <c r="V12" s="30"/>
      <c r="W12" s="30"/>
      <c r="X12" s="475"/>
      <c r="Y12" s="475"/>
      <c r="Z12" s="476"/>
      <c r="AA12" s="451"/>
    </row>
    <row r="13" spans="1:29" s="14" customFormat="1" ht="24">
      <c r="A13" s="7" t="s">
        <v>155</v>
      </c>
      <c r="B13" s="803"/>
      <c r="C13" s="803"/>
      <c r="D13" s="803"/>
      <c r="E13" s="803"/>
      <c r="F13" s="803"/>
      <c r="G13" s="803"/>
      <c r="H13" s="803"/>
      <c r="I13" s="132"/>
      <c r="J13" s="133"/>
      <c r="K13" s="10"/>
      <c r="L13" s="30"/>
      <c r="M13" s="30"/>
      <c r="N13" s="30"/>
      <c r="O13" s="30"/>
      <c r="P13" s="30"/>
      <c r="Q13" s="30"/>
      <c r="R13" s="30"/>
      <c r="S13" s="30"/>
      <c r="T13" s="30"/>
      <c r="U13" s="30"/>
      <c r="V13" s="30"/>
      <c r="W13" s="30"/>
      <c r="X13" s="468"/>
      <c r="Y13" s="468"/>
      <c r="Z13" s="469"/>
      <c r="AA13" s="451"/>
    </row>
    <row r="14" spans="1:29" s="14" customFormat="1" ht="24">
      <c r="A14" s="7" t="s">
        <v>156</v>
      </c>
      <c r="B14" s="803"/>
      <c r="C14" s="803"/>
      <c r="D14" s="803"/>
      <c r="E14" s="803"/>
      <c r="F14" s="803"/>
      <c r="G14" s="803"/>
      <c r="H14" s="803"/>
      <c r="I14" s="132"/>
      <c r="J14" s="133"/>
      <c r="K14" s="10"/>
      <c r="L14" s="134"/>
      <c r="M14" s="134"/>
      <c r="N14" s="134"/>
      <c r="O14" s="134"/>
      <c r="P14" s="134"/>
      <c r="Q14" s="134"/>
      <c r="R14" s="134"/>
      <c r="S14" s="134"/>
      <c r="T14" s="134"/>
      <c r="U14" s="134"/>
      <c r="V14" s="134"/>
      <c r="W14" s="134"/>
      <c r="X14" s="651"/>
      <c r="Y14" s="651"/>
      <c r="Z14" s="652"/>
      <c r="AA14" s="451"/>
    </row>
    <row r="15" spans="1:29"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9"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15A7-2C6A-4BCF-9D8B-FF06467B0CF6}">
  <dimension ref="A1:AC20"/>
  <sheetViews>
    <sheetView rightToLeft="1" zoomScale="55" zoomScaleNormal="55" zoomScaleSheetLayoutView="70" workbookViewId="0">
      <selection activeCell="M8" sqref="M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9"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9"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9" s="3" customFormat="1" ht="29.25" thickTop="1">
      <c r="A3" s="656" t="s">
        <v>741</v>
      </c>
      <c r="B3" s="657"/>
      <c r="C3" s="657"/>
      <c r="D3" s="657"/>
      <c r="E3" s="658"/>
      <c r="F3" s="659" t="s">
        <v>178</v>
      </c>
      <c r="G3" s="660"/>
      <c r="H3" s="661" t="s">
        <v>742</v>
      </c>
      <c r="I3" s="662"/>
      <c r="J3" s="662"/>
      <c r="K3" s="662"/>
      <c r="L3" s="662"/>
      <c r="M3" s="662"/>
      <c r="N3" s="662"/>
      <c r="O3" s="662"/>
      <c r="P3" s="662"/>
      <c r="Q3" s="662"/>
      <c r="R3" s="662"/>
      <c r="S3" s="662"/>
      <c r="T3" s="662"/>
      <c r="U3" s="662"/>
      <c r="V3" s="662"/>
      <c r="W3" s="662"/>
      <c r="X3" s="662"/>
      <c r="Y3" s="663"/>
      <c r="Z3" s="451"/>
    </row>
    <row r="4" spans="1:29" s="3" customFormat="1" ht="28.5">
      <c r="A4" s="667" t="s">
        <v>697</v>
      </c>
      <c r="B4" s="668"/>
      <c r="C4" s="668"/>
      <c r="D4" s="668"/>
      <c r="E4" s="669"/>
      <c r="F4" s="670" t="s">
        <v>281</v>
      </c>
      <c r="G4" s="671"/>
      <c r="H4" s="664"/>
      <c r="I4" s="665"/>
      <c r="J4" s="665"/>
      <c r="K4" s="665"/>
      <c r="L4" s="665"/>
      <c r="M4" s="665"/>
      <c r="N4" s="665"/>
      <c r="O4" s="665"/>
      <c r="P4" s="665"/>
      <c r="Q4" s="665"/>
      <c r="R4" s="665"/>
      <c r="S4" s="665"/>
      <c r="T4" s="665"/>
      <c r="U4" s="665"/>
      <c r="V4" s="665"/>
      <c r="W4" s="665"/>
      <c r="X4" s="665"/>
      <c r="Y4" s="666"/>
      <c r="Z4" s="451"/>
    </row>
    <row r="5" spans="1:29" s="3" customFormat="1" ht="29.25" thickBot="1">
      <c r="A5" s="672" t="s">
        <v>743</v>
      </c>
      <c r="B5" s="673"/>
      <c r="C5" s="673"/>
      <c r="D5" s="673"/>
      <c r="E5" s="674"/>
      <c r="F5" s="675" t="s">
        <v>744</v>
      </c>
      <c r="G5" s="675"/>
      <c r="H5" s="676" t="s">
        <v>725</v>
      </c>
      <c r="I5" s="677"/>
      <c r="J5" s="677"/>
      <c r="K5" s="677"/>
      <c r="L5" s="677"/>
      <c r="M5" s="677"/>
      <c r="N5" s="677"/>
      <c r="O5" s="677"/>
      <c r="P5" s="677"/>
      <c r="Q5" s="677"/>
      <c r="R5" s="677"/>
      <c r="S5" s="677"/>
      <c r="T5" s="677"/>
      <c r="U5" s="677"/>
      <c r="V5" s="677"/>
      <c r="W5" s="677"/>
      <c r="X5" s="677"/>
      <c r="Y5" s="678"/>
      <c r="Z5" s="451"/>
    </row>
    <row r="6" spans="1:29"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9" ht="56.2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c r="AC7" s="2">
        <v>20</v>
      </c>
    </row>
    <row r="8" spans="1:29" s="14" customFormat="1" ht="24">
      <c r="A8" s="23" t="s">
        <v>28</v>
      </c>
      <c r="B8" s="551" t="s">
        <v>745</v>
      </c>
      <c r="C8" s="551"/>
      <c r="D8" s="551"/>
      <c r="E8" s="551"/>
      <c r="F8" s="551"/>
      <c r="G8" s="551"/>
      <c r="H8" s="226">
        <v>0.2</v>
      </c>
      <c r="I8" s="9" t="s">
        <v>701</v>
      </c>
      <c r="J8" s="9"/>
      <c r="K8" s="16"/>
      <c r="L8" s="16"/>
      <c r="M8" s="16"/>
      <c r="N8" s="227"/>
      <c r="O8" s="227"/>
      <c r="P8" s="227"/>
      <c r="Q8" s="16"/>
      <c r="R8" s="16"/>
      <c r="S8" s="16"/>
      <c r="T8" s="16"/>
      <c r="U8" s="16"/>
      <c r="V8" s="16"/>
      <c r="W8" s="594"/>
      <c r="X8" s="595"/>
      <c r="Y8" s="596"/>
      <c r="Z8" s="451"/>
    </row>
    <row r="9" spans="1:29" s="14" customFormat="1" ht="45">
      <c r="A9" s="23" t="s">
        <v>66</v>
      </c>
      <c r="B9" s="551" t="s">
        <v>746</v>
      </c>
      <c r="C9" s="551"/>
      <c r="D9" s="551"/>
      <c r="E9" s="551"/>
      <c r="F9" s="551"/>
      <c r="G9" s="551"/>
      <c r="H9" s="226">
        <v>0.3</v>
      </c>
      <c r="I9" s="9" t="s">
        <v>747</v>
      </c>
      <c r="J9" s="9"/>
      <c r="K9" s="16"/>
      <c r="L9" s="16"/>
      <c r="M9" s="16"/>
      <c r="N9" s="227"/>
      <c r="O9" s="16"/>
      <c r="P9" s="16"/>
      <c r="Q9" s="16"/>
      <c r="R9" s="16"/>
      <c r="S9" s="16"/>
      <c r="T9" s="16"/>
      <c r="U9" s="16"/>
      <c r="V9" s="16"/>
      <c r="W9" s="597"/>
      <c r="X9" s="597"/>
      <c r="Y9" s="597"/>
      <c r="Z9" s="451"/>
    </row>
    <row r="10" spans="1:29" s="14" customFormat="1" ht="45">
      <c r="A10" s="23" t="s">
        <v>68</v>
      </c>
      <c r="B10" s="551" t="s">
        <v>748</v>
      </c>
      <c r="C10" s="551"/>
      <c r="D10" s="551"/>
      <c r="E10" s="551"/>
      <c r="F10" s="551"/>
      <c r="G10" s="551"/>
      <c r="H10" s="226">
        <v>0.3</v>
      </c>
      <c r="I10" s="9" t="s">
        <v>747</v>
      </c>
      <c r="J10" s="9"/>
      <c r="K10" s="16"/>
      <c r="L10" s="16"/>
      <c r="M10" s="16"/>
      <c r="N10" s="16"/>
      <c r="O10" s="227"/>
      <c r="P10" s="227"/>
      <c r="Q10" s="16"/>
      <c r="R10" s="16"/>
      <c r="S10" s="16"/>
      <c r="T10" s="16"/>
      <c r="U10" s="16"/>
      <c r="V10" s="16"/>
      <c r="W10" s="518"/>
      <c r="X10" s="518"/>
      <c r="Y10" s="518"/>
      <c r="Z10" s="451"/>
    </row>
    <row r="11" spans="1:29" s="14" customFormat="1" ht="24">
      <c r="A11" s="23" t="s">
        <v>70</v>
      </c>
      <c r="B11" s="551" t="s">
        <v>749</v>
      </c>
      <c r="C11" s="551"/>
      <c r="D11" s="551"/>
      <c r="E11" s="551"/>
      <c r="F11" s="551"/>
      <c r="G11" s="551"/>
      <c r="H11" s="226">
        <v>0.1</v>
      </c>
      <c r="I11" s="9" t="s">
        <v>701</v>
      </c>
      <c r="J11" s="9"/>
      <c r="K11" s="16"/>
      <c r="L11" s="16"/>
      <c r="M11" s="16"/>
      <c r="N11" s="16"/>
      <c r="O11" s="227"/>
      <c r="P11" s="227"/>
      <c r="Q11" s="16"/>
      <c r="R11" s="16"/>
      <c r="S11" s="16"/>
      <c r="T11" s="16"/>
      <c r="U11" s="16"/>
      <c r="V11" s="16"/>
      <c r="W11" s="518"/>
      <c r="X11" s="518"/>
      <c r="Y11" s="518"/>
      <c r="Z11" s="451"/>
    </row>
    <row r="12" spans="1:29" s="14" customFormat="1" ht="24">
      <c r="A12" s="23" t="s">
        <v>153</v>
      </c>
      <c r="B12" s="551" t="s">
        <v>750</v>
      </c>
      <c r="C12" s="551"/>
      <c r="D12" s="551"/>
      <c r="E12" s="551"/>
      <c r="F12" s="551"/>
      <c r="G12" s="551"/>
      <c r="H12" s="226">
        <v>0.1</v>
      </c>
      <c r="I12" s="9" t="s">
        <v>701</v>
      </c>
      <c r="J12" s="9"/>
      <c r="K12" s="16"/>
      <c r="L12" s="16"/>
      <c r="M12" s="16"/>
      <c r="N12" s="16"/>
      <c r="O12" s="227"/>
      <c r="P12" s="227"/>
      <c r="Q12" s="16"/>
      <c r="R12" s="16"/>
      <c r="S12" s="16"/>
      <c r="T12" s="16"/>
      <c r="U12" s="16"/>
      <c r="V12" s="16"/>
      <c r="W12" s="597"/>
      <c r="X12" s="597"/>
      <c r="Y12" s="597"/>
      <c r="Z12" s="451"/>
    </row>
    <row r="13" spans="1:29" s="14" customFormat="1" ht="24">
      <c r="A13" s="23" t="s">
        <v>155</v>
      </c>
      <c r="B13" s="530"/>
      <c r="C13" s="531"/>
      <c r="D13" s="531"/>
      <c r="E13" s="531"/>
      <c r="F13" s="531"/>
      <c r="G13" s="532"/>
      <c r="H13" s="226"/>
      <c r="I13" s="9"/>
      <c r="J13" s="9"/>
      <c r="K13" s="16"/>
      <c r="L13" s="16"/>
      <c r="M13" s="16"/>
      <c r="N13" s="16"/>
      <c r="O13" s="16"/>
      <c r="P13" s="16"/>
      <c r="Q13" s="16"/>
      <c r="R13" s="16"/>
      <c r="S13" s="16"/>
      <c r="T13" s="16"/>
      <c r="U13" s="16"/>
      <c r="V13" s="16"/>
      <c r="W13" s="518"/>
      <c r="X13" s="518"/>
      <c r="Y13" s="518"/>
      <c r="Z13" s="451"/>
    </row>
    <row r="14" spans="1:29" s="14" customFormat="1" ht="24.75" thickBot="1">
      <c r="A14" s="23" t="s">
        <v>156</v>
      </c>
      <c r="B14" s="551"/>
      <c r="C14" s="551"/>
      <c r="D14" s="551"/>
      <c r="E14" s="551"/>
      <c r="F14" s="551"/>
      <c r="G14" s="551"/>
      <c r="H14" s="226"/>
      <c r="I14" s="9"/>
      <c r="J14" s="9"/>
      <c r="K14" s="232"/>
      <c r="L14" s="232"/>
      <c r="M14" s="232"/>
      <c r="N14" s="232"/>
      <c r="O14" s="232"/>
      <c r="P14" s="232"/>
      <c r="Q14" s="232"/>
      <c r="R14" s="232"/>
      <c r="S14" s="232"/>
      <c r="T14" s="232"/>
      <c r="U14" s="232"/>
      <c r="V14" s="232"/>
      <c r="W14" s="679"/>
      <c r="X14" s="680"/>
      <c r="Y14" s="681"/>
      <c r="Z14" s="451"/>
    </row>
    <row r="15" spans="1:29"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9"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2D27-BB01-45D1-BE7D-3BA9C9A7EF22}">
  <dimension ref="A1:AB20"/>
  <sheetViews>
    <sheetView rightToLeft="1" zoomScale="85" zoomScaleNormal="85" zoomScaleSheetLayoutView="70" workbookViewId="0">
      <selection activeCell="H13" sqref="H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2578</v>
      </c>
      <c r="B3" s="657"/>
      <c r="C3" s="657"/>
      <c r="D3" s="657"/>
      <c r="E3" s="658"/>
      <c r="F3" s="659" t="s">
        <v>178</v>
      </c>
      <c r="G3" s="660"/>
      <c r="H3" s="661" t="s">
        <v>723</v>
      </c>
      <c r="I3" s="662"/>
      <c r="J3" s="662"/>
      <c r="K3" s="662"/>
      <c r="L3" s="662"/>
      <c r="M3" s="662"/>
      <c r="N3" s="662"/>
      <c r="O3" s="662"/>
      <c r="P3" s="662"/>
      <c r="Q3" s="662"/>
      <c r="R3" s="662"/>
      <c r="S3" s="662"/>
      <c r="T3" s="662"/>
      <c r="U3" s="662"/>
      <c r="V3" s="662"/>
      <c r="W3" s="662"/>
      <c r="X3" s="662"/>
      <c r="Y3" s="663"/>
      <c r="Z3" s="451"/>
    </row>
    <row r="4" spans="1:28" s="3" customFormat="1" ht="28.5">
      <c r="A4" s="667" t="s">
        <v>697</v>
      </c>
      <c r="B4" s="668"/>
      <c r="C4" s="668"/>
      <c r="D4" s="668"/>
      <c r="E4" s="669"/>
      <c r="F4" s="670" t="s">
        <v>281</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734</v>
      </c>
      <c r="B5" s="673"/>
      <c r="C5" s="673"/>
      <c r="D5" s="673"/>
      <c r="E5" s="674"/>
      <c r="F5" s="675" t="s">
        <v>713</v>
      </c>
      <c r="G5" s="675"/>
      <c r="H5" s="676" t="s">
        <v>714</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63">
      <c r="A8" s="23" t="s">
        <v>28</v>
      </c>
      <c r="B8" s="643" t="s">
        <v>735</v>
      </c>
      <c r="C8" s="551"/>
      <c r="D8" s="551"/>
      <c r="E8" s="551"/>
      <c r="F8" s="551"/>
      <c r="G8" s="551"/>
      <c r="H8" s="226">
        <v>0.7</v>
      </c>
      <c r="I8" s="233" t="s">
        <v>736</v>
      </c>
      <c r="J8" s="9"/>
      <c r="K8" s="16"/>
      <c r="L8" s="227"/>
      <c r="M8" s="16"/>
      <c r="N8" s="16"/>
      <c r="O8" s="16"/>
      <c r="P8" s="16"/>
      <c r="Q8" s="16"/>
      <c r="R8" s="16"/>
      <c r="S8" s="16"/>
      <c r="T8" s="16"/>
      <c r="U8" s="16"/>
      <c r="V8" s="16"/>
      <c r="W8" s="594"/>
      <c r="X8" s="595"/>
      <c r="Y8" s="596"/>
      <c r="Z8" s="451"/>
      <c r="AB8" s="14">
        <v>70</v>
      </c>
    </row>
    <row r="9" spans="1:28" s="14" customFormat="1" ht="24">
      <c r="A9" s="23" t="s">
        <v>66</v>
      </c>
      <c r="B9" s="551" t="s">
        <v>737</v>
      </c>
      <c r="C9" s="551"/>
      <c r="D9" s="551"/>
      <c r="E9" s="551"/>
      <c r="F9" s="551"/>
      <c r="G9" s="551"/>
      <c r="H9" s="226">
        <v>0.15</v>
      </c>
      <c r="I9" s="9" t="s">
        <v>701</v>
      </c>
      <c r="J9" s="9"/>
      <c r="K9" s="16"/>
      <c r="L9" s="227"/>
      <c r="M9" s="227"/>
      <c r="N9" s="16"/>
      <c r="O9" s="16"/>
      <c r="P9" s="16"/>
      <c r="Q9" s="16"/>
      <c r="R9" s="16"/>
      <c r="S9" s="16"/>
      <c r="T9" s="16"/>
      <c r="U9" s="16"/>
      <c r="V9" s="16"/>
      <c r="W9" s="597"/>
      <c r="X9" s="597"/>
      <c r="Y9" s="597"/>
      <c r="Z9" s="451"/>
      <c r="AB9" s="14">
        <v>15</v>
      </c>
    </row>
    <row r="10" spans="1:28" s="14" customFormat="1" ht="24">
      <c r="A10" s="23" t="s">
        <v>68</v>
      </c>
      <c r="B10" s="551" t="s">
        <v>738</v>
      </c>
      <c r="C10" s="551"/>
      <c r="D10" s="551"/>
      <c r="E10" s="551"/>
      <c r="F10" s="551"/>
      <c r="G10" s="551"/>
      <c r="H10" s="226">
        <v>0.05</v>
      </c>
      <c r="I10" s="9" t="s">
        <v>701</v>
      </c>
      <c r="J10" s="9"/>
      <c r="K10" s="16"/>
      <c r="L10" s="227"/>
      <c r="M10" s="227"/>
      <c r="N10" s="16"/>
      <c r="O10" s="16"/>
      <c r="P10" s="16"/>
      <c r="Q10" s="16"/>
      <c r="R10" s="16"/>
      <c r="S10" s="16"/>
      <c r="T10" s="16"/>
      <c r="U10" s="16"/>
      <c r="V10" s="16"/>
      <c r="W10" s="518"/>
      <c r="X10" s="518"/>
      <c r="Y10" s="518"/>
      <c r="Z10" s="451"/>
      <c r="AB10" s="14">
        <v>5</v>
      </c>
    </row>
    <row r="11" spans="1:28" s="14" customFormat="1" ht="24">
      <c r="A11" s="23" t="s">
        <v>70</v>
      </c>
      <c r="B11" s="551" t="s">
        <v>739</v>
      </c>
      <c r="C11" s="551"/>
      <c r="D11" s="551"/>
      <c r="E11" s="551"/>
      <c r="F11" s="551"/>
      <c r="G11" s="551"/>
      <c r="H11" s="226">
        <v>0.05</v>
      </c>
      <c r="I11" s="9" t="s">
        <v>701</v>
      </c>
      <c r="J11" s="9"/>
      <c r="K11" s="16"/>
      <c r="L11" s="227"/>
      <c r="M11" s="227"/>
      <c r="N11" s="16"/>
      <c r="O11" s="16"/>
      <c r="P11" s="16"/>
      <c r="Q11" s="16"/>
      <c r="R11" s="16"/>
      <c r="S11" s="16"/>
      <c r="T11" s="16"/>
      <c r="U11" s="16"/>
      <c r="V11" s="16"/>
      <c r="W11" s="518"/>
      <c r="X11" s="518"/>
      <c r="Y11" s="518"/>
      <c r="Z11" s="451"/>
      <c r="AB11" s="14">
        <v>5</v>
      </c>
    </row>
    <row r="12" spans="1:28" s="14" customFormat="1" ht="24">
      <c r="A12" s="23" t="s">
        <v>153</v>
      </c>
      <c r="B12" s="551" t="s">
        <v>740</v>
      </c>
      <c r="C12" s="551"/>
      <c r="D12" s="551"/>
      <c r="E12" s="551"/>
      <c r="F12" s="551"/>
      <c r="G12" s="551"/>
      <c r="H12" s="226">
        <v>0.03</v>
      </c>
      <c r="I12" s="9" t="s">
        <v>701</v>
      </c>
      <c r="J12" s="9"/>
      <c r="K12" s="16"/>
      <c r="L12" s="16"/>
      <c r="M12" s="227"/>
      <c r="N12" s="16"/>
      <c r="O12" s="16"/>
      <c r="P12" s="16"/>
      <c r="Q12" s="16"/>
      <c r="R12" s="16"/>
      <c r="S12" s="16"/>
      <c r="T12" s="16"/>
      <c r="U12" s="16"/>
      <c r="V12" s="16"/>
      <c r="W12" s="597"/>
      <c r="X12" s="597"/>
      <c r="Y12" s="597"/>
      <c r="Z12" s="451"/>
      <c r="AB12" s="14">
        <v>3</v>
      </c>
    </row>
    <row r="13" spans="1:28" s="14" customFormat="1" ht="24">
      <c r="A13" s="23" t="s">
        <v>155</v>
      </c>
      <c r="B13" s="530" t="s">
        <v>2579</v>
      </c>
      <c r="C13" s="531"/>
      <c r="D13" s="531"/>
      <c r="E13" s="531"/>
      <c r="F13" s="531"/>
      <c r="G13" s="532"/>
      <c r="H13" s="226">
        <v>0.02</v>
      </c>
      <c r="I13" s="9" t="s">
        <v>701</v>
      </c>
      <c r="J13" s="9"/>
      <c r="K13" s="16"/>
      <c r="L13" s="16"/>
      <c r="M13" s="16"/>
      <c r="N13" s="227"/>
      <c r="O13" s="227"/>
      <c r="P13" s="16"/>
      <c r="Q13" s="16"/>
      <c r="R13" s="16"/>
      <c r="S13" s="16"/>
      <c r="T13" s="16"/>
      <c r="U13" s="16"/>
      <c r="V13" s="16"/>
      <c r="W13" s="518"/>
      <c r="X13" s="518"/>
      <c r="Y13" s="518"/>
      <c r="Z13" s="451"/>
    </row>
    <row r="14" spans="1:28" s="14" customFormat="1" ht="24.75" thickBot="1">
      <c r="A14" s="23" t="s">
        <v>156</v>
      </c>
      <c r="B14" s="551"/>
      <c r="C14" s="551"/>
      <c r="D14" s="551"/>
      <c r="E14" s="551"/>
      <c r="F14" s="551"/>
      <c r="G14" s="551"/>
      <c r="H14" s="226"/>
      <c r="I14" s="9"/>
      <c r="J14" s="9"/>
      <c r="K14" s="232"/>
      <c r="L14" s="232"/>
      <c r="M14" s="232"/>
      <c r="N14" s="232"/>
      <c r="O14" s="232"/>
      <c r="P14" s="232"/>
      <c r="Q14" s="232"/>
      <c r="R14" s="232"/>
      <c r="S14" s="232"/>
      <c r="T14" s="232"/>
      <c r="U14" s="232"/>
      <c r="V14" s="232"/>
      <c r="W14" s="679"/>
      <c r="X14" s="680"/>
      <c r="Y14" s="681"/>
      <c r="Z14" s="451"/>
    </row>
    <row r="15" spans="1:28"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8"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0E20-E9E9-47B1-975D-F0340E531643}">
  <dimension ref="A1:AB20"/>
  <sheetViews>
    <sheetView rightToLeft="1" zoomScale="70" zoomScaleNormal="70" zoomScaleSheetLayoutView="70" workbookViewId="0">
      <selection activeCell="I9" sqref="I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53.42578125" style="21" customWidth="1"/>
    <col min="6" max="6" width="14.42578125" style="21" bestFit="1" customWidth="1"/>
    <col min="7" max="7" width="18.570312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722</v>
      </c>
      <c r="B3" s="657"/>
      <c r="C3" s="657"/>
      <c r="D3" s="657"/>
      <c r="E3" s="658"/>
      <c r="F3" s="659" t="s">
        <v>178</v>
      </c>
      <c r="G3" s="660"/>
      <c r="H3" s="661" t="s">
        <v>723</v>
      </c>
      <c r="I3" s="662"/>
      <c r="J3" s="662"/>
      <c r="K3" s="662"/>
      <c r="L3" s="662"/>
      <c r="M3" s="662"/>
      <c r="N3" s="662"/>
      <c r="O3" s="662"/>
      <c r="P3" s="662"/>
      <c r="Q3" s="662"/>
      <c r="R3" s="662"/>
      <c r="S3" s="662"/>
      <c r="T3" s="662"/>
      <c r="U3" s="662"/>
      <c r="V3" s="662"/>
      <c r="W3" s="662"/>
      <c r="X3" s="662"/>
      <c r="Y3" s="663"/>
      <c r="Z3" s="451"/>
    </row>
    <row r="4" spans="1:28" s="3" customFormat="1" ht="28.5">
      <c r="A4" s="667" t="s">
        <v>697</v>
      </c>
      <c r="B4" s="668"/>
      <c r="C4" s="668"/>
      <c r="D4" s="668"/>
      <c r="E4" s="669"/>
      <c r="F4" s="670" t="s">
        <v>281</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724</v>
      </c>
      <c r="B5" s="673"/>
      <c r="C5" s="673"/>
      <c r="D5" s="673"/>
      <c r="E5" s="674"/>
      <c r="F5" s="675" t="s">
        <v>713</v>
      </c>
      <c r="G5" s="675"/>
      <c r="H5" s="676" t="s">
        <v>725</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30" customHeight="1">
      <c r="A8" s="23" t="s">
        <v>28</v>
      </c>
      <c r="B8" s="643" t="s">
        <v>726</v>
      </c>
      <c r="C8" s="551"/>
      <c r="D8" s="551"/>
      <c r="E8" s="551"/>
      <c r="F8" s="551"/>
      <c r="G8" s="551"/>
      <c r="H8" s="226">
        <v>0.2</v>
      </c>
      <c r="I8" s="9" t="s">
        <v>701</v>
      </c>
      <c r="J8" s="9"/>
      <c r="K8" s="227"/>
      <c r="L8" s="227"/>
      <c r="M8" s="16"/>
      <c r="N8" s="16"/>
      <c r="O8" s="16"/>
      <c r="P8" s="16"/>
      <c r="Q8" s="16"/>
      <c r="R8" s="16"/>
      <c r="S8" s="16"/>
      <c r="T8" s="16"/>
      <c r="U8" s="16"/>
      <c r="V8" s="16"/>
      <c r="W8" s="594"/>
      <c r="X8" s="595"/>
      <c r="Y8" s="596"/>
      <c r="Z8" s="451"/>
      <c r="AB8" s="14">
        <v>20</v>
      </c>
    </row>
    <row r="9" spans="1:28" s="14" customFormat="1" ht="45">
      <c r="A9" s="23" t="s">
        <v>66</v>
      </c>
      <c r="B9" s="551" t="s">
        <v>727</v>
      </c>
      <c r="C9" s="551"/>
      <c r="D9" s="551"/>
      <c r="E9" s="551"/>
      <c r="F9" s="551"/>
      <c r="G9" s="551"/>
      <c r="H9" s="226">
        <v>0.2</v>
      </c>
      <c r="I9" s="9" t="s">
        <v>728</v>
      </c>
      <c r="J9" s="9"/>
      <c r="K9" s="16"/>
      <c r="L9" s="227"/>
      <c r="M9" s="227"/>
      <c r="N9" s="16"/>
      <c r="O9" s="16"/>
      <c r="P9" s="16"/>
      <c r="Q9" s="16"/>
      <c r="R9" s="16"/>
      <c r="S9" s="16"/>
      <c r="T9" s="16"/>
      <c r="U9" s="16"/>
      <c r="V9" s="16"/>
      <c r="W9" s="597"/>
      <c r="X9" s="597"/>
      <c r="Y9" s="597"/>
      <c r="Z9" s="451"/>
      <c r="AB9" s="14">
        <v>20</v>
      </c>
    </row>
    <row r="10" spans="1:28" s="14" customFormat="1" ht="45">
      <c r="A10" s="23" t="s">
        <v>68</v>
      </c>
      <c r="B10" s="551" t="s">
        <v>729</v>
      </c>
      <c r="C10" s="551"/>
      <c r="D10" s="551"/>
      <c r="E10" s="551"/>
      <c r="F10" s="551"/>
      <c r="G10" s="551"/>
      <c r="H10" s="226">
        <v>0.15</v>
      </c>
      <c r="I10" s="9" t="s">
        <v>728</v>
      </c>
      <c r="J10" s="9"/>
      <c r="K10" s="16"/>
      <c r="L10" s="16"/>
      <c r="M10" s="227"/>
      <c r="N10" s="227"/>
      <c r="O10" s="16"/>
      <c r="P10" s="16"/>
      <c r="Q10" s="16"/>
      <c r="R10" s="16"/>
      <c r="S10" s="16"/>
      <c r="T10" s="16"/>
      <c r="U10" s="16"/>
      <c r="V10" s="16"/>
      <c r="W10" s="518"/>
      <c r="X10" s="518"/>
      <c r="Y10" s="518"/>
      <c r="Z10" s="451"/>
      <c r="AB10" s="14">
        <v>7.5</v>
      </c>
    </row>
    <row r="11" spans="1:28" s="14" customFormat="1" ht="45">
      <c r="A11" s="23" t="s">
        <v>70</v>
      </c>
      <c r="B11" s="551" t="s">
        <v>730</v>
      </c>
      <c r="C11" s="551"/>
      <c r="D11" s="551"/>
      <c r="E11" s="551"/>
      <c r="F11" s="551"/>
      <c r="G11" s="551"/>
      <c r="H11" s="226">
        <v>0.05</v>
      </c>
      <c r="I11" s="9" t="s">
        <v>728</v>
      </c>
      <c r="J11" s="9"/>
      <c r="K11" s="16"/>
      <c r="L11" s="16"/>
      <c r="M11" s="16"/>
      <c r="N11" s="227"/>
      <c r="O11" s="227"/>
      <c r="P11" s="16"/>
      <c r="Q11" s="16"/>
      <c r="R11" s="16"/>
      <c r="S11" s="16"/>
      <c r="T11" s="16"/>
      <c r="U11" s="16"/>
      <c r="V11" s="16"/>
      <c r="W11" s="518"/>
      <c r="X11" s="518"/>
      <c r="Y11" s="518"/>
      <c r="Z11" s="451"/>
    </row>
    <row r="12" spans="1:28" s="14" customFormat="1" ht="45">
      <c r="A12" s="23" t="s">
        <v>153</v>
      </c>
      <c r="B12" s="551" t="s">
        <v>731</v>
      </c>
      <c r="C12" s="551"/>
      <c r="D12" s="551"/>
      <c r="E12" s="551"/>
      <c r="F12" s="551"/>
      <c r="G12" s="551"/>
      <c r="H12" s="226">
        <v>0.05</v>
      </c>
      <c r="I12" s="9" t="s">
        <v>728</v>
      </c>
      <c r="J12" s="9"/>
      <c r="K12" s="16"/>
      <c r="L12" s="16"/>
      <c r="M12" s="16"/>
      <c r="N12" s="16"/>
      <c r="O12" s="227"/>
      <c r="P12" s="227"/>
      <c r="Q12" s="16"/>
      <c r="R12" s="16"/>
      <c r="S12" s="16"/>
      <c r="T12" s="16"/>
      <c r="U12" s="16"/>
      <c r="V12" s="16"/>
      <c r="W12" s="597"/>
      <c r="X12" s="597"/>
      <c r="Y12" s="597"/>
      <c r="Z12" s="451"/>
    </row>
    <row r="13" spans="1:28" s="14" customFormat="1" ht="45">
      <c r="A13" s="23" t="s">
        <v>155</v>
      </c>
      <c r="B13" s="530" t="s">
        <v>732</v>
      </c>
      <c r="C13" s="531"/>
      <c r="D13" s="531"/>
      <c r="E13" s="531"/>
      <c r="F13" s="531"/>
      <c r="G13" s="532"/>
      <c r="H13" s="226">
        <v>0.2</v>
      </c>
      <c r="I13" s="9" t="s">
        <v>728</v>
      </c>
      <c r="J13" s="9"/>
      <c r="K13" s="16"/>
      <c r="L13" s="16"/>
      <c r="M13" s="16"/>
      <c r="N13" s="16"/>
      <c r="O13" s="227"/>
      <c r="P13" s="227"/>
      <c r="Q13" s="16"/>
      <c r="R13" s="16"/>
      <c r="S13" s="16"/>
      <c r="T13" s="16"/>
      <c r="U13" s="16"/>
      <c r="V13" s="16"/>
      <c r="W13" s="518"/>
      <c r="X13" s="518"/>
      <c r="Y13" s="518"/>
      <c r="Z13" s="451"/>
    </row>
    <row r="14" spans="1:28" s="14" customFormat="1" ht="45.75" thickBot="1">
      <c r="A14" s="23" t="s">
        <v>156</v>
      </c>
      <c r="B14" s="551" t="s">
        <v>733</v>
      </c>
      <c r="C14" s="551"/>
      <c r="D14" s="551"/>
      <c r="E14" s="551"/>
      <c r="F14" s="551"/>
      <c r="G14" s="551"/>
      <c r="H14" s="226">
        <v>0.15</v>
      </c>
      <c r="I14" s="9" t="s">
        <v>728</v>
      </c>
      <c r="J14" s="9"/>
      <c r="K14" s="232"/>
      <c r="L14" s="232"/>
      <c r="M14" s="232"/>
      <c r="N14" s="232"/>
      <c r="O14" s="232"/>
      <c r="P14" s="227"/>
      <c r="Q14" s="232"/>
      <c r="R14" s="232"/>
      <c r="S14" s="232"/>
      <c r="T14" s="232"/>
      <c r="U14" s="232"/>
      <c r="V14" s="232"/>
      <c r="W14" s="679"/>
      <c r="X14" s="680"/>
      <c r="Y14" s="681"/>
      <c r="Z14" s="451"/>
    </row>
    <row r="15" spans="1:28"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8"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4"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D2F0-2423-41D4-8016-9896790B9D58}">
  <dimension ref="A1:AB20"/>
  <sheetViews>
    <sheetView rightToLeft="1" zoomScale="70" zoomScaleNormal="70" zoomScaleSheetLayoutView="70" workbookViewId="0">
      <selection activeCell="H8" sqref="H8:H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4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710</v>
      </c>
      <c r="B3" s="657"/>
      <c r="C3" s="657"/>
      <c r="D3" s="657"/>
      <c r="E3" s="658"/>
      <c r="F3" s="659" t="s">
        <v>178</v>
      </c>
      <c r="G3" s="660"/>
      <c r="H3" s="661" t="s">
        <v>711</v>
      </c>
      <c r="I3" s="662"/>
      <c r="J3" s="662"/>
      <c r="K3" s="662"/>
      <c r="L3" s="662"/>
      <c r="M3" s="662"/>
      <c r="N3" s="662"/>
      <c r="O3" s="662"/>
      <c r="P3" s="662"/>
      <c r="Q3" s="662"/>
      <c r="R3" s="662"/>
      <c r="S3" s="662"/>
      <c r="T3" s="662"/>
      <c r="U3" s="662"/>
      <c r="V3" s="662"/>
      <c r="W3" s="662"/>
      <c r="X3" s="662"/>
      <c r="Y3" s="663"/>
      <c r="Z3" s="451"/>
    </row>
    <row r="4" spans="1:28" s="3" customFormat="1" ht="28.5">
      <c r="A4" s="667" t="s">
        <v>697</v>
      </c>
      <c r="B4" s="668"/>
      <c r="C4" s="668"/>
      <c r="D4" s="668"/>
      <c r="E4" s="669"/>
      <c r="F4" s="670" t="s">
        <v>281</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712</v>
      </c>
      <c r="B5" s="673"/>
      <c r="C5" s="673"/>
      <c r="D5" s="673"/>
      <c r="E5" s="674"/>
      <c r="F5" s="675" t="s">
        <v>713</v>
      </c>
      <c r="G5" s="675"/>
      <c r="H5" s="676" t="s">
        <v>714</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643" t="s">
        <v>715</v>
      </c>
      <c r="C8" s="551"/>
      <c r="D8" s="551"/>
      <c r="E8" s="551"/>
      <c r="F8" s="551"/>
      <c r="G8" s="551"/>
      <c r="H8" s="226">
        <v>0.2</v>
      </c>
      <c r="I8" s="9" t="s">
        <v>701</v>
      </c>
      <c r="J8" s="9"/>
      <c r="K8" s="227"/>
      <c r="L8" s="227"/>
      <c r="M8" s="227"/>
      <c r="N8" s="16"/>
      <c r="O8" s="16"/>
      <c r="P8" s="16"/>
      <c r="Q8" s="16"/>
      <c r="R8" s="16"/>
      <c r="S8" s="16"/>
      <c r="T8" s="16"/>
      <c r="U8" s="16"/>
      <c r="V8" s="16"/>
      <c r="W8" s="594"/>
      <c r="X8" s="595"/>
      <c r="Y8" s="596"/>
      <c r="Z8" s="451"/>
      <c r="AB8" s="14">
        <v>20</v>
      </c>
    </row>
    <row r="9" spans="1:28" s="14" customFormat="1" ht="24">
      <c r="A9" s="23" t="s">
        <v>66</v>
      </c>
      <c r="B9" s="551" t="s">
        <v>716</v>
      </c>
      <c r="C9" s="551"/>
      <c r="D9" s="551"/>
      <c r="E9" s="551"/>
      <c r="F9" s="551"/>
      <c r="G9" s="551"/>
      <c r="H9" s="226">
        <v>0.3</v>
      </c>
      <c r="I9" s="233" t="s">
        <v>717</v>
      </c>
      <c r="J9" s="9"/>
      <c r="K9" s="227"/>
      <c r="L9" s="227"/>
      <c r="M9" s="227"/>
      <c r="N9" s="16"/>
      <c r="O9" s="16"/>
      <c r="P9" s="16"/>
      <c r="Q9" s="16"/>
      <c r="R9" s="16"/>
      <c r="S9" s="16"/>
      <c r="T9" s="16"/>
      <c r="U9" s="16"/>
      <c r="V9" s="16"/>
      <c r="W9" s="597"/>
      <c r="X9" s="597"/>
      <c r="Y9" s="597"/>
      <c r="Z9" s="451"/>
      <c r="AB9" s="14">
        <v>30</v>
      </c>
    </row>
    <row r="10" spans="1:28" s="14" customFormat="1" ht="24">
      <c r="A10" s="23" t="s">
        <v>68</v>
      </c>
      <c r="B10" s="551" t="s">
        <v>718</v>
      </c>
      <c r="C10" s="551"/>
      <c r="D10" s="551"/>
      <c r="E10" s="551"/>
      <c r="F10" s="551"/>
      <c r="G10" s="551"/>
      <c r="H10" s="226">
        <v>0.3</v>
      </c>
      <c r="I10" s="233" t="s">
        <v>717</v>
      </c>
      <c r="J10" s="9"/>
      <c r="K10" s="16"/>
      <c r="L10" s="227"/>
      <c r="M10" s="227"/>
      <c r="N10" s="16"/>
      <c r="O10" s="16"/>
      <c r="P10" s="16"/>
      <c r="Q10" s="16"/>
      <c r="R10" s="16"/>
      <c r="S10" s="16"/>
      <c r="T10" s="16"/>
      <c r="U10" s="16"/>
      <c r="V10" s="16"/>
      <c r="W10" s="518"/>
      <c r="X10" s="518"/>
      <c r="Y10" s="518"/>
      <c r="Z10" s="451"/>
      <c r="AB10" s="14">
        <v>30</v>
      </c>
    </row>
    <row r="11" spans="1:28" s="14" customFormat="1" ht="21" customHeight="1">
      <c r="A11" s="23" t="s">
        <v>70</v>
      </c>
      <c r="B11" s="551" t="s">
        <v>719</v>
      </c>
      <c r="C11" s="551"/>
      <c r="D11" s="551"/>
      <c r="E11" s="551"/>
      <c r="F11" s="551"/>
      <c r="G11" s="551"/>
      <c r="H11" s="226">
        <v>0.1</v>
      </c>
      <c r="I11" s="233" t="s">
        <v>717</v>
      </c>
      <c r="J11" s="9"/>
      <c r="K11" s="16"/>
      <c r="L11" s="227"/>
      <c r="M11" s="227"/>
      <c r="N11" s="16"/>
      <c r="O11" s="16"/>
      <c r="P11" s="16"/>
      <c r="Q11" s="16"/>
      <c r="R11" s="16"/>
      <c r="S11" s="16"/>
      <c r="T11" s="16"/>
      <c r="U11" s="16"/>
      <c r="V11" s="16"/>
      <c r="W11" s="518"/>
      <c r="X11" s="518"/>
      <c r="Y11" s="518"/>
      <c r="Z11" s="451"/>
      <c r="AB11" s="14">
        <v>10</v>
      </c>
    </row>
    <row r="12" spans="1:28" s="14" customFormat="1" ht="24">
      <c r="A12" s="23" t="s">
        <v>153</v>
      </c>
      <c r="B12" s="530" t="s">
        <v>721</v>
      </c>
      <c r="C12" s="531"/>
      <c r="D12" s="531"/>
      <c r="E12" s="531"/>
      <c r="F12" s="531"/>
      <c r="G12" s="532"/>
      <c r="H12" s="226">
        <v>0.05</v>
      </c>
      <c r="I12" s="9" t="s">
        <v>701</v>
      </c>
      <c r="J12" s="9"/>
      <c r="K12" s="16"/>
      <c r="L12" s="16"/>
      <c r="M12" s="227"/>
      <c r="N12" s="16"/>
      <c r="O12" s="16"/>
      <c r="P12" s="16"/>
      <c r="Q12" s="16"/>
      <c r="R12" s="16"/>
      <c r="S12" s="16"/>
      <c r="T12" s="16"/>
      <c r="U12" s="16"/>
      <c r="V12" s="16"/>
      <c r="W12" s="597"/>
      <c r="X12" s="597"/>
      <c r="Y12" s="597"/>
      <c r="Z12" s="451"/>
      <c r="AB12" s="14">
        <v>5</v>
      </c>
    </row>
    <row r="13" spans="1:28" s="14" customFormat="1" ht="24">
      <c r="A13" s="23" t="s">
        <v>155</v>
      </c>
      <c r="B13" s="21" t="s">
        <v>720</v>
      </c>
      <c r="C13" s="272"/>
      <c r="D13" s="272"/>
      <c r="E13" s="272"/>
      <c r="F13" s="272"/>
      <c r="G13" s="273"/>
      <c r="H13" s="226">
        <v>0.05</v>
      </c>
      <c r="I13" s="9" t="s">
        <v>701</v>
      </c>
      <c r="J13" s="9"/>
      <c r="K13" s="16"/>
      <c r="L13" s="16"/>
      <c r="M13" s="16"/>
      <c r="N13" s="227"/>
      <c r="O13" s="227"/>
      <c r="P13" s="16"/>
      <c r="Q13" s="16"/>
      <c r="R13" s="16"/>
      <c r="S13" s="16"/>
      <c r="T13" s="16"/>
      <c r="U13" s="16"/>
      <c r="V13" s="16"/>
      <c r="W13" s="518"/>
      <c r="X13" s="518"/>
      <c r="Y13" s="518"/>
      <c r="Z13" s="451"/>
      <c r="AB13" s="14">
        <v>5</v>
      </c>
    </row>
    <row r="14" spans="1:28" s="14" customFormat="1" ht="24.75" thickBot="1">
      <c r="A14" s="23" t="s">
        <v>156</v>
      </c>
      <c r="B14" s="551"/>
      <c r="C14" s="551"/>
      <c r="D14" s="551"/>
      <c r="E14" s="551"/>
      <c r="F14" s="551"/>
      <c r="G14" s="551"/>
      <c r="H14" s="226"/>
      <c r="I14" s="9"/>
      <c r="J14" s="9"/>
      <c r="K14" s="232"/>
      <c r="L14" s="232"/>
      <c r="M14" s="232"/>
      <c r="N14" s="232"/>
      <c r="O14" s="16"/>
      <c r="P14" s="16"/>
      <c r="Q14" s="16"/>
      <c r="R14" s="16"/>
      <c r="S14" s="16"/>
      <c r="T14" s="16"/>
      <c r="U14" s="16"/>
      <c r="V14" s="16"/>
      <c r="W14" s="679"/>
      <c r="X14" s="680"/>
      <c r="Y14" s="681"/>
      <c r="Z14" s="451"/>
    </row>
    <row r="15" spans="1:28" ht="25.5" customHeight="1"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8"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2">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F6DF-4411-4F9F-9F2D-7788F20C5E14}">
  <dimension ref="A1:AB20"/>
  <sheetViews>
    <sheetView rightToLeft="1" zoomScale="70" zoomScaleNormal="70" zoomScaleSheetLayoutView="70" workbookViewId="0">
      <selection activeCell="L8" sqref="L8:M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8" s="3" customFormat="1" ht="29.25" thickTop="1">
      <c r="A3" s="656" t="s">
        <v>695</v>
      </c>
      <c r="B3" s="657"/>
      <c r="C3" s="657"/>
      <c r="D3" s="657"/>
      <c r="E3" s="658"/>
      <c r="F3" s="659" t="s">
        <v>178</v>
      </c>
      <c r="G3" s="660"/>
      <c r="H3" s="661" t="s">
        <v>696</v>
      </c>
      <c r="I3" s="662"/>
      <c r="J3" s="662"/>
      <c r="K3" s="662"/>
      <c r="L3" s="662"/>
      <c r="M3" s="662"/>
      <c r="N3" s="662"/>
      <c r="O3" s="662"/>
      <c r="P3" s="662"/>
      <c r="Q3" s="662"/>
      <c r="R3" s="662"/>
      <c r="S3" s="662"/>
      <c r="T3" s="662"/>
      <c r="U3" s="662"/>
      <c r="V3" s="662"/>
      <c r="W3" s="662"/>
      <c r="X3" s="662"/>
      <c r="Y3" s="663"/>
      <c r="Z3" s="451"/>
    </row>
    <row r="4" spans="1:28" s="3" customFormat="1" ht="28.5">
      <c r="A4" s="667" t="s">
        <v>697</v>
      </c>
      <c r="B4" s="668"/>
      <c r="C4" s="668"/>
      <c r="D4" s="668"/>
      <c r="E4" s="669"/>
      <c r="F4" s="670" t="s">
        <v>281</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698</v>
      </c>
      <c r="B5" s="673"/>
      <c r="C5" s="673"/>
      <c r="D5" s="673"/>
      <c r="E5" s="674"/>
      <c r="F5" s="675" t="s">
        <v>699</v>
      </c>
      <c r="G5" s="675"/>
      <c r="H5" s="676" t="s">
        <v>57</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51" t="s">
        <v>700</v>
      </c>
      <c r="C8" s="551"/>
      <c r="D8" s="551"/>
      <c r="E8" s="551"/>
      <c r="F8" s="551"/>
      <c r="G8" s="551"/>
      <c r="H8" s="226">
        <v>0.2</v>
      </c>
      <c r="I8" s="9" t="s">
        <v>701</v>
      </c>
      <c r="J8" s="9"/>
      <c r="K8" s="16"/>
      <c r="L8" s="227"/>
      <c r="M8" s="227"/>
      <c r="N8" s="16"/>
      <c r="O8" s="16"/>
      <c r="P8" s="16"/>
      <c r="Q8" s="16"/>
      <c r="R8" s="16"/>
      <c r="S8" s="16"/>
      <c r="T8" s="16"/>
      <c r="U8" s="16"/>
      <c r="V8" s="16"/>
      <c r="W8" s="594"/>
      <c r="X8" s="595"/>
      <c r="Y8" s="596"/>
      <c r="Z8" s="451"/>
      <c r="AB8" s="14">
        <f>20</f>
        <v>20</v>
      </c>
    </row>
    <row r="9" spans="1:28" s="14" customFormat="1" ht="45">
      <c r="A9" s="23" t="s">
        <v>66</v>
      </c>
      <c r="B9" s="551" t="s">
        <v>702</v>
      </c>
      <c r="C9" s="551"/>
      <c r="D9" s="551"/>
      <c r="E9" s="551"/>
      <c r="F9" s="551"/>
      <c r="G9" s="551"/>
      <c r="H9" s="226">
        <v>0.25</v>
      </c>
      <c r="I9" s="9" t="s">
        <v>703</v>
      </c>
      <c r="J9" s="9"/>
      <c r="K9" s="16"/>
      <c r="L9" s="227"/>
      <c r="M9" s="227"/>
      <c r="N9" s="227"/>
      <c r="O9" s="16"/>
      <c r="P9" s="16"/>
      <c r="Q9" s="16"/>
      <c r="R9" s="16"/>
      <c r="S9" s="16"/>
      <c r="T9" s="16"/>
      <c r="U9" s="16"/>
      <c r="V9" s="16"/>
      <c r="W9" s="597"/>
      <c r="X9" s="597"/>
      <c r="Y9" s="597"/>
      <c r="Z9" s="451"/>
      <c r="AB9" s="14">
        <f>2/3*(25)</f>
        <v>16.666666666666664</v>
      </c>
    </row>
    <row r="10" spans="1:28" s="14" customFormat="1" ht="45">
      <c r="A10" s="23" t="s">
        <v>68</v>
      </c>
      <c r="B10" s="551" t="s">
        <v>704</v>
      </c>
      <c r="C10" s="551"/>
      <c r="D10" s="551"/>
      <c r="E10" s="551"/>
      <c r="F10" s="551"/>
      <c r="G10" s="551"/>
      <c r="H10" s="226">
        <v>0.25</v>
      </c>
      <c r="I10" s="9" t="s">
        <v>705</v>
      </c>
      <c r="J10" s="9"/>
      <c r="K10" s="16"/>
      <c r="L10" s="16"/>
      <c r="M10" s="16"/>
      <c r="N10" s="227"/>
      <c r="O10" s="227"/>
      <c r="P10" s="227"/>
      <c r="Q10" s="16"/>
      <c r="R10" s="16"/>
      <c r="S10" s="16"/>
      <c r="T10" s="16"/>
      <c r="U10" s="16"/>
      <c r="V10" s="16"/>
      <c r="W10" s="518"/>
      <c r="X10" s="518"/>
      <c r="Y10" s="518"/>
      <c r="Z10" s="451"/>
    </row>
    <row r="11" spans="1:28" s="14" customFormat="1" ht="45">
      <c r="A11" s="23" t="s">
        <v>70</v>
      </c>
      <c r="B11" s="551" t="s">
        <v>706</v>
      </c>
      <c r="C11" s="551"/>
      <c r="D11" s="551"/>
      <c r="E11" s="551"/>
      <c r="F11" s="551"/>
      <c r="G11" s="551"/>
      <c r="H11" s="226">
        <v>0.15</v>
      </c>
      <c r="I11" s="9" t="s">
        <v>707</v>
      </c>
      <c r="J11" s="9"/>
      <c r="K11" s="16"/>
      <c r="L11" s="16"/>
      <c r="M11" s="16"/>
      <c r="N11" s="16"/>
      <c r="O11" s="16"/>
      <c r="P11" s="227"/>
      <c r="Q11" s="227"/>
      <c r="R11" s="227"/>
      <c r="S11" s="227"/>
      <c r="T11" s="16"/>
      <c r="U11" s="16"/>
      <c r="V11" s="16"/>
      <c r="W11" s="518"/>
      <c r="X11" s="518"/>
      <c r="Y11" s="518"/>
      <c r="Z11" s="451"/>
    </row>
    <row r="12" spans="1:28" s="14" customFormat="1" ht="24">
      <c r="A12" s="23" t="s">
        <v>153</v>
      </c>
      <c r="B12" s="551" t="s">
        <v>708</v>
      </c>
      <c r="C12" s="551"/>
      <c r="D12" s="551"/>
      <c r="E12" s="551"/>
      <c r="F12" s="551"/>
      <c r="G12" s="551"/>
      <c r="H12" s="226">
        <v>0.05</v>
      </c>
      <c r="I12" s="9" t="s">
        <v>701</v>
      </c>
      <c r="J12" s="9"/>
      <c r="K12" s="16"/>
      <c r="L12" s="16"/>
      <c r="M12" s="16"/>
      <c r="N12" s="16"/>
      <c r="O12" s="16"/>
      <c r="P12" s="16"/>
      <c r="Q12" s="16"/>
      <c r="R12" s="16"/>
      <c r="S12" s="227"/>
      <c r="T12" s="227"/>
      <c r="U12" s="16"/>
      <c r="V12" s="16"/>
      <c r="W12" s="597"/>
      <c r="X12" s="597"/>
      <c r="Y12" s="597"/>
      <c r="Z12" s="451"/>
    </row>
    <row r="13" spans="1:28" s="14" customFormat="1" ht="24">
      <c r="A13" s="23" t="s">
        <v>155</v>
      </c>
      <c r="B13" s="530" t="s">
        <v>709</v>
      </c>
      <c r="C13" s="531"/>
      <c r="D13" s="531"/>
      <c r="E13" s="531"/>
      <c r="F13" s="531"/>
      <c r="G13" s="532"/>
      <c r="H13" s="226">
        <v>0.1</v>
      </c>
      <c r="I13" s="9" t="s">
        <v>701</v>
      </c>
      <c r="J13" s="9"/>
      <c r="K13" s="16"/>
      <c r="L13" s="16"/>
      <c r="M13" s="16"/>
      <c r="N13" s="16"/>
      <c r="O13" s="16"/>
      <c r="P13" s="16"/>
      <c r="Q13" s="16"/>
      <c r="R13" s="16"/>
      <c r="S13" s="16"/>
      <c r="T13" s="16"/>
      <c r="U13" s="227"/>
      <c r="V13" s="227"/>
      <c r="W13" s="518"/>
      <c r="X13" s="518"/>
      <c r="Y13" s="518"/>
      <c r="Z13" s="451"/>
    </row>
    <row r="14" spans="1:28" s="14" customFormat="1" ht="24.75" thickBot="1">
      <c r="A14" s="23" t="s">
        <v>156</v>
      </c>
      <c r="B14" s="551"/>
      <c r="C14" s="551"/>
      <c r="D14" s="551"/>
      <c r="E14" s="551"/>
      <c r="F14" s="551"/>
      <c r="G14" s="551"/>
      <c r="H14" s="226"/>
      <c r="I14" s="9"/>
      <c r="J14" s="9"/>
      <c r="K14" s="232"/>
      <c r="L14" s="232"/>
      <c r="M14" s="232"/>
      <c r="N14" s="232"/>
      <c r="O14" s="232"/>
      <c r="P14" s="232"/>
      <c r="Q14" s="232"/>
      <c r="R14" s="232"/>
      <c r="S14" s="232"/>
      <c r="T14" s="232"/>
      <c r="U14" s="232"/>
      <c r="V14" s="232"/>
      <c r="W14" s="679"/>
      <c r="X14" s="680"/>
      <c r="Y14" s="681"/>
      <c r="Z14" s="451"/>
    </row>
    <row r="15" spans="1:28" ht="30" thickTop="1" thickBot="1">
      <c r="A15" s="519" t="s">
        <v>72</v>
      </c>
      <c r="B15" s="520"/>
      <c r="C15" s="520"/>
      <c r="D15" s="521"/>
      <c r="E15" s="527" t="s">
        <v>73</v>
      </c>
      <c r="F15" s="528"/>
      <c r="G15" s="528"/>
      <c r="H15" s="528"/>
      <c r="I15" s="528"/>
      <c r="J15" s="527" t="s">
        <v>74</v>
      </c>
      <c r="K15" s="528"/>
      <c r="L15" s="528"/>
      <c r="M15" s="529"/>
      <c r="N15" s="543" t="s">
        <v>75</v>
      </c>
      <c r="O15" s="544"/>
      <c r="P15" s="544"/>
      <c r="Q15" s="544"/>
      <c r="R15" s="544"/>
      <c r="S15" s="544"/>
      <c r="T15" s="544"/>
      <c r="U15" s="544"/>
      <c r="V15" s="545"/>
      <c r="W15" s="543" t="s">
        <v>76</v>
      </c>
      <c r="X15" s="544"/>
      <c r="Y15" s="545"/>
      <c r="Z15" s="451"/>
    </row>
    <row r="16" spans="1:28" s="20" customFormat="1" ht="29.25" thickTop="1">
      <c r="A16" s="522"/>
      <c r="B16" s="498"/>
      <c r="C16" s="498"/>
      <c r="D16" s="523"/>
      <c r="E16" s="533"/>
      <c r="F16" s="534"/>
      <c r="G16" s="533"/>
      <c r="H16" s="539"/>
      <c r="I16" s="534"/>
      <c r="J16" s="541" t="s">
        <v>47</v>
      </c>
      <c r="K16" s="539"/>
      <c r="L16" s="539"/>
      <c r="M16" s="534"/>
      <c r="N16" s="546"/>
      <c r="O16" s="481"/>
      <c r="P16" s="481"/>
      <c r="Q16" s="481"/>
      <c r="R16" s="481"/>
      <c r="S16" s="481"/>
      <c r="T16" s="481"/>
      <c r="U16" s="481"/>
      <c r="V16" s="547"/>
      <c r="W16" s="546"/>
      <c r="X16" s="481"/>
      <c r="Y16" s="547"/>
    </row>
    <row r="17" spans="1:25" s="20" customFormat="1" ht="29.25" thickBot="1">
      <c r="A17" s="522"/>
      <c r="B17" s="498"/>
      <c r="C17" s="498"/>
      <c r="D17" s="523"/>
      <c r="E17" s="535"/>
      <c r="F17" s="536"/>
      <c r="G17" s="535"/>
      <c r="H17" s="507"/>
      <c r="I17" s="536"/>
      <c r="J17" s="542"/>
      <c r="K17" s="540"/>
      <c r="L17" s="540"/>
      <c r="M17" s="538"/>
      <c r="N17" s="546"/>
      <c r="O17" s="481"/>
      <c r="P17" s="481"/>
      <c r="Q17" s="481"/>
      <c r="R17" s="481"/>
      <c r="S17" s="481"/>
      <c r="T17" s="481"/>
      <c r="U17" s="481"/>
      <c r="V17" s="547"/>
      <c r="W17" s="546"/>
      <c r="X17" s="481"/>
      <c r="Y17" s="547"/>
    </row>
    <row r="18" spans="1:25" s="20" customFormat="1" ht="29.25" thickTop="1">
      <c r="A18" s="522"/>
      <c r="B18" s="498"/>
      <c r="C18" s="498"/>
      <c r="D18" s="523"/>
      <c r="E18" s="535"/>
      <c r="F18" s="536"/>
      <c r="G18" s="535"/>
      <c r="H18" s="507"/>
      <c r="I18" s="536"/>
      <c r="J18" s="541" t="s">
        <v>48</v>
      </c>
      <c r="K18" s="539"/>
      <c r="L18" s="539"/>
      <c r="M18" s="534"/>
      <c r="N18" s="546"/>
      <c r="O18" s="481"/>
      <c r="P18" s="481"/>
      <c r="Q18" s="481"/>
      <c r="R18" s="481"/>
      <c r="S18" s="481"/>
      <c r="T18" s="481"/>
      <c r="U18" s="481"/>
      <c r="V18" s="547"/>
      <c r="W18" s="546"/>
      <c r="X18" s="481"/>
      <c r="Y18" s="547"/>
    </row>
    <row r="19" spans="1:25" s="20" customFormat="1" ht="29.25" thickBot="1">
      <c r="A19" s="524"/>
      <c r="B19" s="525"/>
      <c r="C19" s="525"/>
      <c r="D19" s="526"/>
      <c r="E19" s="537"/>
      <c r="F19" s="538"/>
      <c r="G19" s="537"/>
      <c r="H19" s="540"/>
      <c r="I19" s="538"/>
      <c r="J19" s="542"/>
      <c r="K19" s="540"/>
      <c r="L19" s="540"/>
      <c r="M19" s="538"/>
      <c r="N19" s="548"/>
      <c r="O19" s="549"/>
      <c r="P19" s="549"/>
      <c r="Q19" s="549"/>
      <c r="R19" s="549"/>
      <c r="S19" s="549"/>
      <c r="T19" s="549"/>
      <c r="U19" s="549"/>
      <c r="V19" s="550"/>
      <c r="W19" s="548"/>
      <c r="X19" s="549"/>
      <c r="Y19" s="550"/>
    </row>
    <row r="20" spans="1:25" ht="18.75" thickTop="1"/>
  </sheetData>
  <mergeCells count="43">
    <mergeCell ref="A1:Y1"/>
    <mergeCell ref="Z1:Z15"/>
    <mergeCell ref="A2:Y2"/>
    <mergeCell ref="A3:E3"/>
    <mergeCell ref="F3:G3"/>
    <mergeCell ref="H3:Y4"/>
    <mergeCell ref="A4:E4"/>
    <mergeCell ref="F4:G4"/>
    <mergeCell ref="A5:E5"/>
    <mergeCell ref="F5:G5"/>
    <mergeCell ref="H5:Y5"/>
    <mergeCell ref="A6:A7"/>
    <mergeCell ref="B6:G7"/>
    <mergeCell ref="H6:H7"/>
    <mergeCell ref="I6:I7"/>
    <mergeCell ref="J6:J7"/>
    <mergeCell ref="K6:V6"/>
    <mergeCell ref="W6:Y7"/>
    <mergeCell ref="B8:G8"/>
    <mergeCell ref="W8:Y8"/>
    <mergeCell ref="B9:G9"/>
    <mergeCell ref="W9:Y9"/>
    <mergeCell ref="B10:G10"/>
    <mergeCell ref="W10:Y10"/>
    <mergeCell ref="B11:G11"/>
    <mergeCell ref="W11:Y11"/>
    <mergeCell ref="B12:G12"/>
    <mergeCell ref="W12:Y12"/>
    <mergeCell ref="B13:G13"/>
    <mergeCell ref="W13:Y13"/>
    <mergeCell ref="K16:M17"/>
    <mergeCell ref="J18:J19"/>
    <mergeCell ref="K18:M19"/>
    <mergeCell ref="B14:G14"/>
    <mergeCell ref="W14:Y14"/>
    <mergeCell ref="A15:D19"/>
    <mergeCell ref="E15:I15"/>
    <mergeCell ref="J15:M15"/>
    <mergeCell ref="N15:V19"/>
    <mergeCell ref="W15:Y19"/>
    <mergeCell ref="E16:F19"/>
    <mergeCell ref="G16:I19"/>
    <mergeCell ref="J16:J17"/>
  </mergeCells>
  <printOptions horizontalCentered="1" verticalCentered="1"/>
  <pageMargins left="0" right="0" top="0" bottom="0" header="0" footer="0"/>
  <pageSetup scale="45"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BA4F4-38F5-4D10-89FA-3DBC13C9E3DB}">
  <dimension ref="A1:AC20"/>
  <sheetViews>
    <sheetView rightToLeft="1" zoomScale="55" zoomScaleNormal="55" zoomScaleSheetLayoutView="90" workbookViewId="0">
      <selection activeCell="AC8" sqref="AC8:AC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685</v>
      </c>
      <c r="B3" s="456"/>
      <c r="C3" s="456"/>
      <c r="D3" s="456"/>
      <c r="E3" s="456"/>
      <c r="F3" s="456"/>
      <c r="G3" s="457" t="s">
        <v>3</v>
      </c>
      <c r="H3" s="457"/>
      <c r="I3" s="458" t="s">
        <v>686</v>
      </c>
      <c r="J3" s="458"/>
      <c r="K3" s="458"/>
      <c r="L3" s="458"/>
      <c r="M3" s="458"/>
      <c r="N3" s="458"/>
      <c r="O3" s="458"/>
      <c r="P3" s="458"/>
      <c r="Q3" s="458"/>
      <c r="R3" s="458"/>
      <c r="S3" s="458"/>
      <c r="T3" s="458"/>
      <c r="U3" s="458"/>
      <c r="V3" s="458"/>
      <c r="W3" s="458"/>
      <c r="X3" s="458"/>
      <c r="Y3" s="458"/>
      <c r="Z3" s="459"/>
      <c r="AA3" s="451"/>
    </row>
    <row r="4" spans="1:29" s="3" customFormat="1" ht="28.5" customHeight="1">
      <c r="A4" s="460" t="s">
        <v>143</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636</v>
      </c>
      <c r="H5" s="456"/>
      <c r="I5" s="456" t="s">
        <v>646</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6.2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687</v>
      </c>
      <c r="C8" s="647"/>
      <c r="D8" s="647"/>
      <c r="E8" s="647"/>
      <c r="F8" s="647"/>
      <c r="G8" s="647"/>
      <c r="H8" s="647"/>
      <c r="I8" s="132">
        <v>10</v>
      </c>
      <c r="J8" s="133" t="s">
        <v>688</v>
      </c>
      <c r="K8" s="10"/>
      <c r="L8" s="30"/>
      <c r="M8" s="30"/>
      <c r="N8" s="30" t="s">
        <v>246</v>
      </c>
      <c r="O8" s="30"/>
      <c r="P8" s="30"/>
      <c r="Q8" s="30"/>
      <c r="R8" s="30"/>
      <c r="S8" s="30"/>
      <c r="T8" s="30"/>
      <c r="U8" s="30"/>
      <c r="V8" s="30"/>
      <c r="W8" s="30"/>
      <c r="X8" s="475"/>
      <c r="Y8" s="475"/>
      <c r="Z8" s="476"/>
      <c r="AA8" s="451"/>
      <c r="AC8" s="14">
        <v>10</v>
      </c>
    </row>
    <row r="9" spans="1:29" s="14" customFormat="1" ht="24">
      <c r="A9" s="7" t="s">
        <v>66</v>
      </c>
      <c r="B9" s="647" t="s">
        <v>689</v>
      </c>
      <c r="C9" s="647"/>
      <c r="D9" s="647"/>
      <c r="E9" s="647"/>
      <c r="F9" s="647"/>
      <c r="G9" s="647"/>
      <c r="H9" s="647"/>
      <c r="I9" s="132">
        <v>10</v>
      </c>
      <c r="J9" s="133" t="s">
        <v>614</v>
      </c>
      <c r="K9" s="10"/>
      <c r="L9" s="30"/>
      <c r="M9" s="30"/>
      <c r="N9" s="30" t="s">
        <v>246</v>
      </c>
      <c r="O9" s="30"/>
      <c r="P9" s="30"/>
      <c r="Q9" s="30"/>
      <c r="R9" s="30"/>
      <c r="S9" s="30"/>
      <c r="T9" s="30"/>
      <c r="U9" s="30"/>
      <c r="V9" s="30"/>
      <c r="W9" s="30"/>
      <c r="X9" s="475"/>
      <c r="Y9" s="475"/>
      <c r="Z9" s="476"/>
      <c r="AA9" s="451"/>
      <c r="AC9" s="14">
        <v>10</v>
      </c>
    </row>
    <row r="10" spans="1:29" s="14" customFormat="1" ht="24">
      <c r="A10" s="7" t="s">
        <v>68</v>
      </c>
      <c r="B10" s="647" t="s">
        <v>690</v>
      </c>
      <c r="C10" s="647"/>
      <c r="D10" s="647"/>
      <c r="E10" s="647"/>
      <c r="F10" s="647"/>
      <c r="G10" s="647"/>
      <c r="H10" s="647"/>
      <c r="I10" s="132">
        <v>20</v>
      </c>
      <c r="J10" s="133" t="s">
        <v>614</v>
      </c>
      <c r="K10" s="10"/>
      <c r="L10" s="30"/>
      <c r="N10" s="30"/>
      <c r="O10" s="30" t="s">
        <v>246</v>
      </c>
      <c r="P10" s="30"/>
      <c r="Q10" s="30"/>
      <c r="R10" s="30"/>
      <c r="S10" s="30"/>
      <c r="T10" s="30"/>
      <c r="U10" s="30"/>
      <c r="V10" s="30"/>
      <c r="W10" s="30"/>
      <c r="X10" s="475"/>
      <c r="Y10" s="475"/>
      <c r="Z10" s="476"/>
      <c r="AA10" s="451"/>
    </row>
    <row r="11" spans="1:29" s="14" customFormat="1" ht="24">
      <c r="A11" s="7" t="s">
        <v>70</v>
      </c>
      <c r="B11" s="647" t="s">
        <v>691</v>
      </c>
      <c r="C11" s="647"/>
      <c r="D11" s="647"/>
      <c r="E11" s="647"/>
      <c r="F11" s="647"/>
      <c r="G11" s="647"/>
      <c r="H11" s="647"/>
      <c r="I11" s="132">
        <v>25</v>
      </c>
      <c r="J11" s="133" t="s">
        <v>688</v>
      </c>
      <c r="K11" s="10"/>
      <c r="L11" s="30"/>
      <c r="M11" s="30"/>
      <c r="N11" s="30"/>
      <c r="O11" s="30" t="s">
        <v>246</v>
      </c>
      <c r="P11" s="30" t="s">
        <v>246</v>
      </c>
      <c r="Q11" s="30" t="s">
        <v>246</v>
      </c>
      <c r="R11" s="30"/>
      <c r="S11" s="30"/>
      <c r="T11" s="30"/>
      <c r="U11" s="30"/>
      <c r="V11" s="30"/>
      <c r="W11" s="30"/>
      <c r="X11" s="468"/>
      <c r="Y11" s="468"/>
      <c r="Z11" s="469"/>
      <c r="AA11" s="451"/>
    </row>
    <row r="12" spans="1:29" s="14" customFormat="1" ht="24">
      <c r="A12" s="7" t="s">
        <v>153</v>
      </c>
      <c r="B12" s="647" t="s">
        <v>692</v>
      </c>
      <c r="C12" s="647"/>
      <c r="D12" s="647"/>
      <c r="E12" s="647"/>
      <c r="F12" s="647"/>
      <c r="G12" s="647"/>
      <c r="H12" s="647"/>
      <c r="I12" s="132">
        <v>15</v>
      </c>
      <c r="J12" s="133" t="s">
        <v>614</v>
      </c>
      <c r="K12" s="10"/>
      <c r="L12" s="30"/>
      <c r="M12" s="30"/>
      <c r="N12" s="30"/>
      <c r="O12" s="30" t="s">
        <v>246</v>
      </c>
      <c r="P12" s="30" t="s">
        <v>246</v>
      </c>
      <c r="Q12" s="30" t="s">
        <v>246</v>
      </c>
      <c r="R12" s="30" t="s">
        <v>246</v>
      </c>
      <c r="S12" s="30" t="s">
        <v>246</v>
      </c>
      <c r="T12" s="30" t="s">
        <v>246</v>
      </c>
      <c r="U12" s="30" t="s">
        <v>246</v>
      </c>
      <c r="V12" s="30" t="s">
        <v>246</v>
      </c>
      <c r="W12" s="30" t="s">
        <v>246</v>
      </c>
      <c r="X12" s="468"/>
      <c r="Y12" s="468"/>
      <c r="Z12" s="469"/>
      <c r="AA12" s="451"/>
    </row>
    <row r="13" spans="1:29" s="14" customFormat="1" ht="24">
      <c r="A13" s="7" t="s">
        <v>155</v>
      </c>
      <c r="B13" s="647" t="s">
        <v>693</v>
      </c>
      <c r="C13" s="647"/>
      <c r="D13" s="647"/>
      <c r="E13" s="647"/>
      <c r="F13" s="647"/>
      <c r="G13" s="647"/>
      <c r="H13" s="647"/>
      <c r="I13" s="132">
        <v>10</v>
      </c>
      <c r="J13" s="133" t="s">
        <v>614</v>
      </c>
      <c r="K13" s="10"/>
      <c r="L13" s="30"/>
      <c r="M13" s="30"/>
      <c r="N13" s="30"/>
      <c r="O13" s="30"/>
      <c r="P13" s="30"/>
      <c r="Q13" s="30" t="s">
        <v>246</v>
      </c>
      <c r="R13" s="30" t="s">
        <v>246</v>
      </c>
      <c r="S13" s="30"/>
      <c r="T13" s="30"/>
      <c r="U13" s="30"/>
      <c r="V13" s="30" t="s">
        <v>246</v>
      </c>
      <c r="W13" s="30" t="s">
        <v>246</v>
      </c>
      <c r="X13" s="475"/>
      <c r="Y13" s="475"/>
      <c r="Z13" s="476"/>
      <c r="AA13" s="451"/>
    </row>
    <row r="14" spans="1:29" s="14" customFormat="1" ht="24">
      <c r="A14" s="7" t="s">
        <v>156</v>
      </c>
      <c r="B14" s="647" t="s">
        <v>694</v>
      </c>
      <c r="C14" s="647"/>
      <c r="D14" s="647"/>
      <c r="E14" s="647"/>
      <c r="F14" s="647"/>
      <c r="G14" s="647"/>
      <c r="H14" s="647"/>
      <c r="I14" s="132">
        <v>10</v>
      </c>
      <c r="J14" s="133" t="s">
        <v>614</v>
      </c>
      <c r="K14" s="10"/>
      <c r="L14" s="30"/>
      <c r="M14" s="30"/>
      <c r="N14" s="30"/>
      <c r="O14" s="30"/>
      <c r="P14" s="30"/>
      <c r="Q14" s="30"/>
      <c r="R14" s="30"/>
      <c r="S14" s="30"/>
      <c r="T14" s="30" t="s">
        <v>246</v>
      </c>
      <c r="U14" s="30" t="s">
        <v>246</v>
      </c>
      <c r="V14" s="30" t="s">
        <v>246</v>
      </c>
      <c r="W14" s="30" t="s">
        <v>246</v>
      </c>
      <c r="X14" s="468"/>
      <c r="Y14" s="468"/>
      <c r="Z14" s="469"/>
      <c r="AA14" s="451"/>
    </row>
    <row r="15" spans="1:29"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9"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129B-C782-481D-9691-3C013D7DAD3D}">
  <dimension ref="A1:AC18"/>
  <sheetViews>
    <sheetView rightToLeft="1" zoomScale="70" zoomScaleNormal="70" zoomScaleSheetLayoutView="70" workbookViewId="0">
      <selection activeCell="J10" sqref="J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673</v>
      </c>
      <c r="B3" s="456"/>
      <c r="C3" s="456"/>
      <c r="D3" s="456"/>
      <c r="E3" s="456"/>
      <c r="F3" s="456"/>
      <c r="G3" s="457" t="s">
        <v>3</v>
      </c>
      <c r="H3" s="457"/>
      <c r="I3" s="458" t="s">
        <v>674</v>
      </c>
      <c r="J3" s="458"/>
      <c r="K3" s="458"/>
      <c r="L3" s="458"/>
      <c r="M3" s="458"/>
      <c r="N3" s="458"/>
      <c r="O3" s="458"/>
      <c r="P3" s="458"/>
      <c r="Q3" s="458"/>
      <c r="R3" s="458"/>
      <c r="S3" s="458"/>
      <c r="T3" s="458"/>
      <c r="U3" s="458"/>
      <c r="V3" s="458"/>
      <c r="W3" s="458"/>
      <c r="X3" s="458"/>
      <c r="Y3" s="458"/>
      <c r="Z3" s="459"/>
      <c r="AA3" s="451"/>
    </row>
    <row r="4" spans="1:29" s="3" customFormat="1" ht="28.5" customHeight="1">
      <c r="A4" s="460" t="s">
        <v>675</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666</v>
      </c>
      <c r="H5" s="456"/>
      <c r="I5" s="456" t="s">
        <v>646</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676</v>
      </c>
      <c r="C8" s="647"/>
      <c r="D8" s="647"/>
      <c r="E8" s="647"/>
      <c r="F8" s="647"/>
      <c r="G8" s="647"/>
      <c r="H8" s="647"/>
      <c r="I8" s="132">
        <v>20</v>
      </c>
      <c r="J8" s="133" t="s">
        <v>677</v>
      </c>
      <c r="K8" s="10"/>
      <c r="L8" s="30"/>
      <c r="M8" s="30"/>
      <c r="N8" s="30" t="s">
        <v>246</v>
      </c>
      <c r="O8" s="30"/>
      <c r="P8" s="30"/>
      <c r="Q8" s="30"/>
      <c r="R8" s="30"/>
      <c r="S8" s="30"/>
      <c r="T8" s="30"/>
      <c r="U8" s="30"/>
      <c r="V8" s="30"/>
      <c r="W8" s="30"/>
      <c r="X8" s="475"/>
      <c r="Y8" s="475"/>
      <c r="Z8" s="476"/>
      <c r="AA8" s="451"/>
      <c r="AC8" s="14">
        <v>20</v>
      </c>
    </row>
    <row r="9" spans="1:29" s="14" customFormat="1" ht="24">
      <c r="A9" s="7" t="s">
        <v>66</v>
      </c>
      <c r="B9" s="647" t="s">
        <v>678</v>
      </c>
      <c r="C9" s="647"/>
      <c r="D9" s="647"/>
      <c r="E9" s="647"/>
      <c r="F9" s="647"/>
      <c r="G9" s="647"/>
      <c r="H9" s="647"/>
      <c r="I9" s="132">
        <v>30</v>
      </c>
      <c r="J9" s="133" t="s">
        <v>614</v>
      </c>
      <c r="K9" s="10"/>
      <c r="L9" s="30"/>
      <c r="M9" s="30" t="s">
        <v>246</v>
      </c>
      <c r="N9" s="30" t="s">
        <v>246</v>
      </c>
      <c r="O9" s="30" t="s">
        <v>246</v>
      </c>
      <c r="P9" s="30" t="s">
        <v>246</v>
      </c>
      <c r="Q9" s="30" t="s">
        <v>246</v>
      </c>
      <c r="R9" s="30" t="s">
        <v>246</v>
      </c>
      <c r="S9" s="30" t="s">
        <v>246</v>
      </c>
      <c r="T9" s="30" t="s">
        <v>246</v>
      </c>
      <c r="U9" s="30" t="s">
        <v>246</v>
      </c>
      <c r="V9" s="30" t="s">
        <v>246</v>
      </c>
      <c r="W9" s="30" t="s">
        <v>246</v>
      </c>
      <c r="X9" s="475"/>
      <c r="Y9" s="475"/>
      <c r="Z9" s="476"/>
      <c r="AA9" s="451"/>
      <c r="AC9" s="14">
        <f>(I9/11)*2</f>
        <v>5.4545454545454541</v>
      </c>
    </row>
    <row r="10" spans="1:29" s="14" customFormat="1" ht="45">
      <c r="A10" s="7" t="s">
        <v>68</v>
      </c>
      <c r="B10" s="732" t="s">
        <v>679</v>
      </c>
      <c r="C10" s="647"/>
      <c r="D10" s="647"/>
      <c r="E10" s="647"/>
      <c r="F10" s="647"/>
      <c r="G10" s="647"/>
      <c r="H10" s="647"/>
      <c r="I10" s="132">
        <v>30</v>
      </c>
      <c r="J10" s="133" t="s">
        <v>680</v>
      </c>
      <c r="K10" s="10"/>
      <c r="L10" s="30"/>
      <c r="M10" s="30"/>
      <c r="N10" s="30"/>
      <c r="O10" s="30" t="s">
        <v>246</v>
      </c>
      <c r="P10" s="30"/>
      <c r="Q10" s="30"/>
      <c r="R10" s="30"/>
      <c r="S10" s="30" t="s">
        <v>246</v>
      </c>
      <c r="T10" s="30"/>
      <c r="U10" s="30"/>
      <c r="V10" s="30"/>
      <c r="W10" s="30"/>
      <c r="X10" s="468"/>
      <c r="Y10" s="468"/>
      <c r="Z10" s="469"/>
      <c r="AA10" s="451"/>
    </row>
    <row r="11" spans="1:29" s="14" customFormat="1" ht="24">
      <c r="A11" s="7" t="s">
        <v>70</v>
      </c>
      <c r="B11" s="647" t="s">
        <v>681</v>
      </c>
      <c r="C11" s="647"/>
      <c r="D11" s="647"/>
      <c r="E11" s="647"/>
      <c r="F11" s="647"/>
      <c r="G11" s="647"/>
      <c r="H11" s="647"/>
      <c r="I11" s="132">
        <v>10</v>
      </c>
      <c r="J11" s="133" t="s">
        <v>677</v>
      </c>
      <c r="K11" s="10"/>
      <c r="L11" s="30"/>
      <c r="M11" s="30"/>
      <c r="N11" s="30" t="s">
        <v>246</v>
      </c>
      <c r="P11" s="30"/>
      <c r="Q11" s="30" t="s">
        <v>246</v>
      </c>
      <c r="R11" s="30"/>
      <c r="S11" s="30"/>
      <c r="T11" s="30" t="s">
        <v>246</v>
      </c>
      <c r="U11" s="30"/>
      <c r="V11" s="30"/>
      <c r="W11" s="30" t="s">
        <v>246</v>
      </c>
      <c r="X11" s="468"/>
      <c r="Y11" s="468"/>
      <c r="Z11" s="469"/>
      <c r="AA11" s="451"/>
      <c r="AC11" s="14">
        <f>(I11/4)*1</f>
        <v>2.5</v>
      </c>
    </row>
    <row r="12" spans="1:29" s="14" customFormat="1" ht="24">
      <c r="A12" s="7" t="s">
        <v>153</v>
      </c>
      <c r="B12" s="647" t="s">
        <v>682</v>
      </c>
      <c r="C12" s="647"/>
      <c r="D12" s="647"/>
      <c r="E12" s="647"/>
      <c r="F12" s="647"/>
      <c r="G12" s="647"/>
      <c r="H12" s="647"/>
      <c r="I12" s="132">
        <v>10</v>
      </c>
      <c r="J12" s="133" t="s">
        <v>683</v>
      </c>
      <c r="K12" s="10"/>
      <c r="L12" s="30"/>
      <c r="M12" s="30"/>
      <c r="N12" s="30"/>
      <c r="O12" s="30"/>
      <c r="P12" s="30" t="s">
        <v>246</v>
      </c>
      <c r="Q12" s="30" t="s">
        <v>246</v>
      </c>
      <c r="R12" s="30" t="s">
        <v>246</v>
      </c>
      <c r="S12" s="30" t="s">
        <v>246</v>
      </c>
      <c r="T12" s="30" t="s">
        <v>246</v>
      </c>
      <c r="U12" s="30" t="s">
        <v>246</v>
      </c>
      <c r="V12" s="30" t="s">
        <v>246</v>
      </c>
      <c r="W12" s="30" t="s">
        <v>246</v>
      </c>
      <c r="X12" s="475"/>
      <c r="Y12" s="475"/>
      <c r="Z12" s="476"/>
      <c r="AA12" s="451"/>
    </row>
    <row r="13" spans="1:29"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29" s="20" customFormat="1" ht="28.5">
      <c r="A14" s="494"/>
      <c r="B14" s="495"/>
      <c r="C14" s="495"/>
      <c r="D14" s="495"/>
      <c r="E14" s="496"/>
      <c r="F14" s="503"/>
      <c r="G14" s="504"/>
      <c r="H14" s="504"/>
      <c r="I14" s="504"/>
      <c r="J14" s="505"/>
      <c r="K14" s="486" t="s">
        <v>47</v>
      </c>
      <c r="L14" s="486" t="s">
        <v>684</v>
      </c>
      <c r="M14" s="486"/>
      <c r="N14" s="486"/>
      <c r="O14" s="477"/>
      <c r="P14" s="478"/>
      <c r="Q14" s="478"/>
      <c r="R14" s="478"/>
      <c r="S14" s="478"/>
      <c r="T14" s="478"/>
      <c r="U14" s="478"/>
      <c r="V14" s="478"/>
      <c r="W14" s="512"/>
      <c r="X14" s="477"/>
      <c r="Y14" s="478"/>
      <c r="Z14" s="479"/>
    </row>
    <row r="15" spans="1:29"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9"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X11:Z11"/>
    <mergeCell ref="B12:H12"/>
    <mergeCell ref="X12:Z12"/>
    <mergeCell ref="A13:E13"/>
    <mergeCell ref="F13:J13"/>
    <mergeCell ref="K13:N13"/>
    <mergeCell ref="O13:W13"/>
    <mergeCell ref="X13:Z13"/>
  </mergeCells>
  <printOptions horizontalCentered="1" verticalCentered="1"/>
  <pageMargins left="0" right="0" top="0" bottom="0" header="0" footer="0"/>
  <pageSetup scale="40" orientation="landscape"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D0E4-3590-436D-A350-1C5F88C203B3}">
  <dimension ref="A1:AC17"/>
  <sheetViews>
    <sheetView rightToLeft="1" zoomScale="70" zoomScaleNormal="70" zoomScaleSheetLayoutView="10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664</v>
      </c>
      <c r="B3" s="456"/>
      <c r="C3" s="456"/>
      <c r="D3" s="456"/>
      <c r="E3" s="456"/>
      <c r="F3" s="456"/>
      <c r="G3" s="457" t="s">
        <v>3</v>
      </c>
      <c r="H3" s="457"/>
      <c r="I3" s="458" t="s">
        <v>665</v>
      </c>
      <c r="J3" s="458"/>
      <c r="K3" s="458"/>
      <c r="L3" s="458"/>
      <c r="M3" s="458"/>
      <c r="N3" s="458"/>
      <c r="O3" s="458"/>
      <c r="P3" s="458"/>
      <c r="Q3" s="458"/>
      <c r="R3" s="458"/>
      <c r="S3" s="458"/>
      <c r="T3" s="458"/>
      <c r="U3" s="458"/>
      <c r="V3" s="458"/>
      <c r="W3" s="458"/>
      <c r="X3" s="458"/>
      <c r="Y3" s="458"/>
      <c r="Z3" s="459"/>
      <c r="AA3" s="451"/>
    </row>
    <row r="4" spans="1:29" s="3" customFormat="1" ht="28.5" customHeight="1">
      <c r="A4" s="460" t="s">
        <v>625</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666</v>
      </c>
      <c r="H5" s="456"/>
      <c r="I5" s="456" t="s">
        <v>667</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668</v>
      </c>
      <c r="C8" s="647"/>
      <c r="D8" s="647"/>
      <c r="E8" s="647"/>
      <c r="F8" s="647"/>
      <c r="G8" s="647"/>
      <c r="H8" s="647"/>
      <c r="I8" s="132">
        <v>20</v>
      </c>
      <c r="J8" s="133" t="s">
        <v>669</v>
      </c>
      <c r="K8" s="10"/>
      <c r="L8" s="30"/>
      <c r="M8" s="30" t="s">
        <v>246</v>
      </c>
      <c r="N8" s="30" t="s">
        <v>246</v>
      </c>
      <c r="O8" s="30" t="s">
        <v>246</v>
      </c>
      <c r="P8" s="30" t="s">
        <v>246</v>
      </c>
      <c r="Q8" s="30" t="s">
        <v>246</v>
      </c>
      <c r="R8" s="30" t="s">
        <v>246</v>
      </c>
      <c r="S8" s="30" t="s">
        <v>246</v>
      </c>
      <c r="T8" s="30" t="s">
        <v>246</v>
      </c>
      <c r="U8" s="30" t="s">
        <v>246</v>
      </c>
      <c r="V8" s="30" t="s">
        <v>246</v>
      </c>
      <c r="W8" s="30" t="s">
        <v>246</v>
      </c>
      <c r="X8" s="475"/>
      <c r="Y8" s="475"/>
      <c r="Z8" s="476"/>
      <c r="AA8" s="451"/>
      <c r="AC8" s="14">
        <f>(I8/11)*2</f>
        <v>3.6363636363636362</v>
      </c>
    </row>
    <row r="9" spans="1:29" s="14" customFormat="1" ht="24">
      <c r="A9" s="7" t="s">
        <v>66</v>
      </c>
      <c r="B9" s="647" t="s">
        <v>670</v>
      </c>
      <c r="C9" s="647"/>
      <c r="D9" s="647"/>
      <c r="E9" s="647"/>
      <c r="F9" s="647"/>
      <c r="G9" s="647"/>
      <c r="H9" s="647"/>
      <c r="I9" s="132">
        <v>20</v>
      </c>
      <c r="J9" s="133" t="s">
        <v>614</v>
      </c>
      <c r="K9" s="10"/>
      <c r="L9" s="30"/>
      <c r="M9" s="30" t="s">
        <v>246</v>
      </c>
      <c r="N9" s="30"/>
      <c r="O9" s="30"/>
      <c r="P9" s="30" t="s">
        <v>246</v>
      </c>
      <c r="Q9" s="30"/>
      <c r="R9" s="30"/>
      <c r="S9" s="30" t="s">
        <v>246</v>
      </c>
      <c r="T9" s="30"/>
      <c r="U9" s="30"/>
      <c r="V9" s="30" t="s">
        <v>246</v>
      </c>
      <c r="W9" s="30"/>
      <c r="X9" s="475"/>
      <c r="Y9" s="475"/>
      <c r="Z9" s="476"/>
      <c r="AA9" s="451"/>
      <c r="AC9" s="14">
        <f>(I9/4)*1</f>
        <v>5</v>
      </c>
    </row>
    <row r="10" spans="1:29" s="14" customFormat="1" ht="24">
      <c r="A10" s="7" t="s">
        <v>68</v>
      </c>
      <c r="B10" s="732" t="s">
        <v>671</v>
      </c>
      <c r="C10" s="647"/>
      <c r="D10" s="647"/>
      <c r="E10" s="647"/>
      <c r="F10" s="647"/>
      <c r="G10" s="647"/>
      <c r="H10" s="647"/>
      <c r="I10" s="132">
        <v>40</v>
      </c>
      <c r="J10" s="133" t="s">
        <v>614</v>
      </c>
      <c r="K10" s="10"/>
      <c r="L10" s="30"/>
      <c r="M10" s="30"/>
      <c r="N10" s="30"/>
      <c r="O10" s="30" t="s">
        <v>246</v>
      </c>
      <c r="P10" s="30" t="s">
        <v>246</v>
      </c>
      <c r="Q10" s="30" t="s">
        <v>246</v>
      </c>
      <c r="R10" s="30" t="s">
        <v>246</v>
      </c>
      <c r="S10" s="30" t="s">
        <v>246</v>
      </c>
      <c r="T10" s="30" t="s">
        <v>246</v>
      </c>
      <c r="U10" s="30" t="s">
        <v>246</v>
      </c>
      <c r="V10" s="30" t="s">
        <v>246</v>
      </c>
      <c r="W10" s="30" t="s">
        <v>246</v>
      </c>
      <c r="X10" s="468"/>
      <c r="Y10" s="468"/>
      <c r="Z10" s="469"/>
      <c r="AA10" s="451"/>
    </row>
    <row r="11" spans="1:29" s="14" customFormat="1" ht="24">
      <c r="A11" s="7" t="s">
        <v>70</v>
      </c>
      <c r="B11" s="647" t="s">
        <v>672</v>
      </c>
      <c r="C11" s="647"/>
      <c r="D11" s="647"/>
      <c r="E11" s="647"/>
      <c r="F11" s="647"/>
      <c r="G11" s="647"/>
      <c r="H11" s="647"/>
      <c r="I11" s="132">
        <v>20</v>
      </c>
      <c r="J11" s="133" t="s">
        <v>614</v>
      </c>
      <c r="K11" s="10"/>
      <c r="L11" s="30"/>
      <c r="M11" s="30"/>
      <c r="N11" s="30" t="s">
        <v>246</v>
      </c>
      <c r="P11" s="30"/>
      <c r="Q11" s="30" t="s">
        <v>246</v>
      </c>
      <c r="R11" s="30"/>
      <c r="S11" s="30"/>
      <c r="T11" s="30" t="s">
        <v>246</v>
      </c>
      <c r="U11" s="30"/>
      <c r="V11" s="30"/>
      <c r="W11" s="30" t="s">
        <v>246</v>
      </c>
      <c r="X11" s="468"/>
      <c r="Y11" s="468"/>
      <c r="Z11" s="469"/>
      <c r="AA11" s="451"/>
    </row>
    <row r="12" spans="1:29" ht="57.75" customHeight="1">
      <c r="A12" s="488" t="s">
        <v>42</v>
      </c>
      <c r="B12" s="489"/>
      <c r="C12" s="489"/>
      <c r="D12" s="489"/>
      <c r="E12" s="490"/>
      <c r="F12" s="472" t="s">
        <v>43</v>
      </c>
      <c r="G12" s="472"/>
      <c r="H12" s="472"/>
      <c r="I12" s="472"/>
      <c r="J12" s="472"/>
      <c r="K12" s="472" t="s">
        <v>44</v>
      </c>
      <c r="L12" s="472"/>
      <c r="M12" s="472"/>
      <c r="N12" s="472"/>
      <c r="O12" s="491" t="s">
        <v>45</v>
      </c>
      <c r="P12" s="492"/>
      <c r="Q12" s="492"/>
      <c r="R12" s="492"/>
      <c r="S12" s="492"/>
      <c r="T12" s="492"/>
      <c r="U12" s="492"/>
      <c r="V12" s="492"/>
      <c r="W12" s="493"/>
      <c r="X12" s="472" t="s">
        <v>46</v>
      </c>
      <c r="Y12" s="472"/>
      <c r="Z12" s="472"/>
      <c r="AA12" s="451"/>
    </row>
    <row r="13" spans="1:29" s="20" customFormat="1" ht="28.5">
      <c r="A13" s="494"/>
      <c r="B13" s="495"/>
      <c r="C13" s="495"/>
      <c r="D13" s="495"/>
      <c r="E13" s="496"/>
      <c r="F13" s="503"/>
      <c r="G13" s="504"/>
      <c r="H13" s="504"/>
      <c r="I13" s="504"/>
      <c r="J13" s="505"/>
      <c r="K13" s="486" t="s">
        <v>47</v>
      </c>
      <c r="L13" s="486"/>
      <c r="M13" s="486"/>
      <c r="N13" s="486"/>
      <c r="O13" s="477"/>
      <c r="P13" s="478"/>
      <c r="Q13" s="478"/>
      <c r="R13" s="478"/>
      <c r="S13" s="478"/>
      <c r="T13" s="478"/>
      <c r="U13" s="478"/>
      <c r="V13" s="478"/>
      <c r="W13" s="512"/>
      <c r="X13" s="477"/>
      <c r="Y13" s="478"/>
      <c r="Z13" s="479"/>
    </row>
    <row r="14" spans="1:29" s="20" customFormat="1" ht="28.5">
      <c r="A14" s="497"/>
      <c r="B14" s="498"/>
      <c r="C14" s="498"/>
      <c r="D14" s="498"/>
      <c r="E14" s="499"/>
      <c r="F14" s="506"/>
      <c r="G14" s="507"/>
      <c r="H14" s="507"/>
      <c r="I14" s="507"/>
      <c r="J14" s="508"/>
      <c r="K14" s="486"/>
      <c r="L14" s="486"/>
      <c r="M14" s="486"/>
      <c r="N14" s="486"/>
      <c r="O14" s="480"/>
      <c r="P14" s="481"/>
      <c r="Q14" s="481"/>
      <c r="R14" s="481"/>
      <c r="S14" s="481"/>
      <c r="T14" s="481"/>
      <c r="U14" s="481"/>
      <c r="V14" s="481"/>
      <c r="W14" s="513"/>
      <c r="X14" s="480"/>
      <c r="Y14" s="481"/>
      <c r="Z14" s="482"/>
    </row>
    <row r="15" spans="1:29" s="20" customFormat="1" ht="28.5">
      <c r="A15" s="497"/>
      <c r="B15" s="498"/>
      <c r="C15" s="498"/>
      <c r="D15" s="498"/>
      <c r="E15" s="499"/>
      <c r="F15" s="506"/>
      <c r="G15" s="507"/>
      <c r="H15" s="507"/>
      <c r="I15" s="507"/>
      <c r="J15" s="508"/>
      <c r="K15" s="486" t="s">
        <v>48</v>
      </c>
      <c r="L15" s="486"/>
      <c r="M15" s="486"/>
      <c r="N15" s="486"/>
      <c r="O15" s="480"/>
      <c r="P15" s="481"/>
      <c r="Q15" s="481"/>
      <c r="R15" s="481"/>
      <c r="S15" s="481"/>
      <c r="T15" s="481"/>
      <c r="U15" s="481"/>
      <c r="V15" s="481"/>
      <c r="W15" s="513"/>
      <c r="X15" s="480"/>
      <c r="Y15" s="481"/>
      <c r="Z15" s="482"/>
    </row>
    <row r="16" spans="1:29" s="20" customFormat="1" ht="29.25" thickBot="1">
      <c r="A16" s="500"/>
      <c r="B16" s="501"/>
      <c r="C16" s="501"/>
      <c r="D16" s="501"/>
      <c r="E16" s="502"/>
      <c r="F16" s="509"/>
      <c r="G16" s="510"/>
      <c r="H16" s="510"/>
      <c r="I16" s="510"/>
      <c r="J16" s="511"/>
      <c r="K16" s="487"/>
      <c r="L16" s="487"/>
      <c r="M16" s="487"/>
      <c r="N16" s="487"/>
      <c r="O16" s="483"/>
      <c r="P16" s="484"/>
      <c r="Q16" s="484"/>
      <c r="R16" s="484"/>
      <c r="S16" s="484"/>
      <c r="T16" s="484"/>
      <c r="U16" s="484"/>
      <c r="V16" s="484"/>
      <c r="W16" s="514"/>
      <c r="X16" s="483"/>
      <c r="Y16" s="484"/>
      <c r="Z16" s="485"/>
    </row>
    <row r="17" ht="18.75" thickTop="1"/>
  </sheetData>
  <mergeCells count="38">
    <mergeCell ref="O13:W16"/>
    <mergeCell ref="A1:Y1"/>
    <mergeCell ref="AA1:AA12"/>
    <mergeCell ref="A2:Z2"/>
    <mergeCell ref="A3:F3"/>
    <mergeCell ref="G3:H3"/>
    <mergeCell ref="I3:Z4"/>
    <mergeCell ref="A4:F5"/>
    <mergeCell ref="G4:H4"/>
    <mergeCell ref="G5:H5"/>
    <mergeCell ref="I5:Z5"/>
    <mergeCell ref="B10:H10"/>
    <mergeCell ref="X10:Z10"/>
    <mergeCell ref="A6:A7"/>
    <mergeCell ref="B6:H7"/>
    <mergeCell ref="I6:I7"/>
    <mergeCell ref="K6:K7"/>
    <mergeCell ref="L6:W6"/>
    <mergeCell ref="X6:Z7"/>
    <mergeCell ref="B8:H8"/>
    <mergeCell ref="X8:Z8"/>
    <mergeCell ref="J6:J7"/>
    <mergeCell ref="B9:H9"/>
    <mergeCell ref="X9:Z9"/>
    <mergeCell ref="X13:Z16"/>
    <mergeCell ref="K15:K16"/>
    <mergeCell ref="L15:N16"/>
    <mergeCell ref="B11:H11"/>
    <mergeCell ref="X11:Z11"/>
    <mergeCell ref="A12:E12"/>
    <mergeCell ref="F12:J12"/>
    <mergeCell ref="K12:N12"/>
    <mergeCell ref="O12:W12"/>
    <mergeCell ref="X12:Z12"/>
    <mergeCell ref="A13:E16"/>
    <mergeCell ref="F13:J16"/>
    <mergeCell ref="K13:K14"/>
    <mergeCell ref="L13:N14"/>
  </mergeCells>
  <printOptions horizontalCentered="1" verticalCentered="1"/>
  <pageMargins left="0" right="0" top="0" bottom="0" header="0" footer="0"/>
  <pageSetup scale="40" orientation="landscape"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DDE8-93BB-4EBD-B29F-166D907733B3}">
  <dimension ref="A1:AC16"/>
  <sheetViews>
    <sheetView rightToLeft="1" zoomScale="70" zoomScaleNormal="70" zoomScaleSheetLayoutView="10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654</v>
      </c>
      <c r="B3" s="456"/>
      <c r="C3" s="456"/>
      <c r="D3" s="456"/>
      <c r="E3" s="456"/>
      <c r="F3" s="456"/>
      <c r="G3" s="457" t="s">
        <v>3</v>
      </c>
      <c r="H3" s="457"/>
      <c r="I3" s="458" t="s">
        <v>655</v>
      </c>
      <c r="J3" s="458"/>
      <c r="K3" s="458"/>
      <c r="L3" s="458"/>
      <c r="M3" s="458"/>
      <c r="N3" s="458"/>
      <c r="O3" s="458"/>
      <c r="P3" s="458"/>
      <c r="Q3" s="458"/>
      <c r="R3" s="458"/>
      <c r="S3" s="458"/>
      <c r="T3" s="458"/>
      <c r="U3" s="458"/>
      <c r="V3" s="458"/>
      <c r="W3" s="458"/>
      <c r="X3" s="458"/>
      <c r="Y3" s="458"/>
      <c r="Z3" s="459"/>
      <c r="AA3" s="451"/>
    </row>
    <row r="4" spans="1:29" s="3" customFormat="1" ht="28.5" customHeight="1">
      <c r="A4" s="460" t="s">
        <v>656</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657</v>
      </c>
      <c r="H5" s="456"/>
      <c r="I5" s="456" t="s">
        <v>658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659</v>
      </c>
      <c r="C8" s="647"/>
      <c r="D8" s="647"/>
      <c r="E8" s="647"/>
      <c r="F8" s="647"/>
      <c r="G8" s="647"/>
      <c r="H8" s="647"/>
      <c r="I8" s="132">
        <v>10</v>
      </c>
      <c r="J8" s="133" t="s">
        <v>614</v>
      </c>
      <c r="K8" s="10"/>
      <c r="L8" s="30"/>
      <c r="M8" s="30"/>
      <c r="N8" s="30" t="s">
        <v>246</v>
      </c>
      <c r="O8" s="30"/>
      <c r="P8" s="30"/>
      <c r="Q8" s="30"/>
      <c r="R8" s="30"/>
      <c r="S8" s="30"/>
      <c r="T8" s="30"/>
      <c r="U8" s="30"/>
      <c r="V8" s="30"/>
      <c r="W8" s="30"/>
      <c r="X8" s="475"/>
      <c r="Y8" s="475"/>
      <c r="Z8" s="476"/>
      <c r="AA8" s="451"/>
      <c r="AC8" s="14">
        <v>10</v>
      </c>
    </row>
    <row r="9" spans="1:29" s="14" customFormat="1" ht="24">
      <c r="A9" s="7" t="s">
        <v>66</v>
      </c>
      <c r="B9" s="647" t="s">
        <v>660</v>
      </c>
      <c r="C9" s="647"/>
      <c r="D9" s="647"/>
      <c r="E9" s="647"/>
      <c r="F9" s="647"/>
      <c r="G9" s="647"/>
      <c r="H9" s="647"/>
      <c r="I9" s="132">
        <v>50</v>
      </c>
      <c r="J9" s="133" t="s">
        <v>614</v>
      </c>
      <c r="K9" s="10"/>
      <c r="L9" s="30"/>
      <c r="N9" s="30" t="s">
        <v>246</v>
      </c>
      <c r="O9" s="30" t="s">
        <v>246</v>
      </c>
      <c r="P9" s="30" t="s">
        <v>246</v>
      </c>
      <c r="Q9" s="30" t="s">
        <v>246</v>
      </c>
      <c r="R9" s="30" t="s">
        <v>246</v>
      </c>
      <c r="S9" s="30" t="s">
        <v>246</v>
      </c>
      <c r="T9" s="30" t="s">
        <v>246</v>
      </c>
      <c r="U9" s="30" t="s">
        <v>246</v>
      </c>
      <c r="V9" s="30" t="s">
        <v>246</v>
      </c>
      <c r="W9" s="30"/>
      <c r="X9" s="475"/>
      <c r="Y9" s="475"/>
      <c r="Z9" s="476"/>
      <c r="AA9" s="451"/>
      <c r="AC9" s="14">
        <f>(I9/9)*1</f>
        <v>5.5555555555555554</v>
      </c>
    </row>
    <row r="10" spans="1:29" s="14" customFormat="1" ht="24">
      <c r="A10" s="7" t="s">
        <v>68</v>
      </c>
      <c r="B10" s="647" t="s">
        <v>661</v>
      </c>
      <c r="C10" s="647"/>
      <c r="D10" s="647"/>
      <c r="E10" s="647"/>
      <c r="F10" s="647"/>
      <c r="G10" s="647"/>
      <c r="H10" s="647"/>
      <c r="I10" s="132">
        <v>40</v>
      </c>
      <c r="J10" s="133" t="s">
        <v>662</v>
      </c>
      <c r="K10" s="10"/>
      <c r="L10" s="30"/>
      <c r="M10" s="30"/>
      <c r="N10" s="30"/>
      <c r="O10" s="30"/>
      <c r="P10" s="30"/>
      <c r="Q10" s="30" t="s">
        <v>246</v>
      </c>
      <c r="R10" s="30" t="s">
        <v>246</v>
      </c>
      <c r="S10" s="30" t="s">
        <v>246</v>
      </c>
      <c r="T10" s="30" t="s">
        <v>246</v>
      </c>
      <c r="U10" s="30" t="s">
        <v>246</v>
      </c>
      <c r="V10" s="30" t="s">
        <v>246</v>
      </c>
      <c r="W10" s="30"/>
      <c r="X10" s="468"/>
      <c r="Y10" s="468"/>
      <c r="Z10" s="469"/>
      <c r="AA10" s="451"/>
    </row>
    <row r="11" spans="1:29" ht="57.75" customHeight="1">
      <c r="A11" s="488" t="s">
        <v>42</v>
      </c>
      <c r="B11" s="489"/>
      <c r="C11" s="489"/>
      <c r="D11" s="489"/>
      <c r="E11" s="490"/>
      <c r="F11" s="472" t="s">
        <v>43</v>
      </c>
      <c r="G11" s="472"/>
      <c r="H11" s="472"/>
      <c r="I11" s="472"/>
      <c r="J11" s="472"/>
      <c r="K11" s="472" t="s">
        <v>44</v>
      </c>
      <c r="L11" s="472"/>
      <c r="M11" s="472"/>
      <c r="N11" s="472"/>
      <c r="O11" s="491" t="s">
        <v>45</v>
      </c>
      <c r="P11" s="492"/>
      <c r="Q11" s="492"/>
      <c r="R11" s="492"/>
      <c r="S11" s="492"/>
      <c r="T11" s="492"/>
      <c r="U11" s="492"/>
      <c r="V11" s="492"/>
      <c r="W11" s="493"/>
      <c r="X11" s="472" t="s">
        <v>46</v>
      </c>
      <c r="Y11" s="472"/>
      <c r="Z11" s="472"/>
      <c r="AA11" s="451"/>
    </row>
    <row r="12" spans="1:29" s="20" customFormat="1" ht="28.5">
      <c r="A12" s="494"/>
      <c r="B12" s="495"/>
      <c r="C12" s="495"/>
      <c r="D12" s="495"/>
      <c r="E12" s="496"/>
      <c r="F12" s="503"/>
      <c r="G12" s="504"/>
      <c r="H12" s="504"/>
      <c r="I12" s="504"/>
      <c r="J12" s="505"/>
      <c r="K12" s="486" t="s">
        <v>47</v>
      </c>
      <c r="L12" s="486" t="s">
        <v>663</v>
      </c>
      <c r="M12" s="486"/>
      <c r="N12" s="486"/>
      <c r="O12" s="477"/>
      <c r="P12" s="478"/>
      <c r="Q12" s="478"/>
      <c r="R12" s="478"/>
      <c r="S12" s="478"/>
      <c r="T12" s="478"/>
      <c r="U12" s="478"/>
      <c r="V12" s="478"/>
      <c r="W12" s="512"/>
      <c r="X12" s="477"/>
      <c r="Y12" s="478"/>
      <c r="Z12" s="479"/>
    </row>
    <row r="13" spans="1:29" s="20" customFormat="1" ht="28.5">
      <c r="A13" s="497"/>
      <c r="B13" s="498"/>
      <c r="C13" s="498"/>
      <c r="D13" s="498"/>
      <c r="E13" s="499"/>
      <c r="F13" s="506"/>
      <c r="G13" s="507"/>
      <c r="H13" s="507"/>
      <c r="I13" s="507"/>
      <c r="J13" s="508"/>
      <c r="K13" s="486"/>
      <c r="L13" s="486"/>
      <c r="M13" s="486"/>
      <c r="N13" s="486"/>
      <c r="O13" s="480"/>
      <c r="P13" s="481"/>
      <c r="Q13" s="481"/>
      <c r="R13" s="481"/>
      <c r="S13" s="481"/>
      <c r="T13" s="481"/>
      <c r="U13" s="481"/>
      <c r="V13" s="481"/>
      <c r="W13" s="513"/>
      <c r="X13" s="480"/>
      <c r="Y13" s="481"/>
      <c r="Z13" s="482"/>
    </row>
    <row r="14" spans="1:29" s="20" customFormat="1" ht="28.5">
      <c r="A14" s="497"/>
      <c r="B14" s="498"/>
      <c r="C14" s="498"/>
      <c r="D14" s="498"/>
      <c r="E14" s="499"/>
      <c r="F14" s="506"/>
      <c r="G14" s="507"/>
      <c r="H14" s="507"/>
      <c r="I14" s="507"/>
      <c r="J14" s="508"/>
      <c r="K14" s="486" t="s">
        <v>48</v>
      </c>
      <c r="L14" s="486"/>
      <c r="M14" s="486"/>
      <c r="N14" s="486"/>
      <c r="O14" s="480"/>
      <c r="P14" s="481"/>
      <c r="Q14" s="481"/>
      <c r="R14" s="481"/>
      <c r="S14" s="481"/>
      <c r="T14" s="481"/>
      <c r="U14" s="481"/>
      <c r="V14" s="481"/>
      <c r="W14" s="513"/>
      <c r="X14" s="480"/>
      <c r="Y14" s="481"/>
      <c r="Z14" s="482"/>
    </row>
    <row r="15" spans="1:29" s="20" customFormat="1" ht="29.25" thickBot="1">
      <c r="A15" s="500"/>
      <c r="B15" s="501"/>
      <c r="C15" s="501"/>
      <c r="D15" s="501"/>
      <c r="E15" s="502"/>
      <c r="F15" s="509"/>
      <c r="G15" s="510"/>
      <c r="H15" s="510"/>
      <c r="I15" s="510"/>
      <c r="J15" s="511"/>
      <c r="K15" s="487"/>
      <c r="L15" s="487"/>
      <c r="M15" s="487"/>
      <c r="N15" s="487"/>
      <c r="O15" s="483"/>
      <c r="P15" s="484"/>
      <c r="Q15" s="484"/>
      <c r="R15" s="484"/>
      <c r="S15" s="484"/>
      <c r="T15" s="484"/>
      <c r="U15" s="484"/>
      <c r="V15" s="484"/>
      <c r="W15" s="514"/>
      <c r="X15" s="483"/>
      <c r="Y15" s="484"/>
      <c r="Z15" s="485"/>
    </row>
    <row r="16" spans="1:29" ht="18.75" thickTop="1"/>
  </sheetData>
  <mergeCells count="36">
    <mergeCell ref="A1:Y1"/>
    <mergeCell ref="AA1:AA1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X12:Z15"/>
    <mergeCell ref="K14:K15"/>
    <mergeCell ref="L14:N15"/>
    <mergeCell ref="A11:E11"/>
    <mergeCell ref="F11:J11"/>
    <mergeCell ref="K11:N11"/>
    <mergeCell ref="O11:W11"/>
    <mergeCell ref="X11:Z11"/>
    <mergeCell ref="A12:E15"/>
    <mergeCell ref="F12:J15"/>
    <mergeCell ref="K12:K13"/>
    <mergeCell ref="L12:N13"/>
    <mergeCell ref="O12:W15"/>
  </mergeCells>
  <printOptions horizontalCentered="1" verticalCentered="1"/>
  <pageMargins left="0" right="0" top="0" bottom="0" header="0" footer="0"/>
  <pageSetup scale="40" orientation="landscape"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E8617-25C4-48BD-BB47-1EF25AEDA613}">
  <dimension ref="A1:AC19"/>
  <sheetViews>
    <sheetView rightToLeft="1" zoomScale="70" zoomScaleNormal="70" zoomScaleSheetLayoutView="70" workbookViewId="0">
      <selection activeCell="F30" sqref="F3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644</v>
      </c>
      <c r="B3" s="456"/>
      <c r="C3" s="456"/>
      <c r="D3" s="456"/>
      <c r="E3" s="456"/>
      <c r="F3" s="456"/>
      <c r="G3" s="457" t="s">
        <v>3</v>
      </c>
      <c r="H3" s="457"/>
      <c r="I3" s="458" t="s">
        <v>645</v>
      </c>
      <c r="J3" s="458"/>
      <c r="K3" s="458"/>
      <c r="L3" s="458"/>
      <c r="M3" s="458"/>
      <c r="N3" s="458"/>
      <c r="O3" s="458"/>
      <c r="P3" s="458"/>
      <c r="Q3" s="458"/>
      <c r="R3" s="458"/>
      <c r="S3" s="458"/>
      <c r="T3" s="458"/>
      <c r="U3" s="458"/>
      <c r="V3" s="458"/>
      <c r="W3" s="458"/>
      <c r="X3" s="458"/>
      <c r="Y3" s="458"/>
      <c r="Z3" s="459"/>
      <c r="AA3" s="451"/>
    </row>
    <row r="4" spans="1:29" s="3" customFormat="1" ht="28.5" customHeight="1">
      <c r="A4" s="460" t="s">
        <v>625</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636</v>
      </c>
      <c r="H5" s="456"/>
      <c r="I5" s="456" t="s">
        <v>646</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647</v>
      </c>
      <c r="C8" s="647"/>
      <c r="D8" s="647"/>
      <c r="E8" s="647"/>
      <c r="F8" s="647"/>
      <c r="G8" s="647"/>
      <c r="H8" s="647"/>
      <c r="I8" s="132">
        <v>10</v>
      </c>
      <c r="J8" s="133" t="s">
        <v>614</v>
      </c>
      <c r="K8" s="10"/>
      <c r="L8" s="30"/>
      <c r="M8" s="30" t="s">
        <v>246</v>
      </c>
      <c r="N8" s="30" t="s">
        <v>246</v>
      </c>
      <c r="O8" s="30"/>
      <c r="P8" s="30"/>
      <c r="Q8" s="30"/>
      <c r="R8" s="30"/>
      <c r="S8" s="30"/>
      <c r="T8" s="30"/>
      <c r="U8" s="30"/>
      <c r="V8" s="30"/>
      <c r="W8" s="30"/>
      <c r="X8" s="475"/>
      <c r="Y8" s="475"/>
      <c r="Z8" s="476"/>
      <c r="AA8" s="451"/>
      <c r="AC8" s="14">
        <v>10</v>
      </c>
    </row>
    <row r="9" spans="1:29" s="14" customFormat="1" ht="24">
      <c r="A9" s="7" t="s">
        <v>66</v>
      </c>
      <c r="B9" s="647" t="s">
        <v>648</v>
      </c>
      <c r="C9" s="647"/>
      <c r="D9" s="647"/>
      <c r="E9" s="647"/>
      <c r="F9" s="647"/>
      <c r="G9" s="647"/>
      <c r="H9" s="647"/>
      <c r="I9" s="132">
        <v>10</v>
      </c>
      <c r="J9" s="133" t="s">
        <v>614</v>
      </c>
      <c r="K9" s="10"/>
      <c r="L9" s="30"/>
      <c r="M9" s="30" t="s">
        <v>246</v>
      </c>
      <c r="N9" s="30" t="s">
        <v>246</v>
      </c>
      <c r="O9" s="30"/>
      <c r="P9" s="30"/>
      <c r="Q9" s="30"/>
      <c r="R9" s="30"/>
      <c r="S9" s="30"/>
      <c r="T9" s="30"/>
      <c r="U9" s="30"/>
      <c r="V9" s="30"/>
      <c r="W9" s="30"/>
      <c r="X9" s="475"/>
      <c r="Y9" s="475"/>
      <c r="Z9" s="476"/>
      <c r="AA9" s="451"/>
      <c r="AC9" s="14">
        <v>10</v>
      </c>
    </row>
    <row r="10" spans="1:29" s="14" customFormat="1" ht="24">
      <c r="A10" s="7" t="s">
        <v>68</v>
      </c>
      <c r="B10" s="647" t="s">
        <v>649</v>
      </c>
      <c r="C10" s="647"/>
      <c r="D10" s="647"/>
      <c r="E10" s="647"/>
      <c r="F10" s="647"/>
      <c r="G10" s="647"/>
      <c r="H10" s="647"/>
      <c r="I10" s="132">
        <v>20</v>
      </c>
      <c r="J10" s="133" t="s">
        <v>614</v>
      </c>
      <c r="K10" s="10"/>
      <c r="L10" s="30"/>
      <c r="M10" s="30"/>
      <c r="N10" s="30"/>
      <c r="O10" s="30" t="s">
        <v>246</v>
      </c>
      <c r="P10" s="30"/>
      <c r="Q10" s="30"/>
      <c r="R10" s="30"/>
      <c r="S10" s="30"/>
      <c r="T10" s="30"/>
      <c r="U10" s="30"/>
      <c r="V10" s="30"/>
      <c r="W10" s="30"/>
      <c r="X10" s="468"/>
      <c r="Y10" s="468"/>
      <c r="Z10" s="469"/>
      <c r="AA10" s="451"/>
    </row>
    <row r="11" spans="1:29" s="14" customFormat="1" ht="24">
      <c r="A11" s="7" t="s">
        <v>70</v>
      </c>
      <c r="B11" s="647" t="s">
        <v>650</v>
      </c>
      <c r="C11" s="647"/>
      <c r="D11" s="647"/>
      <c r="E11" s="647"/>
      <c r="F11" s="647"/>
      <c r="G11" s="647"/>
      <c r="H11" s="647"/>
      <c r="I11" s="132">
        <v>20</v>
      </c>
      <c r="J11" s="133" t="s">
        <v>614</v>
      </c>
      <c r="K11" s="10"/>
      <c r="L11" s="30"/>
      <c r="M11" s="30"/>
      <c r="N11" s="30"/>
      <c r="O11" s="30" t="s">
        <v>246</v>
      </c>
      <c r="P11" s="30"/>
      <c r="Q11" s="30"/>
      <c r="R11" s="30"/>
      <c r="S11" s="30"/>
      <c r="T11" s="30"/>
      <c r="U11" s="30"/>
      <c r="V11" s="30"/>
      <c r="W11" s="30"/>
      <c r="X11" s="468"/>
      <c r="Y11" s="468"/>
      <c r="Z11" s="469"/>
      <c r="AA11" s="451"/>
    </row>
    <row r="12" spans="1:29" s="14" customFormat="1" ht="24">
      <c r="A12" s="7" t="s">
        <v>153</v>
      </c>
      <c r="B12" s="647" t="s">
        <v>651</v>
      </c>
      <c r="C12" s="647"/>
      <c r="D12" s="647"/>
      <c r="E12" s="647"/>
      <c r="F12" s="647"/>
      <c r="G12" s="647"/>
      <c r="H12" s="647"/>
      <c r="I12" s="132">
        <v>30</v>
      </c>
      <c r="J12" s="133" t="s">
        <v>652</v>
      </c>
      <c r="K12" s="10"/>
      <c r="L12" s="30"/>
      <c r="M12" s="30"/>
      <c r="N12" s="30"/>
      <c r="O12" s="30" t="s">
        <v>246</v>
      </c>
      <c r="P12" s="30"/>
      <c r="R12" s="30"/>
      <c r="S12" s="30"/>
      <c r="T12" s="30"/>
      <c r="U12" s="30"/>
      <c r="V12" s="30"/>
      <c r="W12" s="30"/>
      <c r="X12" s="475"/>
      <c r="Y12" s="475"/>
      <c r="Z12" s="476"/>
      <c r="AA12" s="451"/>
    </row>
    <row r="13" spans="1:29" s="14" customFormat="1" ht="24">
      <c r="A13" s="7" t="s">
        <v>155</v>
      </c>
      <c r="B13" s="647" t="s">
        <v>653</v>
      </c>
      <c r="C13" s="647"/>
      <c r="D13" s="647"/>
      <c r="E13" s="647"/>
      <c r="F13" s="647"/>
      <c r="G13" s="647"/>
      <c r="H13" s="647"/>
      <c r="I13" s="132">
        <v>10</v>
      </c>
      <c r="J13" s="133" t="s">
        <v>614</v>
      </c>
      <c r="K13" s="10"/>
      <c r="L13" s="30"/>
      <c r="M13" s="30"/>
      <c r="N13" s="30"/>
      <c r="O13" s="30" t="s">
        <v>246</v>
      </c>
      <c r="P13" s="30" t="s">
        <v>246</v>
      </c>
      <c r="Q13" s="30" t="s">
        <v>246</v>
      </c>
      <c r="R13" s="30" t="s">
        <v>246</v>
      </c>
      <c r="S13" s="30" t="s">
        <v>246</v>
      </c>
      <c r="T13" s="30" t="s">
        <v>246</v>
      </c>
      <c r="U13" s="30" t="s">
        <v>246</v>
      </c>
      <c r="V13" s="30" t="s">
        <v>246</v>
      </c>
      <c r="W13" s="30" t="s">
        <v>246</v>
      </c>
      <c r="X13" s="468"/>
      <c r="Y13" s="468"/>
      <c r="Z13" s="469"/>
      <c r="AA13" s="451"/>
    </row>
    <row r="14" spans="1:29"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29"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29"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2">
    <mergeCell ref="A1:Y1"/>
    <mergeCell ref="AA1:AA14"/>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B11:H11"/>
    <mergeCell ref="X11:Z11"/>
    <mergeCell ref="B12:H12"/>
    <mergeCell ref="X12:Z12"/>
    <mergeCell ref="B13:H13"/>
    <mergeCell ref="X13:Z13"/>
    <mergeCell ref="X15:Z18"/>
    <mergeCell ref="K17:K18"/>
    <mergeCell ref="L17:N18"/>
    <mergeCell ref="A14:E14"/>
    <mergeCell ref="F14:J14"/>
    <mergeCell ref="K14:N14"/>
    <mergeCell ref="O14:W14"/>
    <mergeCell ref="X14:Z14"/>
    <mergeCell ref="A15:E18"/>
    <mergeCell ref="F15:J18"/>
    <mergeCell ref="K15:K16"/>
    <mergeCell ref="L15:N16"/>
    <mergeCell ref="O15:W18"/>
  </mergeCells>
  <printOptions horizontalCentered="1" verticalCentered="1"/>
  <pageMargins left="0" right="0" top="0" bottom="0" header="0" footer="0"/>
  <pageSetup scale="40" orientation="landscape"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E2C4-62BF-4F75-A57C-5DB76752AD54}">
  <dimension ref="A1:AC19"/>
  <sheetViews>
    <sheetView rightToLeft="1" zoomScale="70" zoomScaleNormal="70" zoomScaleSheetLayoutView="7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634</v>
      </c>
      <c r="B3" s="456"/>
      <c r="C3" s="456"/>
      <c r="D3" s="456"/>
      <c r="E3" s="456"/>
      <c r="F3" s="456"/>
      <c r="G3" s="457" t="s">
        <v>3</v>
      </c>
      <c r="H3" s="457"/>
      <c r="I3" s="458" t="s">
        <v>635</v>
      </c>
      <c r="J3" s="458"/>
      <c r="K3" s="458"/>
      <c r="L3" s="458"/>
      <c r="M3" s="458"/>
      <c r="N3" s="458"/>
      <c r="O3" s="458"/>
      <c r="P3" s="458"/>
      <c r="Q3" s="458"/>
      <c r="R3" s="458"/>
      <c r="S3" s="458"/>
      <c r="T3" s="458"/>
      <c r="U3" s="458"/>
      <c r="V3" s="458"/>
      <c r="W3" s="458"/>
      <c r="X3" s="458"/>
      <c r="Y3" s="458"/>
      <c r="Z3" s="459"/>
      <c r="AA3" s="451"/>
    </row>
    <row r="4" spans="1:29" s="3" customFormat="1" ht="28.5" customHeight="1">
      <c r="A4" s="460" t="s">
        <v>625</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636</v>
      </c>
      <c r="H5" s="456"/>
      <c r="I5" s="456" t="s">
        <v>637</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638</v>
      </c>
      <c r="C8" s="647"/>
      <c r="D8" s="647"/>
      <c r="E8" s="647"/>
      <c r="F8" s="647"/>
      <c r="G8" s="647"/>
      <c r="H8" s="647"/>
      <c r="I8" s="132">
        <v>10</v>
      </c>
      <c r="J8" s="133" t="s">
        <v>614</v>
      </c>
      <c r="K8" s="10"/>
      <c r="L8" s="30"/>
      <c r="M8" s="30" t="s">
        <v>246</v>
      </c>
      <c r="N8" s="30"/>
      <c r="O8" s="30"/>
      <c r="P8" s="30"/>
      <c r="Q8" s="30"/>
      <c r="R8" s="30"/>
      <c r="S8" s="30"/>
      <c r="T8" s="30"/>
      <c r="U8" s="30"/>
      <c r="V8" s="30"/>
      <c r="W8" s="30"/>
      <c r="X8" s="475"/>
      <c r="Y8" s="475"/>
      <c r="Z8" s="476"/>
      <c r="AA8" s="451"/>
      <c r="AC8" s="14">
        <v>10</v>
      </c>
    </row>
    <row r="9" spans="1:29" s="14" customFormat="1" ht="24">
      <c r="A9" s="7" t="s">
        <v>66</v>
      </c>
      <c r="B9" s="647" t="s">
        <v>639</v>
      </c>
      <c r="C9" s="647"/>
      <c r="D9" s="647"/>
      <c r="E9" s="647"/>
      <c r="F9" s="647"/>
      <c r="G9" s="647"/>
      <c r="H9" s="647"/>
      <c r="I9" s="132">
        <v>15</v>
      </c>
      <c r="J9" s="133" t="s">
        <v>614</v>
      </c>
      <c r="K9" s="10"/>
      <c r="L9" s="30"/>
      <c r="N9" s="30" t="s">
        <v>246</v>
      </c>
      <c r="O9" s="30"/>
      <c r="P9" s="30"/>
      <c r="Q9" s="30"/>
      <c r="R9" s="30"/>
      <c r="S9" s="30"/>
      <c r="T9" s="30"/>
      <c r="U9" s="30"/>
      <c r="V9" s="30"/>
      <c r="W9" s="30"/>
      <c r="X9" s="475"/>
      <c r="Y9" s="475"/>
      <c r="Z9" s="476"/>
      <c r="AA9" s="451"/>
      <c r="AC9" s="14">
        <v>15</v>
      </c>
    </row>
    <row r="10" spans="1:29" s="14" customFormat="1" ht="24">
      <c r="A10" s="7" t="s">
        <v>68</v>
      </c>
      <c r="B10" s="647" t="s">
        <v>640</v>
      </c>
      <c r="C10" s="647"/>
      <c r="D10" s="647"/>
      <c r="E10" s="647"/>
      <c r="F10" s="647"/>
      <c r="G10" s="647"/>
      <c r="H10" s="647"/>
      <c r="I10" s="132">
        <v>20</v>
      </c>
      <c r="J10" s="133" t="s">
        <v>614</v>
      </c>
      <c r="K10" s="10"/>
      <c r="L10" s="30"/>
      <c r="M10" s="30"/>
      <c r="N10" s="30"/>
      <c r="O10" s="30" t="s">
        <v>246</v>
      </c>
      <c r="P10" s="30"/>
      <c r="Q10" s="30"/>
      <c r="R10" s="30"/>
      <c r="S10" s="30"/>
      <c r="T10" s="30"/>
      <c r="U10" s="30"/>
      <c r="V10" s="30"/>
      <c r="W10" s="30"/>
      <c r="X10" s="468"/>
      <c r="Y10" s="468"/>
      <c r="Z10" s="469"/>
      <c r="AA10" s="451"/>
    </row>
    <row r="11" spans="1:29" s="14" customFormat="1" ht="24">
      <c r="A11" s="7" t="s">
        <v>70</v>
      </c>
      <c r="B11" s="647" t="s">
        <v>641</v>
      </c>
      <c r="C11" s="647"/>
      <c r="D11" s="647"/>
      <c r="E11" s="647"/>
      <c r="F11" s="647"/>
      <c r="G11" s="647"/>
      <c r="H11" s="647"/>
      <c r="I11" s="132">
        <v>20</v>
      </c>
      <c r="J11" s="133" t="s">
        <v>614</v>
      </c>
      <c r="K11" s="10"/>
      <c r="L11" s="30"/>
      <c r="M11" s="30"/>
      <c r="N11" s="30"/>
      <c r="O11" s="30" t="s">
        <v>246</v>
      </c>
      <c r="P11" s="30"/>
      <c r="Q11" s="30"/>
      <c r="R11" s="30"/>
      <c r="S11" s="30"/>
      <c r="T11" s="30"/>
      <c r="U11" s="30"/>
      <c r="V11" s="30"/>
      <c r="W11" s="30"/>
      <c r="X11" s="468"/>
      <c r="Y11" s="468"/>
      <c r="Z11" s="469"/>
      <c r="AA11" s="451"/>
    </row>
    <row r="12" spans="1:29" s="14" customFormat="1" ht="24">
      <c r="A12" s="7" t="s">
        <v>153</v>
      </c>
      <c r="B12" s="647" t="s">
        <v>642</v>
      </c>
      <c r="C12" s="647"/>
      <c r="D12" s="647"/>
      <c r="E12" s="647"/>
      <c r="F12" s="647"/>
      <c r="G12" s="647"/>
      <c r="H12" s="647"/>
      <c r="I12" s="132">
        <v>15</v>
      </c>
      <c r="J12" s="133" t="s">
        <v>614</v>
      </c>
      <c r="K12" s="10"/>
      <c r="L12" s="30"/>
      <c r="M12" s="30"/>
      <c r="N12" s="30"/>
      <c r="O12" s="30" t="s">
        <v>246</v>
      </c>
      <c r="P12" s="30"/>
      <c r="R12" s="30"/>
      <c r="S12" s="30"/>
      <c r="T12" s="30"/>
      <c r="U12" s="30"/>
      <c r="V12" s="30"/>
      <c r="W12" s="30"/>
      <c r="X12" s="475"/>
      <c r="Y12" s="475"/>
      <c r="Z12" s="476"/>
      <c r="AA12" s="451"/>
    </row>
    <row r="13" spans="1:29" s="14" customFormat="1" ht="24">
      <c r="A13" s="7" t="s">
        <v>155</v>
      </c>
      <c r="B13" s="647" t="s">
        <v>643</v>
      </c>
      <c r="C13" s="647"/>
      <c r="D13" s="647"/>
      <c r="E13" s="647"/>
      <c r="F13" s="647"/>
      <c r="G13" s="647"/>
      <c r="H13" s="647"/>
      <c r="I13" s="132">
        <v>20</v>
      </c>
      <c r="J13" s="133" t="s">
        <v>614</v>
      </c>
      <c r="K13" s="10"/>
      <c r="L13" s="30"/>
      <c r="M13" s="30"/>
      <c r="N13" s="30"/>
      <c r="O13" s="30" t="s">
        <v>246</v>
      </c>
      <c r="P13" s="30"/>
      <c r="Q13" s="30"/>
      <c r="R13" s="30"/>
      <c r="S13" s="30"/>
      <c r="T13" s="30"/>
      <c r="U13" s="30"/>
      <c r="V13" s="30"/>
      <c r="W13" s="30"/>
      <c r="X13" s="468"/>
      <c r="Y13" s="468"/>
      <c r="Z13" s="469"/>
      <c r="AA13" s="451"/>
    </row>
    <row r="14" spans="1:29"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29"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29"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2">
    <mergeCell ref="A1:Y1"/>
    <mergeCell ref="AA1:AA14"/>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B11:H11"/>
    <mergeCell ref="X11:Z11"/>
    <mergeCell ref="B12:H12"/>
    <mergeCell ref="X12:Z12"/>
    <mergeCell ref="B13:H13"/>
    <mergeCell ref="X13:Z13"/>
    <mergeCell ref="X15:Z18"/>
    <mergeCell ref="K17:K18"/>
    <mergeCell ref="L17:N18"/>
    <mergeCell ref="A14:E14"/>
    <mergeCell ref="F14:J14"/>
    <mergeCell ref="K14:N14"/>
    <mergeCell ref="O14:W14"/>
    <mergeCell ref="X14:Z14"/>
    <mergeCell ref="A15:E18"/>
    <mergeCell ref="F15:J18"/>
    <mergeCell ref="K15:K16"/>
    <mergeCell ref="L15:N16"/>
    <mergeCell ref="O15:W18"/>
  </mergeCells>
  <printOptions horizontalCentered="1" verticalCentered="1"/>
  <pageMargins left="0" right="0" top="0" bottom="0" header="0" footer="0"/>
  <pageSetup scale="40" orientation="landscape"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63CD-0D54-410C-B3D9-9ADAD4CA9930}">
  <dimension ref="A1:AA20"/>
  <sheetViews>
    <sheetView rightToLeft="1" zoomScale="90" zoomScaleNormal="90" zoomScaleSheetLayoutView="90" workbookViewId="0">
      <selection activeCell="K11" sqref="K11"/>
    </sheetView>
  </sheetViews>
  <sheetFormatPr defaultColWidth="9.140625" defaultRowHeight="18"/>
  <cols>
    <col min="1" max="1" width="8.140625" style="21" bestFit="1" customWidth="1"/>
    <col min="2" max="2" width="9.140625" style="21"/>
    <col min="3" max="3" width="8.42578125" style="21" customWidth="1"/>
    <col min="4" max="4" width="17.42578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42578125" style="21" customWidth="1"/>
    <col min="27" max="27" width="3.140625" style="2" customWidth="1"/>
    <col min="28" max="28" width="4.140625" style="2" customWidth="1"/>
    <col min="29" max="16384" width="9.140625" style="2"/>
  </cols>
  <sheetData>
    <row r="1" spans="1:27" ht="73.5" thickTop="1">
      <c r="A1" s="849" t="s">
        <v>0</v>
      </c>
      <c r="B1" s="850"/>
      <c r="C1" s="850"/>
      <c r="D1" s="850"/>
      <c r="E1" s="850"/>
      <c r="F1" s="850"/>
      <c r="G1" s="850"/>
      <c r="H1" s="850"/>
      <c r="I1" s="850"/>
      <c r="J1" s="850"/>
      <c r="K1" s="850"/>
      <c r="L1" s="850"/>
      <c r="M1" s="850"/>
      <c r="N1" s="850"/>
      <c r="O1" s="850"/>
      <c r="P1" s="850"/>
      <c r="Q1" s="850"/>
      <c r="R1" s="850"/>
      <c r="S1" s="850"/>
      <c r="T1" s="850"/>
      <c r="U1" s="850"/>
      <c r="V1" s="850"/>
      <c r="W1" s="850"/>
      <c r="X1" s="850"/>
      <c r="Y1" s="850"/>
      <c r="Z1" s="218" t="s">
        <v>1</v>
      </c>
      <c r="AA1" s="855"/>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855"/>
    </row>
    <row r="3" spans="1:27" s="214" customFormat="1" ht="28.5">
      <c r="A3" s="455" t="s">
        <v>623</v>
      </c>
      <c r="B3" s="856"/>
      <c r="C3" s="856"/>
      <c r="D3" s="856"/>
      <c r="E3" s="856"/>
      <c r="F3" s="856"/>
      <c r="G3" s="857" t="s">
        <v>3</v>
      </c>
      <c r="H3" s="857"/>
      <c r="I3" s="858" t="s">
        <v>624</v>
      </c>
      <c r="J3" s="859"/>
      <c r="K3" s="859"/>
      <c r="L3" s="859"/>
      <c r="M3" s="859"/>
      <c r="N3" s="859"/>
      <c r="O3" s="859"/>
      <c r="P3" s="859"/>
      <c r="Q3" s="859"/>
      <c r="R3" s="859"/>
      <c r="S3" s="859"/>
      <c r="T3" s="859"/>
      <c r="U3" s="859"/>
      <c r="V3" s="859"/>
      <c r="W3" s="859"/>
      <c r="X3" s="859"/>
      <c r="Y3" s="859"/>
      <c r="Z3" s="860"/>
      <c r="AA3" s="855"/>
    </row>
    <row r="4" spans="1:27" s="214" customFormat="1" ht="28.5" customHeight="1">
      <c r="A4" s="460" t="s">
        <v>625</v>
      </c>
      <c r="B4" s="861"/>
      <c r="C4" s="861"/>
      <c r="D4" s="861"/>
      <c r="E4" s="861"/>
      <c r="F4" s="862"/>
      <c r="G4" s="857" t="s">
        <v>144</v>
      </c>
      <c r="H4" s="857"/>
      <c r="I4" s="859"/>
      <c r="J4" s="859"/>
      <c r="K4" s="859"/>
      <c r="L4" s="859"/>
      <c r="M4" s="859"/>
      <c r="N4" s="859"/>
      <c r="O4" s="859"/>
      <c r="P4" s="859"/>
      <c r="Q4" s="859"/>
      <c r="R4" s="859"/>
      <c r="S4" s="859"/>
      <c r="T4" s="859"/>
      <c r="U4" s="859"/>
      <c r="V4" s="859"/>
      <c r="W4" s="859"/>
      <c r="X4" s="859"/>
      <c r="Y4" s="859"/>
      <c r="Z4" s="860"/>
      <c r="AA4" s="855"/>
    </row>
    <row r="5" spans="1:27" s="214" customFormat="1" ht="28.5" customHeight="1">
      <c r="A5" s="863"/>
      <c r="B5" s="864"/>
      <c r="C5" s="864"/>
      <c r="D5" s="864"/>
      <c r="E5" s="864"/>
      <c r="F5" s="865"/>
      <c r="G5" s="856" t="s">
        <v>626</v>
      </c>
      <c r="H5" s="856"/>
      <c r="I5" s="856" t="s">
        <v>627</v>
      </c>
      <c r="J5" s="856"/>
      <c r="K5" s="856"/>
      <c r="L5" s="856"/>
      <c r="M5" s="856"/>
      <c r="N5" s="856"/>
      <c r="O5" s="856"/>
      <c r="P5" s="856"/>
      <c r="Q5" s="856"/>
      <c r="R5" s="856"/>
      <c r="S5" s="856"/>
      <c r="T5" s="856"/>
      <c r="U5" s="856"/>
      <c r="V5" s="856"/>
      <c r="W5" s="856"/>
      <c r="X5" s="856"/>
      <c r="Y5" s="856"/>
      <c r="Z5" s="866"/>
      <c r="AA5" s="855"/>
    </row>
    <row r="6" spans="1:27" ht="28.5">
      <c r="A6" s="867" t="s">
        <v>9</v>
      </c>
      <c r="B6" s="853" t="s">
        <v>10</v>
      </c>
      <c r="C6" s="853"/>
      <c r="D6" s="853"/>
      <c r="E6" s="853"/>
      <c r="F6" s="853"/>
      <c r="G6" s="853"/>
      <c r="H6" s="853"/>
      <c r="I6" s="839" t="s">
        <v>11</v>
      </c>
      <c r="J6" s="853" t="s">
        <v>12</v>
      </c>
      <c r="K6" s="839" t="s">
        <v>13</v>
      </c>
      <c r="L6" s="853" t="s">
        <v>14</v>
      </c>
      <c r="M6" s="853"/>
      <c r="N6" s="853"/>
      <c r="O6" s="853"/>
      <c r="P6" s="853"/>
      <c r="Q6" s="853"/>
      <c r="R6" s="853"/>
      <c r="S6" s="853"/>
      <c r="T6" s="853"/>
      <c r="U6" s="853"/>
      <c r="V6" s="853"/>
      <c r="W6" s="853"/>
      <c r="X6" s="853" t="s">
        <v>15</v>
      </c>
      <c r="Y6" s="853"/>
      <c r="Z6" s="854"/>
      <c r="AA6" s="855"/>
    </row>
    <row r="7" spans="1:27" ht="55.5">
      <c r="A7" s="867"/>
      <c r="B7" s="853"/>
      <c r="C7" s="853"/>
      <c r="D7" s="853"/>
      <c r="E7" s="853"/>
      <c r="F7" s="853"/>
      <c r="G7" s="853"/>
      <c r="H7" s="853"/>
      <c r="I7" s="853"/>
      <c r="J7" s="853"/>
      <c r="K7" s="853"/>
      <c r="L7" s="219" t="s">
        <v>16</v>
      </c>
      <c r="M7" s="219" t="s">
        <v>17</v>
      </c>
      <c r="N7" s="219" t="s">
        <v>18</v>
      </c>
      <c r="O7" s="219" t="s">
        <v>19</v>
      </c>
      <c r="P7" s="219" t="s">
        <v>20</v>
      </c>
      <c r="Q7" s="219" t="s">
        <v>21</v>
      </c>
      <c r="R7" s="219" t="s">
        <v>22</v>
      </c>
      <c r="S7" s="219" t="s">
        <v>23</v>
      </c>
      <c r="T7" s="219" t="s">
        <v>24</v>
      </c>
      <c r="U7" s="219" t="s">
        <v>25</v>
      </c>
      <c r="V7" s="219" t="s">
        <v>26</v>
      </c>
      <c r="W7" s="219" t="s">
        <v>27</v>
      </c>
      <c r="X7" s="853"/>
      <c r="Y7" s="853"/>
      <c r="Z7" s="854"/>
      <c r="AA7" s="855"/>
    </row>
    <row r="8" spans="1:27" s="216" customFormat="1" ht="24">
      <c r="A8" s="220" t="s">
        <v>28</v>
      </c>
      <c r="B8" s="647" t="s">
        <v>628</v>
      </c>
      <c r="C8" s="833"/>
      <c r="D8" s="833"/>
      <c r="E8" s="833"/>
      <c r="F8" s="833"/>
      <c r="G8" s="833"/>
      <c r="H8" s="833"/>
      <c r="I8" s="221">
        <v>20</v>
      </c>
      <c r="J8" s="133" t="s">
        <v>612</v>
      </c>
      <c r="K8" s="222"/>
      <c r="L8" s="223"/>
      <c r="M8" s="223"/>
      <c r="N8" s="223"/>
      <c r="O8" s="223" t="s">
        <v>246</v>
      </c>
      <c r="P8" s="223" t="s">
        <v>246</v>
      </c>
      <c r="Q8" s="223" t="s">
        <v>246</v>
      </c>
      <c r="R8" s="223" t="s">
        <v>246</v>
      </c>
      <c r="S8" s="223" t="s">
        <v>246</v>
      </c>
      <c r="T8" s="223" t="s">
        <v>246</v>
      </c>
      <c r="U8" s="223" t="s">
        <v>246</v>
      </c>
      <c r="V8" s="223" t="s">
        <v>246</v>
      </c>
      <c r="W8" s="223"/>
      <c r="X8" s="851"/>
      <c r="Y8" s="851"/>
      <c r="Z8" s="852"/>
      <c r="AA8" s="855"/>
    </row>
    <row r="9" spans="1:27" s="216" customFormat="1" ht="45">
      <c r="A9" s="220" t="s">
        <v>66</v>
      </c>
      <c r="B9" s="833" t="s">
        <v>629</v>
      </c>
      <c r="C9" s="833"/>
      <c r="D9" s="833"/>
      <c r="E9" s="833"/>
      <c r="F9" s="833"/>
      <c r="G9" s="833"/>
      <c r="H9" s="833"/>
      <c r="I9" s="221">
        <v>20</v>
      </c>
      <c r="J9" s="133" t="s">
        <v>630</v>
      </c>
      <c r="K9" s="222"/>
      <c r="L9" s="223"/>
      <c r="M9" s="223"/>
      <c r="N9" s="223"/>
      <c r="O9" s="223"/>
      <c r="P9" s="223" t="s">
        <v>246</v>
      </c>
      <c r="Q9" s="223" t="s">
        <v>246</v>
      </c>
      <c r="R9" s="223" t="s">
        <v>246</v>
      </c>
      <c r="S9" s="223" t="s">
        <v>246</v>
      </c>
      <c r="T9" s="223" t="s">
        <v>246</v>
      </c>
      <c r="U9" s="223" t="s">
        <v>246</v>
      </c>
      <c r="V9" s="223" t="s">
        <v>246</v>
      </c>
      <c r="W9" s="223"/>
      <c r="X9" s="851"/>
      <c r="Y9" s="851"/>
      <c r="Z9" s="852"/>
      <c r="AA9" s="855"/>
    </row>
    <row r="10" spans="1:27" s="216" customFormat="1" ht="24">
      <c r="A10" s="220" t="s">
        <v>68</v>
      </c>
      <c r="B10" s="647" t="s">
        <v>631</v>
      </c>
      <c r="C10" s="833"/>
      <c r="D10" s="833"/>
      <c r="E10" s="833"/>
      <c r="F10" s="833"/>
      <c r="G10" s="833"/>
      <c r="H10" s="833"/>
      <c r="I10" s="221">
        <v>20</v>
      </c>
      <c r="J10" s="224" t="s">
        <v>614</v>
      </c>
      <c r="K10" s="222"/>
      <c r="L10" s="223"/>
      <c r="M10" s="223"/>
      <c r="N10" s="223"/>
      <c r="O10" s="223"/>
      <c r="P10" s="223"/>
      <c r="Q10" s="223"/>
      <c r="R10" s="223" t="s">
        <v>246</v>
      </c>
      <c r="S10" s="223" t="s">
        <v>246</v>
      </c>
      <c r="T10" s="223" t="s">
        <v>246</v>
      </c>
      <c r="U10" s="223" t="s">
        <v>246</v>
      </c>
      <c r="V10" s="223" t="s">
        <v>246</v>
      </c>
      <c r="W10" s="223"/>
      <c r="X10" s="843"/>
      <c r="Y10" s="843"/>
      <c r="Z10" s="844"/>
      <c r="AA10" s="855"/>
    </row>
    <row r="11" spans="1:27" s="216" customFormat="1" ht="24">
      <c r="A11" s="220" t="s">
        <v>70</v>
      </c>
      <c r="B11" s="647" t="s">
        <v>632</v>
      </c>
      <c r="C11" s="833"/>
      <c r="D11" s="833"/>
      <c r="E11" s="833"/>
      <c r="F11" s="833"/>
      <c r="G11" s="833"/>
      <c r="H11" s="833"/>
      <c r="I11" s="221">
        <v>20</v>
      </c>
      <c r="J11" s="133" t="s">
        <v>614</v>
      </c>
      <c r="K11" s="222"/>
      <c r="L11" s="223"/>
      <c r="M11" s="223"/>
      <c r="N11" s="223"/>
      <c r="O11" s="223" t="s">
        <v>246</v>
      </c>
      <c r="P11" s="223" t="s">
        <v>246</v>
      </c>
      <c r="Q11" s="223" t="s">
        <v>246</v>
      </c>
      <c r="R11" s="223" t="s">
        <v>246</v>
      </c>
      <c r="S11" s="223" t="s">
        <v>246</v>
      </c>
      <c r="T11" s="223" t="s">
        <v>246</v>
      </c>
      <c r="U11" s="223" t="s">
        <v>246</v>
      </c>
      <c r="V11" s="223" t="s">
        <v>246</v>
      </c>
      <c r="W11" s="223"/>
      <c r="X11" s="843"/>
      <c r="Y11" s="843"/>
      <c r="Z11" s="844"/>
      <c r="AA11" s="855"/>
    </row>
    <row r="12" spans="1:27" s="216" customFormat="1" ht="24">
      <c r="A12" s="220" t="s">
        <v>153</v>
      </c>
      <c r="B12" s="647" t="s">
        <v>633</v>
      </c>
      <c r="C12" s="833"/>
      <c r="D12" s="833"/>
      <c r="E12" s="833"/>
      <c r="F12" s="833"/>
      <c r="G12" s="833"/>
      <c r="H12" s="833"/>
      <c r="I12" s="221">
        <v>20</v>
      </c>
      <c r="J12" s="133" t="s">
        <v>595</v>
      </c>
      <c r="K12" s="222"/>
      <c r="L12" s="223"/>
      <c r="M12" s="223"/>
      <c r="N12" s="223"/>
      <c r="O12" s="223"/>
      <c r="P12" s="223"/>
      <c r="Q12" s="223"/>
      <c r="R12" s="223"/>
      <c r="S12" s="223"/>
      <c r="T12" s="223" t="s">
        <v>246</v>
      </c>
      <c r="U12" s="223" t="s">
        <v>246</v>
      </c>
      <c r="V12" s="223" t="s">
        <v>246</v>
      </c>
      <c r="W12" s="223"/>
      <c r="X12" s="851"/>
      <c r="Y12" s="851"/>
      <c r="Z12" s="852"/>
      <c r="AA12" s="855"/>
    </row>
    <row r="13" spans="1:27" s="216" customFormat="1" ht="24">
      <c r="A13" s="220"/>
      <c r="B13" s="647"/>
      <c r="C13" s="833"/>
      <c r="D13" s="833"/>
      <c r="E13" s="833"/>
      <c r="F13" s="833"/>
      <c r="G13" s="833"/>
      <c r="H13" s="833"/>
      <c r="I13" s="221"/>
      <c r="K13" s="222"/>
      <c r="L13" s="223"/>
      <c r="M13" s="223"/>
      <c r="N13" s="223"/>
      <c r="O13" s="223"/>
      <c r="P13" s="223"/>
      <c r="Q13" s="223"/>
      <c r="R13" s="223"/>
      <c r="S13" s="223"/>
      <c r="T13" s="223"/>
      <c r="U13" s="223"/>
      <c r="V13" s="223"/>
      <c r="W13" s="223"/>
      <c r="X13" s="843"/>
      <c r="Y13" s="843"/>
      <c r="Z13" s="844"/>
      <c r="AA13" s="855"/>
    </row>
    <row r="14" spans="1:27" s="216" customFormat="1" ht="24">
      <c r="A14" s="220"/>
      <c r="B14" s="833"/>
      <c r="C14" s="833"/>
      <c r="D14" s="833"/>
      <c r="E14" s="833"/>
      <c r="F14" s="833"/>
      <c r="G14" s="833"/>
      <c r="H14" s="833"/>
      <c r="I14" s="221"/>
      <c r="J14" s="224"/>
      <c r="K14" s="222"/>
      <c r="L14" s="225"/>
      <c r="M14" s="225"/>
      <c r="N14" s="225"/>
      <c r="O14" s="225"/>
      <c r="P14" s="225"/>
      <c r="Q14" s="225"/>
      <c r="R14" s="225"/>
      <c r="S14" s="225"/>
      <c r="T14" s="225"/>
      <c r="U14" s="225"/>
      <c r="V14" s="225"/>
      <c r="W14" s="225"/>
      <c r="X14" s="834"/>
      <c r="Y14" s="834"/>
      <c r="Z14" s="835"/>
      <c r="AA14" s="855"/>
    </row>
    <row r="15" spans="1:27" ht="57.75" customHeight="1">
      <c r="A15" s="836" t="s">
        <v>42</v>
      </c>
      <c r="B15" s="837"/>
      <c r="C15" s="837"/>
      <c r="D15" s="837"/>
      <c r="E15" s="838"/>
      <c r="F15" s="839" t="s">
        <v>43</v>
      </c>
      <c r="G15" s="839"/>
      <c r="H15" s="839"/>
      <c r="I15" s="839"/>
      <c r="J15" s="839"/>
      <c r="K15" s="839" t="s">
        <v>44</v>
      </c>
      <c r="L15" s="839"/>
      <c r="M15" s="839"/>
      <c r="N15" s="839"/>
      <c r="O15" s="840" t="s">
        <v>45</v>
      </c>
      <c r="P15" s="841"/>
      <c r="Q15" s="841"/>
      <c r="R15" s="841"/>
      <c r="S15" s="841"/>
      <c r="T15" s="841"/>
      <c r="U15" s="841"/>
      <c r="V15" s="841"/>
      <c r="W15" s="842"/>
      <c r="X15" s="839" t="s">
        <v>46</v>
      </c>
      <c r="Y15" s="839"/>
      <c r="Z15" s="839"/>
      <c r="AA15" s="855"/>
    </row>
    <row r="16" spans="1:27" s="217" customFormat="1" ht="28.5">
      <c r="A16" s="805"/>
      <c r="B16" s="806"/>
      <c r="C16" s="806"/>
      <c r="D16" s="806"/>
      <c r="E16" s="807"/>
      <c r="F16" s="814"/>
      <c r="G16" s="815"/>
      <c r="H16" s="815"/>
      <c r="I16" s="815"/>
      <c r="J16" s="816"/>
      <c r="K16" s="823" t="s">
        <v>47</v>
      </c>
      <c r="L16" s="823"/>
      <c r="M16" s="823"/>
      <c r="N16" s="823"/>
      <c r="O16" s="824"/>
      <c r="P16" s="825"/>
      <c r="Q16" s="825"/>
      <c r="R16" s="825"/>
      <c r="S16" s="825"/>
      <c r="T16" s="825"/>
      <c r="U16" s="825"/>
      <c r="V16" s="825"/>
      <c r="W16" s="826"/>
      <c r="X16" s="824"/>
      <c r="Y16" s="825"/>
      <c r="Z16" s="845"/>
    </row>
    <row r="17" spans="1:26" s="217" customFormat="1" ht="28.5">
      <c r="A17" s="808"/>
      <c r="B17" s="809"/>
      <c r="C17" s="809"/>
      <c r="D17" s="809"/>
      <c r="E17" s="810"/>
      <c r="F17" s="817"/>
      <c r="G17" s="818"/>
      <c r="H17" s="818"/>
      <c r="I17" s="818"/>
      <c r="J17" s="819"/>
      <c r="K17" s="823"/>
      <c r="L17" s="823"/>
      <c r="M17" s="823"/>
      <c r="N17" s="823"/>
      <c r="O17" s="827"/>
      <c r="P17" s="828"/>
      <c r="Q17" s="828"/>
      <c r="R17" s="828"/>
      <c r="S17" s="828"/>
      <c r="T17" s="828"/>
      <c r="U17" s="828"/>
      <c r="V17" s="828"/>
      <c r="W17" s="829"/>
      <c r="X17" s="827"/>
      <c r="Y17" s="828"/>
      <c r="Z17" s="846"/>
    </row>
    <row r="18" spans="1:26" s="217" customFormat="1" ht="28.5">
      <c r="A18" s="808"/>
      <c r="B18" s="809"/>
      <c r="C18" s="809"/>
      <c r="D18" s="809"/>
      <c r="E18" s="810"/>
      <c r="F18" s="817"/>
      <c r="G18" s="818"/>
      <c r="H18" s="818"/>
      <c r="I18" s="818"/>
      <c r="J18" s="819"/>
      <c r="K18" s="823" t="s">
        <v>48</v>
      </c>
      <c r="L18" s="823"/>
      <c r="M18" s="823"/>
      <c r="N18" s="823"/>
      <c r="O18" s="827"/>
      <c r="P18" s="828"/>
      <c r="Q18" s="828"/>
      <c r="R18" s="828"/>
      <c r="S18" s="828"/>
      <c r="T18" s="828"/>
      <c r="U18" s="828"/>
      <c r="V18" s="828"/>
      <c r="W18" s="829"/>
      <c r="X18" s="827"/>
      <c r="Y18" s="828"/>
      <c r="Z18" s="846"/>
    </row>
    <row r="19" spans="1:26" s="217" customFormat="1" ht="29.25" thickBot="1">
      <c r="A19" s="811"/>
      <c r="B19" s="812"/>
      <c r="C19" s="812"/>
      <c r="D19" s="812"/>
      <c r="E19" s="813"/>
      <c r="F19" s="820"/>
      <c r="G19" s="821"/>
      <c r="H19" s="821"/>
      <c r="I19" s="821"/>
      <c r="J19" s="822"/>
      <c r="K19" s="848"/>
      <c r="L19" s="848"/>
      <c r="M19" s="848"/>
      <c r="N19" s="848"/>
      <c r="O19" s="830"/>
      <c r="P19" s="831"/>
      <c r="Q19" s="831"/>
      <c r="R19" s="831"/>
      <c r="S19" s="831"/>
      <c r="T19" s="831"/>
      <c r="U19" s="831"/>
      <c r="V19" s="831"/>
      <c r="W19" s="832"/>
      <c r="X19" s="830"/>
      <c r="Y19" s="831"/>
      <c r="Z19" s="847"/>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4BDA-DADE-4529-A2CF-67C65E24EE39}">
  <dimension ref="A1:AA18"/>
  <sheetViews>
    <sheetView rightToLeft="1" topLeftCell="D2" zoomScale="70" zoomScaleNormal="70" zoomScaleSheetLayoutView="90" workbookViewId="0">
      <selection activeCell="N8" sqref="L8:N12"/>
    </sheetView>
  </sheetViews>
  <sheetFormatPr defaultColWidth="9.140625" defaultRowHeight="18"/>
  <cols>
    <col min="1" max="1" width="8.140625" style="21" bestFit="1" customWidth="1"/>
    <col min="2" max="2" width="9.140625" style="21"/>
    <col min="3" max="3" width="8.42578125" style="21" customWidth="1"/>
    <col min="4" max="4" width="17.42578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42578125" style="21" customWidth="1"/>
    <col min="27" max="27" width="3.140625" style="2" customWidth="1"/>
    <col min="28" max="28" width="4.140625" style="2" customWidth="1"/>
    <col min="29" max="16384" width="9.140625" style="2"/>
  </cols>
  <sheetData>
    <row r="1" spans="1:27" ht="45.75" thickTop="1">
      <c r="A1" s="906" t="s">
        <v>0</v>
      </c>
      <c r="B1" s="907"/>
      <c r="C1" s="907"/>
      <c r="D1" s="907"/>
      <c r="E1" s="907"/>
      <c r="F1" s="907"/>
      <c r="G1" s="907"/>
      <c r="H1" s="907"/>
      <c r="I1" s="907"/>
      <c r="J1" s="907"/>
      <c r="K1" s="907"/>
      <c r="L1" s="907"/>
      <c r="M1" s="907"/>
      <c r="N1" s="907"/>
      <c r="O1" s="907"/>
      <c r="P1" s="907"/>
      <c r="Q1" s="907"/>
      <c r="R1" s="907"/>
      <c r="S1" s="907"/>
      <c r="T1" s="907"/>
      <c r="U1" s="907"/>
      <c r="V1" s="907"/>
      <c r="W1" s="907"/>
      <c r="X1" s="907"/>
      <c r="Y1" s="907"/>
      <c r="Z1" s="213" t="s">
        <v>49</v>
      </c>
      <c r="AA1" s="855"/>
    </row>
    <row r="2" spans="1:27" ht="22.5">
      <c r="A2" s="908"/>
      <c r="B2" s="909"/>
      <c r="C2" s="909"/>
      <c r="D2" s="909"/>
      <c r="E2" s="909"/>
      <c r="F2" s="909"/>
      <c r="G2" s="909"/>
      <c r="H2" s="909"/>
      <c r="I2" s="909"/>
      <c r="J2" s="909"/>
      <c r="K2" s="909"/>
      <c r="L2" s="909"/>
      <c r="M2" s="909"/>
      <c r="N2" s="909"/>
      <c r="O2" s="909"/>
      <c r="P2" s="909"/>
      <c r="Q2" s="909"/>
      <c r="R2" s="909"/>
      <c r="S2" s="909"/>
      <c r="T2" s="909"/>
      <c r="U2" s="909"/>
      <c r="V2" s="909"/>
      <c r="W2" s="909"/>
      <c r="X2" s="909"/>
      <c r="Y2" s="909"/>
      <c r="Z2" s="910"/>
      <c r="AA2" s="855"/>
    </row>
    <row r="3" spans="1:27" s="214" customFormat="1" ht="24">
      <c r="A3" s="911" t="s">
        <v>606</v>
      </c>
      <c r="B3" s="912"/>
      <c r="C3" s="912"/>
      <c r="D3" s="912"/>
      <c r="E3" s="912"/>
      <c r="F3" s="912"/>
      <c r="G3" s="913" t="s">
        <v>3</v>
      </c>
      <c r="H3" s="913"/>
      <c r="I3" s="858" t="s">
        <v>607</v>
      </c>
      <c r="J3" s="858"/>
      <c r="K3" s="858"/>
      <c r="L3" s="858"/>
      <c r="M3" s="858"/>
      <c r="N3" s="858"/>
      <c r="O3" s="858"/>
      <c r="P3" s="858"/>
      <c r="Q3" s="858"/>
      <c r="R3" s="858"/>
      <c r="S3" s="858"/>
      <c r="T3" s="858"/>
      <c r="U3" s="858"/>
      <c r="V3" s="858"/>
      <c r="W3" s="858"/>
      <c r="X3" s="858"/>
      <c r="Y3" s="858"/>
      <c r="Z3" s="914"/>
      <c r="AA3" s="855"/>
    </row>
    <row r="4" spans="1:27" s="214" customFormat="1" ht="28.5" customHeight="1">
      <c r="A4" s="915" t="s">
        <v>608</v>
      </c>
      <c r="B4" s="916"/>
      <c r="C4" s="916"/>
      <c r="D4" s="916"/>
      <c r="E4" s="916"/>
      <c r="F4" s="917"/>
      <c r="G4" s="913" t="s">
        <v>144</v>
      </c>
      <c r="H4" s="913"/>
      <c r="I4" s="858"/>
      <c r="J4" s="858"/>
      <c r="K4" s="858"/>
      <c r="L4" s="858"/>
      <c r="M4" s="858"/>
      <c r="N4" s="858"/>
      <c r="O4" s="858"/>
      <c r="P4" s="858"/>
      <c r="Q4" s="858"/>
      <c r="R4" s="858"/>
      <c r="S4" s="858"/>
      <c r="T4" s="858"/>
      <c r="U4" s="858"/>
      <c r="V4" s="858"/>
      <c r="W4" s="858"/>
      <c r="X4" s="858"/>
      <c r="Y4" s="858"/>
      <c r="Z4" s="914"/>
      <c r="AA4" s="855"/>
    </row>
    <row r="5" spans="1:27" s="214" customFormat="1" ht="28.5" customHeight="1">
      <c r="A5" s="918"/>
      <c r="B5" s="919"/>
      <c r="C5" s="919"/>
      <c r="D5" s="919"/>
      <c r="E5" s="919"/>
      <c r="F5" s="920"/>
      <c r="G5" s="912" t="s">
        <v>609</v>
      </c>
      <c r="H5" s="912"/>
      <c r="I5" s="912" t="s">
        <v>610</v>
      </c>
      <c r="J5" s="912"/>
      <c r="K5" s="912"/>
      <c r="L5" s="912"/>
      <c r="M5" s="912"/>
      <c r="N5" s="912"/>
      <c r="O5" s="912"/>
      <c r="P5" s="912"/>
      <c r="Q5" s="912"/>
      <c r="R5" s="912"/>
      <c r="S5" s="912"/>
      <c r="T5" s="912"/>
      <c r="U5" s="912"/>
      <c r="V5" s="912"/>
      <c r="W5" s="912"/>
      <c r="X5" s="912"/>
      <c r="Y5" s="912"/>
      <c r="Z5" s="921"/>
      <c r="AA5" s="855"/>
    </row>
    <row r="6" spans="1:27" ht="24">
      <c r="A6" s="922" t="s">
        <v>9</v>
      </c>
      <c r="B6" s="891" t="s">
        <v>10</v>
      </c>
      <c r="C6" s="891"/>
      <c r="D6" s="891"/>
      <c r="E6" s="891"/>
      <c r="F6" s="891"/>
      <c r="G6" s="891"/>
      <c r="H6" s="891"/>
      <c r="I6" s="871" t="s">
        <v>11</v>
      </c>
      <c r="J6" s="891" t="s">
        <v>12</v>
      </c>
      <c r="K6" s="871" t="s">
        <v>13</v>
      </c>
      <c r="L6" s="891" t="s">
        <v>14</v>
      </c>
      <c r="M6" s="891"/>
      <c r="N6" s="891"/>
      <c r="O6" s="891"/>
      <c r="P6" s="891"/>
      <c r="Q6" s="891"/>
      <c r="R6" s="891"/>
      <c r="S6" s="891"/>
      <c r="T6" s="891"/>
      <c r="U6" s="891"/>
      <c r="V6" s="891"/>
      <c r="W6" s="891"/>
      <c r="X6" s="891" t="s">
        <v>15</v>
      </c>
      <c r="Y6" s="891"/>
      <c r="Z6" s="892"/>
      <c r="AA6" s="855"/>
    </row>
    <row r="7" spans="1:27" ht="59.25">
      <c r="A7" s="922"/>
      <c r="B7" s="891"/>
      <c r="C7" s="891"/>
      <c r="D7" s="891"/>
      <c r="E7" s="891"/>
      <c r="F7" s="891"/>
      <c r="G7" s="891"/>
      <c r="H7" s="891"/>
      <c r="I7" s="891"/>
      <c r="J7" s="891"/>
      <c r="K7" s="891"/>
      <c r="L7" s="215" t="s">
        <v>16</v>
      </c>
      <c r="M7" s="215" t="s">
        <v>17</v>
      </c>
      <c r="N7" s="215" t="s">
        <v>18</v>
      </c>
      <c r="O7" s="215" t="s">
        <v>19</v>
      </c>
      <c r="P7" s="215" t="s">
        <v>20</v>
      </c>
      <c r="Q7" s="215" t="s">
        <v>21</v>
      </c>
      <c r="R7" s="215" t="s">
        <v>22</v>
      </c>
      <c r="S7" s="215" t="s">
        <v>23</v>
      </c>
      <c r="T7" s="215" t="s">
        <v>24</v>
      </c>
      <c r="U7" s="215" t="s">
        <v>25</v>
      </c>
      <c r="V7" s="215" t="s">
        <v>26</v>
      </c>
      <c r="W7" s="215" t="s">
        <v>27</v>
      </c>
      <c r="X7" s="891"/>
      <c r="Y7" s="891"/>
      <c r="Z7" s="892"/>
      <c r="AA7" s="855"/>
    </row>
    <row r="8" spans="1:27" s="216" customFormat="1" ht="24">
      <c r="A8" s="7" t="s">
        <v>28</v>
      </c>
      <c r="B8" s="647" t="s">
        <v>611</v>
      </c>
      <c r="C8" s="647"/>
      <c r="D8" s="647"/>
      <c r="E8" s="647"/>
      <c r="F8" s="647"/>
      <c r="G8" s="647"/>
      <c r="H8" s="647"/>
      <c r="I8" s="132">
        <v>20</v>
      </c>
      <c r="J8" s="133" t="s">
        <v>612</v>
      </c>
      <c r="K8" s="10"/>
      <c r="L8" s="30"/>
      <c r="M8" s="30"/>
      <c r="N8" s="30"/>
      <c r="O8" s="30" t="s">
        <v>246</v>
      </c>
      <c r="P8" s="30" t="s">
        <v>246</v>
      </c>
      <c r="Q8" s="30" t="s">
        <v>246</v>
      </c>
      <c r="R8" s="30" t="s">
        <v>246</v>
      </c>
      <c r="S8" s="30" t="s">
        <v>246</v>
      </c>
      <c r="T8" s="30" t="s">
        <v>246</v>
      </c>
      <c r="U8" s="30" t="s">
        <v>246</v>
      </c>
      <c r="V8" s="30" t="s">
        <v>246</v>
      </c>
      <c r="W8" s="30"/>
      <c r="X8" s="475"/>
      <c r="Y8" s="475"/>
      <c r="Z8" s="476"/>
      <c r="AA8" s="855"/>
    </row>
    <row r="9" spans="1:27" s="216" customFormat="1" ht="24">
      <c r="A9" s="7" t="s">
        <v>66</v>
      </c>
      <c r="B9" s="647" t="s">
        <v>613</v>
      </c>
      <c r="C9" s="647"/>
      <c r="D9" s="647"/>
      <c r="E9" s="647"/>
      <c r="F9" s="647"/>
      <c r="G9" s="647"/>
      <c r="H9" s="647"/>
      <c r="I9" s="132">
        <v>25</v>
      </c>
      <c r="J9" s="133" t="s">
        <v>614</v>
      </c>
      <c r="K9" s="10"/>
      <c r="L9" s="30"/>
      <c r="M9" s="30"/>
      <c r="N9" s="30"/>
      <c r="O9" s="30"/>
      <c r="P9" s="30" t="s">
        <v>246</v>
      </c>
      <c r="Q9" s="30"/>
      <c r="R9" s="30"/>
      <c r="S9" s="30"/>
      <c r="T9" s="30"/>
      <c r="U9" s="30"/>
      <c r="V9" s="30"/>
      <c r="W9" s="30"/>
      <c r="X9" s="475"/>
      <c r="Y9" s="475"/>
      <c r="Z9" s="476"/>
      <c r="AA9" s="855"/>
    </row>
    <row r="10" spans="1:27" s="216" customFormat="1" ht="24">
      <c r="A10" s="7" t="s">
        <v>68</v>
      </c>
      <c r="B10" s="647" t="s">
        <v>615</v>
      </c>
      <c r="C10" s="647"/>
      <c r="D10" s="647"/>
      <c r="E10" s="647"/>
      <c r="F10" s="647"/>
      <c r="G10" s="647"/>
      <c r="H10" s="647"/>
      <c r="I10" s="132">
        <v>20</v>
      </c>
      <c r="J10" s="133" t="s">
        <v>614</v>
      </c>
      <c r="K10" s="10"/>
      <c r="L10" s="30"/>
      <c r="M10" s="30"/>
      <c r="N10" s="30"/>
      <c r="O10" s="30" t="s">
        <v>246</v>
      </c>
      <c r="P10" s="30" t="s">
        <v>246</v>
      </c>
      <c r="Q10" s="30" t="s">
        <v>246</v>
      </c>
      <c r="R10" s="30" t="s">
        <v>246</v>
      </c>
      <c r="S10" s="30" t="s">
        <v>246</v>
      </c>
      <c r="T10" s="30" t="s">
        <v>246</v>
      </c>
      <c r="U10" s="30" t="s">
        <v>246</v>
      </c>
      <c r="V10" s="30" t="s">
        <v>246</v>
      </c>
      <c r="W10" s="30"/>
      <c r="X10" s="468"/>
      <c r="Y10" s="468"/>
      <c r="Z10" s="469"/>
      <c r="AA10" s="855"/>
    </row>
    <row r="11" spans="1:27" s="216" customFormat="1" ht="24">
      <c r="A11" s="7" t="s">
        <v>70</v>
      </c>
      <c r="B11" s="647" t="s">
        <v>616</v>
      </c>
      <c r="C11" s="647"/>
      <c r="D11" s="647"/>
      <c r="E11" s="647"/>
      <c r="F11" s="647"/>
      <c r="G11" s="647"/>
      <c r="H11" s="647"/>
      <c r="I11" s="132">
        <v>20</v>
      </c>
      <c r="J11" s="133" t="s">
        <v>614</v>
      </c>
      <c r="K11" s="10"/>
      <c r="L11" s="30"/>
      <c r="M11" s="30"/>
      <c r="N11" s="30"/>
      <c r="O11" s="30" t="s">
        <v>246</v>
      </c>
      <c r="P11" s="30" t="s">
        <v>246</v>
      </c>
      <c r="Q11" s="30" t="s">
        <v>246</v>
      </c>
      <c r="R11" s="30" t="s">
        <v>246</v>
      </c>
      <c r="S11" s="30" t="s">
        <v>246</v>
      </c>
      <c r="T11" s="30" t="s">
        <v>246</v>
      </c>
      <c r="U11" s="30" t="s">
        <v>246</v>
      </c>
      <c r="V11" s="30" t="s">
        <v>246</v>
      </c>
      <c r="W11" s="30"/>
      <c r="X11" s="468"/>
      <c r="Y11" s="468"/>
      <c r="Z11" s="469"/>
      <c r="AA11" s="855"/>
    </row>
    <row r="12" spans="1:27" s="216" customFormat="1" ht="24">
      <c r="A12" s="7" t="s">
        <v>153</v>
      </c>
      <c r="B12" s="647" t="s">
        <v>617</v>
      </c>
      <c r="C12" s="647"/>
      <c r="D12" s="647"/>
      <c r="E12" s="647"/>
      <c r="F12" s="647"/>
      <c r="G12" s="647"/>
      <c r="H12" s="647"/>
      <c r="I12" s="132">
        <v>15</v>
      </c>
      <c r="J12" s="133" t="s">
        <v>612</v>
      </c>
      <c r="K12" s="10"/>
      <c r="L12" s="30"/>
      <c r="M12" s="30"/>
      <c r="N12" s="30"/>
      <c r="O12" s="30" t="s">
        <v>246</v>
      </c>
      <c r="P12" s="30" t="s">
        <v>246</v>
      </c>
      <c r="Q12" s="30" t="s">
        <v>246</v>
      </c>
      <c r="R12" s="30" t="s">
        <v>246</v>
      </c>
      <c r="S12" s="30" t="s">
        <v>246</v>
      </c>
      <c r="T12" s="30" t="s">
        <v>246</v>
      </c>
      <c r="U12" s="30" t="s">
        <v>246</v>
      </c>
      <c r="V12" s="30" t="s">
        <v>246</v>
      </c>
      <c r="W12" s="30"/>
      <c r="X12" s="475"/>
      <c r="Y12" s="475"/>
      <c r="Z12" s="476"/>
      <c r="AA12" s="855"/>
    </row>
    <row r="13" spans="1:27" ht="57.75" customHeight="1">
      <c r="A13" s="868" t="s">
        <v>618</v>
      </c>
      <c r="B13" s="869"/>
      <c r="C13" s="869"/>
      <c r="D13" s="869"/>
      <c r="E13" s="870"/>
      <c r="F13" s="871" t="s">
        <v>619</v>
      </c>
      <c r="G13" s="871"/>
      <c r="H13" s="871"/>
      <c r="I13" s="871"/>
      <c r="J13" s="871"/>
      <c r="K13" s="871" t="s">
        <v>44</v>
      </c>
      <c r="L13" s="871"/>
      <c r="M13" s="871"/>
      <c r="N13" s="871"/>
      <c r="O13" s="872" t="s">
        <v>620</v>
      </c>
      <c r="P13" s="873"/>
      <c r="Q13" s="873"/>
      <c r="R13" s="873"/>
      <c r="S13" s="873"/>
      <c r="T13" s="873"/>
      <c r="U13" s="873"/>
      <c r="V13" s="873"/>
      <c r="W13" s="874"/>
      <c r="X13" s="871" t="s">
        <v>46</v>
      </c>
      <c r="Y13" s="871"/>
      <c r="Z13" s="871"/>
      <c r="AA13" s="855"/>
    </row>
    <row r="14" spans="1:27" s="217" customFormat="1" ht="28.5">
      <c r="A14" s="875"/>
      <c r="B14" s="876"/>
      <c r="C14" s="876"/>
      <c r="D14" s="876"/>
      <c r="E14" s="877"/>
      <c r="F14" s="883"/>
      <c r="G14" s="884"/>
      <c r="H14" s="884"/>
      <c r="I14" s="884"/>
      <c r="J14" s="885"/>
      <c r="K14" s="893" t="s">
        <v>621</v>
      </c>
      <c r="L14" s="893"/>
      <c r="M14" s="893"/>
      <c r="N14" s="893"/>
      <c r="O14" s="894"/>
      <c r="P14" s="895"/>
      <c r="Q14" s="895"/>
      <c r="R14" s="895"/>
      <c r="S14" s="895"/>
      <c r="T14" s="895"/>
      <c r="U14" s="895"/>
      <c r="V14" s="895"/>
      <c r="W14" s="896"/>
      <c r="X14" s="894"/>
      <c r="Y14" s="895"/>
      <c r="Z14" s="902"/>
    </row>
    <row r="15" spans="1:27" s="217" customFormat="1" ht="28.5">
      <c r="A15" s="878"/>
      <c r="B15" s="602"/>
      <c r="C15" s="602"/>
      <c r="D15" s="602"/>
      <c r="E15" s="879"/>
      <c r="F15" s="886"/>
      <c r="G15" s="639"/>
      <c r="H15" s="639"/>
      <c r="I15" s="639"/>
      <c r="J15" s="887"/>
      <c r="K15" s="893"/>
      <c r="L15" s="893"/>
      <c r="M15" s="893"/>
      <c r="N15" s="893"/>
      <c r="O15" s="897"/>
      <c r="P15" s="614"/>
      <c r="Q15" s="614"/>
      <c r="R15" s="614"/>
      <c r="S15" s="614"/>
      <c r="T15" s="614"/>
      <c r="U15" s="614"/>
      <c r="V15" s="614"/>
      <c r="W15" s="898"/>
      <c r="X15" s="897"/>
      <c r="Y15" s="614"/>
      <c r="Z15" s="903"/>
    </row>
    <row r="16" spans="1:27" s="217" customFormat="1" ht="28.5">
      <c r="A16" s="878"/>
      <c r="B16" s="602"/>
      <c r="C16" s="602"/>
      <c r="D16" s="602"/>
      <c r="E16" s="879"/>
      <c r="F16" s="886"/>
      <c r="G16" s="639"/>
      <c r="H16" s="639"/>
      <c r="I16" s="639"/>
      <c r="J16" s="887"/>
      <c r="K16" s="893" t="s">
        <v>622</v>
      </c>
      <c r="L16" s="893"/>
      <c r="M16" s="893"/>
      <c r="N16" s="893"/>
      <c r="O16" s="897"/>
      <c r="P16" s="614"/>
      <c r="Q16" s="614"/>
      <c r="R16" s="614"/>
      <c r="S16" s="614"/>
      <c r="T16" s="614"/>
      <c r="U16" s="614"/>
      <c r="V16" s="614"/>
      <c r="W16" s="898"/>
      <c r="X16" s="897"/>
      <c r="Y16" s="614"/>
      <c r="Z16" s="903"/>
    </row>
    <row r="17" spans="1:26" s="217" customFormat="1" ht="29.25" thickBot="1">
      <c r="A17" s="880"/>
      <c r="B17" s="881"/>
      <c r="C17" s="881"/>
      <c r="D17" s="881"/>
      <c r="E17" s="882"/>
      <c r="F17" s="888"/>
      <c r="G17" s="889"/>
      <c r="H17" s="889"/>
      <c r="I17" s="889"/>
      <c r="J17" s="890"/>
      <c r="K17" s="905"/>
      <c r="L17" s="905"/>
      <c r="M17" s="905"/>
      <c r="N17" s="905"/>
      <c r="O17" s="899"/>
      <c r="P17" s="900"/>
      <c r="Q17" s="900"/>
      <c r="R17" s="900"/>
      <c r="S17" s="900"/>
      <c r="T17" s="900"/>
      <c r="U17" s="900"/>
      <c r="V17" s="900"/>
      <c r="W17" s="901"/>
      <c r="X17" s="899"/>
      <c r="Y17" s="900"/>
      <c r="Z17" s="904"/>
    </row>
    <row r="18" spans="1:26" ht="18.75" thickTop="1"/>
  </sheetData>
  <mergeCells count="40">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X11:Z11"/>
    <mergeCell ref="B12:H12"/>
    <mergeCell ref="X12:Z12"/>
    <mergeCell ref="A13:E13"/>
    <mergeCell ref="F13:J13"/>
    <mergeCell ref="K13:N13"/>
    <mergeCell ref="O13:W13"/>
    <mergeCell ref="X13:Z13"/>
  </mergeCells>
  <printOptions horizontalCentered="1" verticalCentered="1"/>
  <pageMargins left="0" right="0" top="0" bottom="0" header="0" footer="0"/>
  <pageSetup scale="40" orientation="landscape"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CBD4-388C-43F7-91EB-8311B61F9782}">
  <dimension ref="A1:AC16"/>
  <sheetViews>
    <sheetView rightToLeft="1" zoomScale="70" zoomScaleNormal="70" zoomScaleSheetLayoutView="70" workbookViewId="0">
      <selection activeCell="AC11" sqref="AC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64.5" customHeight="1">
      <c r="A3" s="455" t="s">
        <v>2565</v>
      </c>
      <c r="B3" s="456"/>
      <c r="C3" s="456"/>
      <c r="D3" s="456"/>
      <c r="E3" s="456"/>
      <c r="F3" s="456"/>
      <c r="G3" s="456" t="s">
        <v>3</v>
      </c>
      <c r="H3" s="456"/>
      <c r="I3" s="730" t="s">
        <v>2561</v>
      </c>
      <c r="J3" s="730"/>
      <c r="K3" s="730"/>
      <c r="L3" s="730"/>
      <c r="M3" s="730"/>
      <c r="N3" s="730"/>
      <c r="O3" s="730"/>
      <c r="P3" s="730"/>
      <c r="Q3" s="730"/>
      <c r="R3" s="730"/>
      <c r="S3" s="730"/>
      <c r="T3" s="730"/>
      <c r="U3" s="730"/>
      <c r="V3" s="730"/>
      <c r="W3" s="730"/>
      <c r="X3" s="730"/>
      <c r="Y3" s="730"/>
      <c r="Z3" s="731"/>
      <c r="AA3" s="451"/>
    </row>
    <row r="4" spans="1:29" s="3" customFormat="1" ht="28.5" customHeight="1">
      <c r="A4" s="460" t="s">
        <v>517</v>
      </c>
      <c r="B4" s="461"/>
      <c r="C4" s="461"/>
      <c r="D4" s="461"/>
      <c r="E4" s="461"/>
      <c r="F4" s="462"/>
      <c r="G4" s="456" t="s">
        <v>242</v>
      </c>
      <c r="H4" s="456"/>
      <c r="I4" s="730"/>
      <c r="J4" s="730"/>
      <c r="K4" s="730"/>
      <c r="L4" s="730"/>
      <c r="M4" s="730"/>
      <c r="N4" s="730"/>
      <c r="O4" s="730"/>
      <c r="P4" s="730"/>
      <c r="Q4" s="730"/>
      <c r="R4" s="730"/>
      <c r="S4" s="730"/>
      <c r="T4" s="730"/>
      <c r="U4" s="730"/>
      <c r="V4" s="730"/>
      <c r="W4" s="730"/>
      <c r="X4" s="730"/>
      <c r="Y4" s="730"/>
      <c r="Z4" s="731"/>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939" t="s">
        <v>9</v>
      </c>
      <c r="B6" s="472" t="s">
        <v>10</v>
      </c>
      <c r="C6" s="472"/>
      <c r="D6" s="472"/>
      <c r="E6" s="472"/>
      <c r="F6" s="472"/>
      <c r="G6" s="472"/>
      <c r="H6" s="472"/>
      <c r="I6" s="472" t="s">
        <v>11</v>
      </c>
      <c r="J6" s="472" t="s">
        <v>12</v>
      </c>
      <c r="K6" s="472" t="s">
        <v>13</v>
      </c>
      <c r="L6" s="472" t="s">
        <v>14</v>
      </c>
      <c r="M6" s="472"/>
      <c r="N6" s="472"/>
      <c r="O6" s="472"/>
      <c r="P6" s="472"/>
      <c r="Q6" s="472"/>
      <c r="R6" s="472"/>
      <c r="S6" s="472"/>
      <c r="T6" s="472"/>
      <c r="U6" s="472"/>
      <c r="V6" s="472"/>
      <c r="W6" s="472"/>
      <c r="X6" s="472" t="s">
        <v>15</v>
      </c>
      <c r="Y6" s="472"/>
      <c r="Z6" s="741"/>
      <c r="AA6" s="451"/>
    </row>
    <row r="7" spans="1:29" ht="50.25">
      <c r="A7" s="939"/>
      <c r="B7" s="472"/>
      <c r="C7" s="472"/>
      <c r="D7" s="472"/>
      <c r="E7" s="472"/>
      <c r="F7" s="472"/>
      <c r="G7" s="472"/>
      <c r="H7" s="472"/>
      <c r="I7" s="472"/>
      <c r="J7" s="472"/>
      <c r="K7" s="472"/>
      <c r="L7" s="200" t="s">
        <v>16</v>
      </c>
      <c r="M7" s="200" t="s">
        <v>17</v>
      </c>
      <c r="N7" s="200" t="s">
        <v>18</v>
      </c>
      <c r="O7" s="200" t="s">
        <v>19</v>
      </c>
      <c r="P7" s="200" t="s">
        <v>20</v>
      </c>
      <c r="Q7" s="200" t="s">
        <v>21</v>
      </c>
      <c r="R7" s="200" t="s">
        <v>22</v>
      </c>
      <c r="S7" s="200" t="s">
        <v>23</v>
      </c>
      <c r="T7" s="200" t="s">
        <v>24</v>
      </c>
      <c r="U7" s="200" t="s">
        <v>25</v>
      </c>
      <c r="V7" s="200" t="s">
        <v>26</v>
      </c>
      <c r="W7" s="200" t="s">
        <v>27</v>
      </c>
      <c r="X7" s="472"/>
      <c r="Y7" s="472"/>
      <c r="Z7" s="741"/>
      <c r="AA7" s="451"/>
    </row>
    <row r="8" spans="1:29" s="14" customFormat="1" ht="51" customHeight="1">
      <c r="A8" s="201" t="s">
        <v>28</v>
      </c>
      <c r="B8" s="923" t="s">
        <v>2562</v>
      </c>
      <c r="C8" s="923"/>
      <c r="D8" s="923"/>
      <c r="E8" s="923"/>
      <c r="F8" s="923"/>
      <c r="G8" s="923"/>
      <c r="H8" s="923"/>
      <c r="I8" s="202">
        <v>30</v>
      </c>
      <c r="J8" s="202" t="s">
        <v>519</v>
      </c>
      <c r="K8" s="10"/>
      <c r="L8" s="204"/>
      <c r="M8" s="203"/>
      <c r="N8" s="204"/>
      <c r="O8" s="204"/>
      <c r="P8" s="204"/>
      <c r="Q8" s="204"/>
      <c r="R8" s="204"/>
      <c r="S8" s="204"/>
      <c r="T8" s="204"/>
      <c r="U8" s="204"/>
      <c r="V8" s="204"/>
      <c r="W8" s="204"/>
      <c r="X8" s="475"/>
      <c r="Y8" s="475"/>
      <c r="Z8" s="476"/>
      <c r="AA8" s="451"/>
      <c r="AC8" s="14">
        <v>30</v>
      </c>
    </row>
    <row r="9" spans="1:29" s="14" customFormat="1" ht="51" customHeight="1">
      <c r="A9" s="201" t="s">
        <v>66</v>
      </c>
      <c r="B9" s="923" t="s">
        <v>2563</v>
      </c>
      <c r="C9" s="923"/>
      <c r="D9" s="923"/>
      <c r="E9" s="923"/>
      <c r="F9" s="923"/>
      <c r="G9" s="923"/>
      <c r="H9" s="923"/>
      <c r="I9" s="202">
        <v>40</v>
      </c>
      <c r="J9" s="202" t="s">
        <v>519</v>
      </c>
      <c r="K9" s="10"/>
      <c r="L9" s="204"/>
      <c r="M9" s="204"/>
      <c r="N9" s="203"/>
      <c r="O9" s="203"/>
      <c r="P9" s="204"/>
      <c r="Q9" s="204"/>
      <c r="R9" s="204"/>
      <c r="S9" s="204"/>
      <c r="T9" s="204"/>
      <c r="U9" s="204"/>
      <c r="V9" s="204"/>
      <c r="W9" s="204"/>
      <c r="X9" s="475"/>
      <c r="Y9" s="475"/>
      <c r="Z9" s="476"/>
      <c r="AA9" s="451"/>
      <c r="AC9" s="14">
        <v>20</v>
      </c>
    </row>
    <row r="10" spans="1:29" s="14" customFormat="1" ht="51" customHeight="1">
      <c r="A10" s="201" t="s">
        <v>68</v>
      </c>
      <c r="B10" s="923" t="s">
        <v>2564</v>
      </c>
      <c r="C10" s="923"/>
      <c r="D10" s="923"/>
      <c r="E10" s="923"/>
      <c r="F10" s="923"/>
      <c r="G10" s="923"/>
      <c r="H10" s="923"/>
      <c r="I10" s="202">
        <v>30</v>
      </c>
      <c r="J10" s="202" t="s">
        <v>519</v>
      </c>
      <c r="K10" s="10"/>
      <c r="L10" s="204"/>
      <c r="M10" s="204"/>
      <c r="N10" s="203"/>
      <c r="O10" s="203"/>
      <c r="P10" s="204"/>
      <c r="Q10" s="204"/>
      <c r="R10" s="204"/>
      <c r="S10" s="204"/>
      <c r="T10" s="204"/>
      <c r="U10" s="204"/>
      <c r="V10" s="204"/>
      <c r="W10" s="204"/>
      <c r="X10" s="475"/>
      <c r="Y10" s="475"/>
      <c r="Z10" s="476"/>
      <c r="AA10" s="451"/>
      <c r="AC10" s="14">
        <v>15</v>
      </c>
    </row>
    <row r="11" spans="1:29" ht="57.75" customHeight="1">
      <c r="A11" s="926" t="s">
        <v>42</v>
      </c>
      <c r="B11" s="492"/>
      <c r="C11" s="492"/>
      <c r="D11" s="492"/>
      <c r="E11" s="493"/>
      <c r="F11" s="472" t="s">
        <v>43</v>
      </c>
      <c r="G11" s="472"/>
      <c r="H11" s="472"/>
      <c r="I11" s="472"/>
      <c r="J11" s="472"/>
      <c r="K11" s="472" t="s">
        <v>44</v>
      </c>
      <c r="L11" s="472"/>
      <c r="M11" s="472"/>
      <c r="N11" s="472"/>
      <c r="O11" s="491" t="s">
        <v>45</v>
      </c>
      <c r="P11" s="492"/>
      <c r="Q11" s="492"/>
      <c r="R11" s="492"/>
      <c r="S11" s="492"/>
      <c r="T11" s="492"/>
      <c r="U11" s="492"/>
      <c r="V11" s="492"/>
      <c r="W11" s="493"/>
      <c r="X11" s="472" t="s">
        <v>46</v>
      </c>
      <c r="Y11" s="472"/>
      <c r="Z11" s="472"/>
      <c r="AA11" s="451"/>
    </row>
    <row r="12" spans="1:29" s="20" customFormat="1" ht="28.5">
      <c r="A12" s="927"/>
      <c r="B12" s="478"/>
      <c r="C12" s="478"/>
      <c r="D12" s="478"/>
      <c r="E12" s="512"/>
      <c r="F12" s="930"/>
      <c r="G12" s="931"/>
      <c r="H12" s="931"/>
      <c r="I12" s="931"/>
      <c r="J12" s="932"/>
      <c r="K12" s="924" t="s">
        <v>47</v>
      </c>
      <c r="L12" s="924"/>
      <c r="M12" s="924"/>
      <c r="N12" s="924"/>
      <c r="O12" s="477"/>
      <c r="P12" s="478"/>
      <c r="Q12" s="478"/>
      <c r="R12" s="478"/>
      <c r="S12" s="478"/>
      <c r="T12" s="478"/>
      <c r="U12" s="478"/>
      <c r="V12" s="478"/>
      <c r="W12" s="512"/>
      <c r="X12" s="477"/>
      <c r="Y12" s="478"/>
      <c r="Z12" s="479"/>
    </row>
    <row r="13" spans="1:29" s="20" customFormat="1" ht="28.5">
      <c r="A13" s="928"/>
      <c r="B13" s="481"/>
      <c r="C13" s="481"/>
      <c r="D13" s="481"/>
      <c r="E13" s="513"/>
      <c r="F13" s="933"/>
      <c r="G13" s="934"/>
      <c r="H13" s="934"/>
      <c r="I13" s="934"/>
      <c r="J13" s="935"/>
      <c r="K13" s="924"/>
      <c r="L13" s="924"/>
      <c r="M13" s="924"/>
      <c r="N13" s="924"/>
      <c r="O13" s="480"/>
      <c r="P13" s="481"/>
      <c r="Q13" s="481"/>
      <c r="R13" s="481"/>
      <c r="S13" s="481"/>
      <c r="T13" s="481"/>
      <c r="U13" s="481"/>
      <c r="V13" s="481"/>
      <c r="W13" s="513"/>
      <c r="X13" s="480"/>
      <c r="Y13" s="481"/>
      <c r="Z13" s="482"/>
    </row>
    <row r="14" spans="1:29" s="20" customFormat="1" ht="28.5">
      <c r="A14" s="928"/>
      <c r="B14" s="481"/>
      <c r="C14" s="481"/>
      <c r="D14" s="481"/>
      <c r="E14" s="513"/>
      <c r="F14" s="933"/>
      <c r="G14" s="934"/>
      <c r="H14" s="934"/>
      <c r="I14" s="934"/>
      <c r="J14" s="935"/>
      <c r="K14" s="924" t="s">
        <v>48</v>
      </c>
      <c r="L14" s="924"/>
      <c r="M14" s="924"/>
      <c r="N14" s="924"/>
      <c r="O14" s="480"/>
      <c r="P14" s="481"/>
      <c r="Q14" s="481"/>
      <c r="R14" s="481"/>
      <c r="S14" s="481"/>
      <c r="T14" s="481"/>
      <c r="U14" s="481"/>
      <c r="V14" s="481"/>
      <c r="W14" s="513"/>
      <c r="X14" s="480"/>
      <c r="Y14" s="481"/>
      <c r="Z14" s="482"/>
    </row>
    <row r="15" spans="1:29" s="20" customFormat="1" ht="29.25" thickBot="1">
      <c r="A15" s="929"/>
      <c r="B15" s="484"/>
      <c r="C15" s="484"/>
      <c r="D15" s="484"/>
      <c r="E15" s="514"/>
      <c r="F15" s="936"/>
      <c r="G15" s="937"/>
      <c r="H15" s="937"/>
      <c r="I15" s="937"/>
      <c r="J15" s="938"/>
      <c r="K15" s="925"/>
      <c r="L15" s="925"/>
      <c r="M15" s="925"/>
      <c r="N15" s="925"/>
      <c r="O15" s="483"/>
      <c r="P15" s="484"/>
      <c r="Q15" s="484"/>
      <c r="R15" s="484"/>
      <c r="S15" s="484"/>
      <c r="T15" s="484"/>
      <c r="U15" s="484"/>
      <c r="V15" s="484"/>
      <c r="W15" s="514"/>
      <c r="X15" s="483"/>
      <c r="Y15" s="484"/>
      <c r="Z15" s="485"/>
    </row>
    <row r="16" spans="1:29" ht="18.75" thickTop="1"/>
  </sheetData>
  <mergeCells count="36">
    <mergeCell ref="A1:Y1"/>
    <mergeCell ref="AA1:AA1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X12:Z15"/>
    <mergeCell ref="K14:K15"/>
    <mergeCell ref="L14:N15"/>
    <mergeCell ref="A11:E11"/>
    <mergeCell ref="F11:J11"/>
    <mergeCell ref="K11:N11"/>
    <mergeCell ref="O11:W11"/>
    <mergeCell ref="X11:Z11"/>
    <mergeCell ref="A12:E15"/>
    <mergeCell ref="F12:J15"/>
    <mergeCell ref="K12:K13"/>
    <mergeCell ref="L12:N13"/>
    <mergeCell ref="O12:W15"/>
  </mergeCells>
  <printOptions horizontalCentered="1" verticalCentered="1"/>
  <pageMargins left="0" right="0" top="0" bottom="0" header="0" footer="0"/>
  <pageSetup scale="40" orientation="landscape"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3C9A-E95B-4F89-BA45-43F181CD762D}">
  <dimension ref="A1:AC16"/>
  <sheetViews>
    <sheetView rightToLeft="1" zoomScale="70" zoomScaleNormal="70" zoomScaleSheetLayoutView="70" workbookViewId="0">
      <selection activeCell="A4" sqref="A4:F5"/>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64.5" customHeight="1">
      <c r="A3" s="455" t="s">
        <v>2560</v>
      </c>
      <c r="B3" s="456"/>
      <c r="C3" s="456"/>
      <c r="D3" s="456"/>
      <c r="E3" s="456"/>
      <c r="F3" s="456"/>
      <c r="G3" s="456" t="s">
        <v>3</v>
      </c>
      <c r="H3" s="456"/>
      <c r="I3" s="730" t="s">
        <v>2561</v>
      </c>
      <c r="J3" s="730"/>
      <c r="K3" s="730"/>
      <c r="L3" s="730"/>
      <c r="M3" s="730"/>
      <c r="N3" s="730"/>
      <c r="O3" s="730"/>
      <c r="P3" s="730"/>
      <c r="Q3" s="730"/>
      <c r="R3" s="730"/>
      <c r="S3" s="730"/>
      <c r="T3" s="730"/>
      <c r="U3" s="730"/>
      <c r="V3" s="730"/>
      <c r="W3" s="730"/>
      <c r="X3" s="730"/>
      <c r="Y3" s="730"/>
      <c r="Z3" s="731"/>
      <c r="AA3" s="451"/>
    </row>
    <row r="4" spans="1:29" s="3" customFormat="1" ht="28.5" customHeight="1">
      <c r="A4" s="460" t="s">
        <v>517</v>
      </c>
      <c r="B4" s="461"/>
      <c r="C4" s="461"/>
      <c r="D4" s="461"/>
      <c r="E4" s="461"/>
      <c r="F4" s="462"/>
      <c r="G4" s="456" t="s">
        <v>242</v>
      </c>
      <c r="H4" s="456"/>
      <c r="I4" s="730"/>
      <c r="J4" s="730"/>
      <c r="K4" s="730"/>
      <c r="L4" s="730"/>
      <c r="M4" s="730"/>
      <c r="N4" s="730"/>
      <c r="O4" s="730"/>
      <c r="P4" s="730"/>
      <c r="Q4" s="730"/>
      <c r="R4" s="730"/>
      <c r="S4" s="730"/>
      <c r="T4" s="730"/>
      <c r="U4" s="730"/>
      <c r="V4" s="730"/>
      <c r="W4" s="730"/>
      <c r="X4" s="730"/>
      <c r="Y4" s="730"/>
      <c r="Z4" s="731"/>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939" t="s">
        <v>9</v>
      </c>
      <c r="B6" s="472" t="s">
        <v>10</v>
      </c>
      <c r="C6" s="472"/>
      <c r="D6" s="472"/>
      <c r="E6" s="472"/>
      <c r="F6" s="472"/>
      <c r="G6" s="472"/>
      <c r="H6" s="472"/>
      <c r="I6" s="472" t="s">
        <v>11</v>
      </c>
      <c r="J6" s="472" t="s">
        <v>12</v>
      </c>
      <c r="K6" s="472" t="s">
        <v>13</v>
      </c>
      <c r="L6" s="472" t="s">
        <v>14</v>
      </c>
      <c r="M6" s="472"/>
      <c r="N6" s="472"/>
      <c r="O6" s="472"/>
      <c r="P6" s="472"/>
      <c r="Q6" s="472"/>
      <c r="R6" s="472"/>
      <c r="S6" s="472"/>
      <c r="T6" s="472"/>
      <c r="U6" s="472"/>
      <c r="V6" s="472"/>
      <c r="W6" s="472"/>
      <c r="X6" s="472" t="s">
        <v>15</v>
      </c>
      <c r="Y6" s="472"/>
      <c r="Z6" s="741"/>
      <c r="AA6" s="451"/>
    </row>
    <row r="7" spans="1:29" ht="50.25">
      <c r="A7" s="939"/>
      <c r="B7" s="472"/>
      <c r="C7" s="472"/>
      <c r="D7" s="472"/>
      <c r="E7" s="472"/>
      <c r="F7" s="472"/>
      <c r="G7" s="472"/>
      <c r="H7" s="472"/>
      <c r="I7" s="472"/>
      <c r="J7" s="472"/>
      <c r="K7" s="472"/>
      <c r="L7" s="200" t="s">
        <v>16</v>
      </c>
      <c r="M7" s="200" t="s">
        <v>17</v>
      </c>
      <c r="N7" s="200" t="s">
        <v>18</v>
      </c>
      <c r="O7" s="200" t="s">
        <v>19</v>
      </c>
      <c r="P7" s="200" t="s">
        <v>20</v>
      </c>
      <c r="Q7" s="200" t="s">
        <v>21</v>
      </c>
      <c r="R7" s="200" t="s">
        <v>22</v>
      </c>
      <c r="S7" s="200" t="s">
        <v>23</v>
      </c>
      <c r="T7" s="200" t="s">
        <v>24</v>
      </c>
      <c r="U7" s="200" t="s">
        <v>25</v>
      </c>
      <c r="V7" s="200" t="s">
        <v>26</v>
      </c>
      <c r="W7" s="200" t="s">
        <v>27</v>
      </c>
      <c r="X7" s="472"/>
      <c r="Y7" s="472"/>
      <c r="Z7" s="741"/>
      <c r="AA7" s="451"/>
    </row>
    <row r="8" spans="1:29" s="14" customFormat="1" ht="51" customHeight="1">
      <c r="A8" s="201" t="s">
        <v>28</v>
      </c>
      <c r="B8" s="923" t="s">
        <v>2562</v>
      </c>
      <c r="C8" s="923"/>
      <c r="D8" s="923"/>
      <c r="E8" s="923"/>
      <c r="F8" s="923"/>
      <c r="G8" s="923"/>
      <c r="H8" s="923"/>
      <c r="I8" s="202">
        <v>30</v>
      </c>
      <c r="J8" s="202" t="s">
        <v>519</v>
      </c>
      <c r="K8" s="10"/>
      <c r="L8" s="204"/>
      <c r="M8" s="203"/>
      <c r="N8" s="204"/>
      <c r="O8" s="204"/>
      <c r="P8" s="204"/>
      <c r="Q8" s="204"/>
      <c r="R8" s="204"/>
      <c r="S8" s="204"/>
      <c r="T8" s="204"/>
      <c r="U8" s="204"/>
      <c r="V8" s="204"/>
      <c r="W8" s="204"/>
      <c r="X8" s="475"/>
      <c r="Y8" s="475"/>
      <c r="Z8" s="476"/>
      <c r="AA8" s="451"/>
      <c r="AC8" s="14">
        <v>30</v>
      </c>
    </row>
    <row r="9" spans="1:29" s="14" customFormat="1" ht="51" customHeight="1">
      <c r="A9" s="201" t="s">
        <v>66</v>
      </c>
      <c r="B9" s="923" t="s">
        <v>2563</v>
      </c>
      <c r="C9" s="923"/>
      <c r="D9" s="923"/>
      <c r="E9" s="923"/>
      <c r="F9" s="923"/>
      <c r="G9" s="923"/>
      <c r="H9" s="923"/>
      <c r="I9" s="202">
        <v>40</v>
      </c>
      <c r="J9" s="202" t="s">
        <v>519</v>
      </c>
      <c r="K9" s="10"/>
      <c r="L9" s="204"/>
      <c r="M9" s="203"/>
      <c r="N9" s="203"/>
      <c r="O9" s="203"/>
      <c r="P9" s="204"/>
      <c r="Q9" s="204"/>
      <c r="R9" s="204"/>
      <c r="S9" s="204"/>
      <c r="T9" s="204"/>
      <c r="U9" s="204"/>
      <c r="V9" s="204"/>
      <c r="W9" s="204"/>
      <c r="X9" s="475"/>
      <c r="Y9" s="475"/>
      <c r="Z9" s="476"/>
      <c r="AA9" s="451"/>
      <c r="AC9" s="14">
        <f>(I9/3)*2</f>
        <v>26.666666666666668</v>
      </c>
    </row>
    <row r="10" spans="1:29" s="14" customFormat="1" ht="51" customHeight="1">
      <c r="A10" s="201" t="s">
        <v>68</v>
      </c>
      <c r="B10" s="923" t="s">
        <v>2564</v>
      </c>
      <c r="C10" s="923"/>
      <c r="D10" s="923"/>
      <c r="E10" s="923"/>
      <c r="F10" s="923"/>
      <c r="G10" s="923"/>
      <c r="H10" s="923"/>
      <c r="I10" s="202">
        <v>30</v>
      </c>
      <c r="J10" s="202" t="s">
        <v>519</v>
      </c>
      <c r="K10" s="10"/>
      <c r="L10" s="204"/>
      <c r="M10" s="203"/>
      <c r="N10" s="203"/>
      <c r="O10" s="203"/>
      <c r="P10" s="204"/>
      <c r="Q10" s="204"/>
      <c r="R10" s="204"/>
      <c r="S10" s="204"/>
      <c r="T10" s="204"/>
      <c r="U10" s="204"/>
      <c r="V10" s="204"/>
      <c r="W10" s="204"/>
      <c r="X10" s="475"/>
      <c r="Y10" s="475"/>
      <c r="Z10" s="476"/>
      <c r="AA10" s="451"/>
      <c r="AC10" s="14">
        <f>(I10/3)*2</f>
        <v>20</v>
      </c>
    </row>
    <row r="11" spans="1:29" ht="57.75" customHeight="1">
      <c r="A11" s="926" t="s">
        <v>42</v>
      </c>
      <c r="B11" s="492"/>
      <c r="C11" s="492"/>
      <c r="D11" s="492"/>
      <c r="E11" s="493"/>
      <c r="F11" s="472" t="s">
        <v>43</v>
      </c>
      <c r="G11" s="472"/>
      <c r="H11" s="472"/>
      <c r="I11" s="472"/>
      <c r="J11" s="472"/>
      <c r="K11" s="472" t="s">
        <v>44</v>
      </c>
      <c r="L11" s="472"/>
      <c r="M11" s="472"/>
      <c r="N11" s="472"/>
      <c r="O11" s="491" t="s">
        <v>45</v>
      </c>
      <c r="P11" s="492"/>
      <c r="Q11" s="492"/>
      <c r="R11" s="492"/>
      <c r="S11" s="492"/>
      <c r="T11" s="492"/>
      <c r="U11" s="492"/>
      <c r="V11" s="492"/>
      <c r="W11" s="493"/>
      <c r="X11" s="472" t="s">
        <v>46</v>
      </c>
      <c r="Y11" s="472"/>
      <c r="Z11" s="472"/>
      <c r="AA11" s="451"/>
    </row>
    <row r="12" spans="1:29" s="20" customFormat="1" ht="28.5">
      <c r="A12" s="927"/>
      <c r="B12" s="478"/>
      <c r="C12" s="478"/>
      <c r="D12" s="478"/>
      <c r="E12" s="512"/>
      <c r="F12" s="930"/>
      <c r="G12" s="931"/>
      <c r="H12" s="931"/>
      <c r="I12" s="931"/>
      <c r="J12" s="932"/>
      <c r="K12" s="924" t="s">
        <v>47</v>
      </c>
      <c r="L12" s="924"/>
      <c r="M12" s="924"/>
      <c r="N12" s="924"/>
      <c r="O12" s="477"/>
      <c r="P12" s="478"/>
      <c r="Q12" s="478"/>
      <c r="R12" s="478"/>
      <c r="S12" s="478"/>
      <c r="T12" s="478"/>
      <c r="U12" s="478"/>
      <c r="V12" s="478"/>
      <c r="W12" s="512"/>
      <c r="X12" s="477"/>
      <c r="Y12" s="478"/>
      <c r="Z12" s="479"/>
    </row>
    <row r="13" spans="1:29" s="20" customFormat="1" ht="28.5">
      <c r="A13" s="928"/>
      <c r="B13" s="481"/>
      <c r="C13" s="481"/>
      <c r="D13" s="481"/>
      <c r="E13" s="513"/>
      <c r="F13" s="933"/>
      <c r="G13" s="934"/>
      <c r="H13" s="934"/>
      <c r="I13" s="934"/>
      <c r="J13" s="935"/>
      <c r="K13" s="924"/>
      <c r="L13" s="924"/>
      <c r="M13" s="924"/>
      <c r="N13" s="924"/>
      <c r="O13" s="480"/>
      <c r="P13" s="481"/>
      <c r="Q13" s="481"/>
      <c r="R13" s="481"/>
      <c r="S13" s="481"/>
      <c r="T13" s="481"/>
      <c r="U13" s="481"/>
      <c r="V13" s="481"/>
      <c r="W13" s="513"/>
      <c r="X13" s="480"/>
      <c r="Y13" s="481"/>
      <c r="Z13" s="482"/>
    </row>
    <row r="14" spans="1:29" s="20" customFormat="1" ht="28.5">
      <c r="A14" s="928"/>
      <c r="B14" s="481"/>
      <c r="C14" s="481"/>
      <c r="D14" s="481"/>
      <c r="E14" s="513"/>
      <c r="F14" s="933"/>
      <c r="G14" s="934"/>
      <c r="H14" s="934"/>
      <c r="I14" s="934"/>
      <c r="J14" s="935"/>
      <c r="K14" s="924" t="s">
        <v>48</v>
      </c>
      <c r="L14" s="924"/>
      <c r="M14" s="924"/>
      <c r="N14" s="924"/>
      <c r="O14" s="480"/>
      <c r="P14" s="481"/>
      <c r="Q14" s="481"/>
      <c r="R14" s="481"/>
      <c r="S14" s="481"/>
      <c r="T14" s="481"/>
      <c r="U14" s="481"/>
      <c r="V14" s="481"/>
      <c r="W14" s="513"/>
      <c r="X14" s="480"/>
      <c r="Y14" s="481"/>
      <c r="Z14" s="482"/>
    </row>
    <row r="15" spans="1:29" s="20" customFormat="1" ht="29.25" thickBot="1">
      <c r="A15" s="929"/>
      <c r="B15" s="484"/>
      <c r="C15" s="484"/>
      <c r="D15" s="484"/>
      <c r="E15" s="514"/>
      <c r="F15" s="936"/>
      <c r="G15" s="937"/>
      <c r="H15" s="937"/>
      <c r="I15" s="937"/>
      <c r="J15" s="938"/>
      <c r="K15" s="925"/>
      <c r="L15" s="925"/>
      <c r="M15" s="925"/>
      <c r="N15" s="925"/>
      <c r="O15" s="483"/>
      <c r="P15" s="484"/>
      <c r="Q15" s="484"/>
      <c r="R15" s="484"/>
      <c r="S15" s="484"/>
      <c r="T15" s="484"/>
      <c r="U15" s="484"/>
      <c r="V15" s="484"/>
      <c r="W15" s="514"/>
      <c r="X15" s="483"/>
      <c r="Y15" s="484"/>
      <c r="Z15" s="485"/>
    </row>
    <row r="16" spans="1:29" ht="18.75" thickTop="1"/>
  </sheetData>
  <mergeCells count="36">
    <mergeCell ref="A1:Y1"/>
    <mergeCell ref="AA1:AA1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X12:Z15"/>
    <mergeCell ref="K14:K15"/>
    <mergeCell ref="L14:N15"/>
    <mergeCell ref="A11:E11"/>
    <mergeCell ref="F11:J11"/>
    <mergeCell ref="K11:N11"/>
    <mergeCell ref="O11:W11"/>
    <mergeCell ref="X11:Z11"/>
    <mergeCell ref="A12:E15"/>
    <mergeCell ref="F12:J15"/>
    <mergeCell ref="K12:K13"/>
    <mergeCell ref="L12:N13"/>
    <mergeCell ref="O12:W15"/>
  </mergeCells>
  <printOptions horizontalCentered="1" verticalCentered="1"/>
  <pageMargins left="0" right="0" top="0" bottom="0" header="0" footer="0"/>
  <pageSetup scale="40"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4177-FC37-4BC3-AA45-FC3AF6CEDB6B}">
  <dimension ref="A1:AA18"/>
  <sheetViews>
    <sheetView rightToLeft="1" zoomScale="70" zoomScaleNormal="70" zoomScaleSheetLayoutView="70" workbookViewId="0">
      <selection activeCell="K12" sqref="K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545</v>
      </c>
      <c r="B3" s="456"/>
      <c r="C3" s="456"/>
      <c r="D3" s="456"/>
      <c r="E3" s="456"/>
      <c r="F3" s="456"/>
      <c r="G3" s="457" t="s">
        <v>3</v>
      </c>
      <c r="H3" s="457"/>
      <c r="I3" s="458" t="s">
        <v>546</v>
      </c>
      <c r="J3" s="458"/>
      <c r="K3" s="458"/>
      <c r="L3" s="458"/>
      <c r="M3" s="458"/>
      <c r="N3" s="458"/>
      <c r="O3" s="458"/>
      <c r="P3" s="458"/>
      <c r="Q3" s="458"/>
      <c r="R3" s="458"/>
      <c r="S3" s="458"/>
      <c r="T3" s="458"/>
      <c r="U3" s="458"/>
      <c r="V3" s="458"/>
      <c r="W3" s="458"/>
      <c r="X3" s="458"/>
      <c r="Y3" s="458"/>
      <c r="Z3" s="459"/>
      <c r="AA3" s="451"/>
    </row>
    <row r="4" spans="1:27" s="3" customFormat="1" ht="28.5" customHeight="1">
      <c r="A4" s="460" t="s">
        <v>547</v>
      </c>
      <c r="B4" s="461"/>
      <c r="C4" s="461"/>
      <c r="D4" s="461"/>
      <c r="E4" s="461"/>
      <c r="F4" s="462"/>
      <c r="G4" s="457" t="s">
        <v>548</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51" customHeight="1">
      <c r="A8" s="7" t="s">
        <v>28</v>
      </c>
      <c r="B8" s="647" t="s">
        <v>549</v>
      </c>
      <c r="C8" s="647"/>
      <c r="D8" s="647"/>
      <c r="E8" s="647"/>
      <c r="F8" s="647"/>
      <c r="G8" s="647"/>
      <c r="H8" s="647"/>
      <c r="I8" s="132">
        <v>20</v>
      </c>
      <c r="J8" s="133" t="s">
        <v>510</v>
      </c>
      <c r="K8" s="10"/>
      <c r="L8" s="30"/>
      <c r="M8" s="30"/>
      <c r="N8" s="30"/>
      <c r="O8" s="30"/>
      <c r="P8" s="30"/>
      <c r="Q8" s="30"/>
      <c r="R8" s="199"/>
      <c r="S8" s="199"/>
      <c r="T8" s="199"/>
      <c r="U8" s="30"/>
      <c r="V8" s="30"/>
      <c r="W8" s="30"/>
      <c r="X8" s="475"/>
      <c r="Y8" s="475"/>
      <c r="Z8" s="476"/>
      <c r="AA8" s="451"/>
    </row>
    <row r="9" spans="1:27" s="14" customFormat="1" ht="51" customHeight="1">
      <c r="A9" s="7" t="s">
        <v>66</v>
      </c>
      <c r="B9" s="647" t="s">
        <v>550</v>
      </c>
      <c r="C9" s="647"/>
      <c r="D9" s="647"/>
      <c r="E9" s="647"/>
      <c r="F9" s="647"/>
      <c r="G9" s="647"/>
      <c r="H9" s="647"/>
      <c r="I9" s="132">
        <v>30</v>
      </c>
      <c r="J9" s="133" t="s">
        <v>551</v>
      </c>
      <c r="K9" s="10"/>
      <c r="L9" s="30"/>
      <c r="M9" s="30"/>
      <c r="N9" s="30"/>
      <c r="O9" s="30"/>
      <c r="P9" s="30"/>
      <c r="Q9" s="30"/>
      <c r="R9" s="199"/>
      <c r="S9" s="199"/>
      <c r="T9" s="199"/>
      <c r="U9" s="199"/>
      <c r="V9" s="162"/>
      <c r="W9" s="162"/>
      <c r="X9" s="475"/>
      <c r="Y9" s="475"/>
      <c r="Z9" s="476"/>
      <c r="AA9" s="451"/>
    </row>
    <row r="10" spans="1:27" s="14" customFormat="1" ht="51" customHeight="1">
      <c r="A10" s="7" t="s">
        <v>68</v>
      </c>
      <c r="B10" s="647" t="s">
        <v>552</v>
      </c>
      <c r="C10" s="647"/>
      <c r="D10" s="647"/>
      <c r="E10" s="647"/>
      <c r="F10" s="647"/>
      <c r="G10" s="647"/>
      <c r="H10" s="647"/>
      <c r="I10" s="132">
        <v>15</v>
      </c>
      <c r="J10" s="133" t="s">
        <v>510</v>
      </c>
      <c r="K10" s="10"/>
      <c r="L10" s="30"/>
      <c r="M10" s="30"/>
      <c r="N10" s="30"/>
      <c r="O10" s="30"/>
      <c r="P10" s="30"/>
      <c r="Q10" s="30"/>
      <c r="R10" s="199"/>
      <c r="S10" s="199"/>
      <c r="T10" s="199"/>
      <c r="U10" s="199"/>
      <c r="V10" s="199"/>
      <c r="W10" s="30"/>
      <c r="X10" s="468"/>
      <c r="Y10" s="468"/>
      <c r="Z10" s="469"/>
      <c r="AA10" s="451"/>
    </row>
    <row r="11" spans="1:27" s="14" customFormat="1" ht="51" customHeight="1">
      <c r="A11" s="7" t="s">
        <v>70</v>
      </c>
      <c r="B11" s="647" t="s">
        <v>553</v>
      </c>
      <c r="C11" s="647"/>
      <c r="D11" s="647"/>
      <c r="E11" s="647"/>
      <c r="F11" s="647"/>
      <c r="G11" s="647"/>
      <c r="H11" s="647"/>
      <c r="I11" s="132">
        <v>15</v>
      </c>
      <c r="J11" s="133" t="s">
        <v>510</v>
      </c>
      <c r="K11" s="10"/>
      <c r="L11" s="30"/>
      <c r="M11" s="30"/>
      <c r="N11" s="30"/>
      <c r="O11" s="30"/>
      <c r="P11" s="30"/>
      <c r="Q11" s="30"/>
      <c r="R11" s="30"/>
      <c r="S11" s="30"/>
      <c r="T11" s="199"/>
      <c r="U11" s="199"/>
      <c r="V11" s="199"/>
      <c r="W11" s="199"/>
      <c r="X11" s="468"/>
      <c r="Y11" s="468"/>
      <c r="Z11" s="469"/>
      <c r="AA11" s="451"/>
    </row>
    <row r="12" spans="1:27" s="14" customFormat="1" ht="51" customHeight="1">
      <c r="A12" s="7" t="s">
        <v>153</v>
      </c>
      <c r="B12" s="647" t="s">
        <v>554</v>
      </c>
      <c r="C12" s="647"/>
      <c r="D12" s="647"/>
      <c r="E12" s="647"/>
      <c r="F12" s="647"/>
      <c r="G12" s="647"/>
      <c r="H12" s="647"/>
      <c r="I12" s="132">
        <v>20</v>
      </c>
      <c r="J12" s="133" t="s">
        <v>510</v>
      </c>
      <c r="K12" s="10"/>
      <c r="L12" s="30"/>
      <c r="M12" s="30"/>
      <c r="N12" s="30"/>
      <c r="O12" s="30"/>
      <c r="P12" s="30"/>
      <c r="Q12" s="30"/>
      <c r="R12" s="30"/>
      <c r="S12" s="30"/>
      <c r="T12" s="162"/>
      <c r="U12" s="30"/>
      <c r="V12" s="199"/>
      <c r="W12" s="199"/>
      <c r="X12" s="475"/>
      <c r="Y12" s="475"/>
      <c r="Z12" s="476"/>
      <c r="AA12" s="451"/>
    </row>
    <row r="13" spans="1:27"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27"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7"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7"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X11:Z11"/>
    <mergeCell ref="B12:H12"/>
    <mergeCell ref="X12:Z12"/>
    <mergeCell ref="A13:E13"/>
    <mergeCell ref="F13:J13"/>
    <mergeCell ref="K13:N13"/>
    <mergeCell ref="O13:W13"/>
    <mergeCell ref="X13:Z13"/>
  </mergeCells>
  <printOptions horizontalCentered="1" verticalCentered="1"/>
  <pageMargins left="0" right="0" top="0" bottom="0" header="0" footer="0"/>
  <pageSetup scale="40" orientation="landscape"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5E10-F620-4980-BA60-3A3713A399D4}">
  <dimension ref="A1:AC17"/>
  <sheetViews>
    <sheetView rightToLeft="1" topLeftCell="A3" zoomScale="70" zoomScaleNormal="70" zoomScaleSheetLayoutView="85" workbookViewId="0">
      <selection activeCell="J8" sqref="J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55.5" customHeight="1">
      <c r="A3" s="455" t="s">
        <v>538</v>
      </c>
      <c r="B3" s="456"/>
      <c r="C3" s="456"/>
      <c r="D3" s="456"/>
      <c r="E3" s="456"/>
      <c r="F3" s="456"/>
      <c r="G3" s="457" t="s">
        <v>3</v>
      </c>
      <c r="H3" s="457"/>
      <c r="I3" s="730" t="s">
        <v>539</v>
      </c>
      <c r="J3" s="730"/>
      <c r="K3" s="730"/>
      <c r="L3" s="730"/>
      <c r="M3" s="730"/>
      <c r="N3" s="730"/>
      <c r="O3" s="730"/>
      <c r="P3" s="730"/>
      <c r="Q3" s="730"/>
      <c r="R3" s="730"/>
      <c r="S3" s="730"/>
      <c r="T3" s="730"/>
      <c r="U3" s="730"/>
      <c r="V3" s="730"/>
      <c r="W3" s="730"/>
      <c r="X3" s="730"/>
      <c r="Y3" s="730"/>
      <c r="Z3" s="731"/>
      <c r="AA3" s="451"/>
    </row>
    <row r="4" spans="1:29" s="3" customFormat="1" ht="28.5" customHeight="1">
      <c r="A4" s="460" t="s">
        <v>507</v>
      </c>
      <c r="B4" s="461"/>
      <c r="C4" s="461"/>
      <c r="D4" s="461"/>
      <c r="E4" s="461"/>
      <c r="F4" s="462"/>
      <c r="G4" s="457" t="s">
        <v>242</v>
      </c>
      <c r="H4" s="457"/>
      <c r="I4" s="730"/>
      <c r="J4" s="730"/>
      <c r="K4" s="730"/>
      <c r="L4" s="730"/>
      <c r="M4" s="730"/>
      <c r="N4" s="730"/>
      <c r="O4" s="730"/>
      <c r="P4" s="730"/>
      <c r="Q4" s="730"/>
      <c r="R4" s="730"/>
      <c r="S4" s="730"/>
      <c r="T4" s="730"/>
      <c r="U4" s="730"/>
      <c r="V4" s="730"/>
      <c r="W4" s="730"/>
      <c r="X4" s="730"/>
      <c r="Y4" s="730"/>
      <c r="Z4" s="731"/>
      <c r="AA4" s="451"/>
    </row>
    <row r="5" spans="1:29" s="3" customFormat="1" ht="28.5" customHeight="1">
      <c r="A5" s="463"/>
      <c r="B5" s="464"/>
      <c r="C5" s="464"/>
      <c r="D5" s="464"/>
      <c r="E5" s="464"/>
      <c r="F5" s="465"/>
      <c r="G5" s="456" t="s">
        <v>508</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46.5" customHeight="1">
      <c r="A8" s="7" t="s">
        <v>28</v>
      </c>
      <c r="B8" s="647" t="s">
        <v>540</v>
      </c>
      <c r="C8" s="647"/>
      <c r="D8" s="647"/>
      <c r="E8" s="647"/>
      <c r="F8" s="647"/>
      <c r="G8" s="647"/>
      <c r="H8" s="647"/>
      <c r="I8" s="132">
        <v>30</v>
      </c>
      <c r="J8" s="133" t="s">
        <v>510</v>
      </c>
      <c r="K8" s="10"/>
      <c r="L8" s="199"/>
      <c r="M8" s="30"/>
      <c r="N8" s="30"/>
      <c r="O8" s="30"/>
      <c r="P8" s="30"/>
      <c r="Q8" s="199"/>
      <c r="R8" s="30"/>
      <c r="S8" s="30"/>
      <c r="T8" s="30"/>
      <c r="U8" s="30"/>
      <c r="V8" s="30"/>
      <c r="W8" s="30"/>
      <c r="X8" s="475"/>
      <c r="Y8" s="475"/>
      <c r="Z8" s="476"/>
      <c r="AA8" s="451"/>
      <c r="AC8" s="14">
        <v>15</v>
      </c>
    </row>
    <row r="9" spans="1:29" s="14" customFormat="1" ht="46.5" customHeight="1">
      <c r="A9" s="7" t="s">
        <v>66</v>
      </c>
      <c r="B9" s="647" t="s">
        <v>541</v>
      </c>
      <c r="C9" s="647"/>
      <c r="D9" s="647"/>
      <c r="E9" s="647"/>
      <c r="F9" s="647"/>
      <c r="G9" s="647"/>
      <c r="H9" s="647"/>
      <c r="I9" s="132">
        <v>20</v>
      </c>
      <c r="J9" s="133" t="s">
        <v>510</v>
      </c>
      <c r="K9" s="10"/>
      <c r="L9" s="30"/>
      <c r="M9" s="30"/>
      <c r="N9" s="199"/>
      <c r="O9" s="199"/>
      <c r="P9" s="199"/>
      <c r="Q9" s="30"/>
      <c r="R9" s="30"/>
      <c r="S9" s="30"/>
      <c r="T9" s="30"/>
      <c r="U9" s="30"/>
      <c r="V9" s="30"/>
      <c r="W9" s="30"/>
      <c r="X9" s="475"/>
      <c r="Y9" s="475"/>
      <c r="Z9" s="476"/>
      <c r="AA9" s="451"/>
      <c r="AC9" s="14">
        <f>20/3</f>
        <v>6.666666666666667</v>
      </c>
    </row>
    <row r="10" spans="1:29" s="14" customFormat="1" ht="46.5" customHeight="1">
      <c r="A10" s="7" t="s">
        <v>68</v>
      </c>
      <c r="B10" s="647" t="s">
        <v>542</v>
      </c>
      <c r="C10" s="647"/>
      <c r="D10" s="647"/>
      <c r="E10" s="647"/>
      <c r="F10" s="647"/>
      <c r="G10" s="647"/>
      <c r="H10" s="647"/>
      <c r="I10" s="132">
        <v>30</v>
      </c>
      <c r="J10" s="133" t="s">
        <v>543</v>
      </c>
      <c r="K10" s="10"/>
      <c r="L10" s="30"/>
      <c r="M10" s="30"/>
      <c r="N10" s="30"/>
      <c r="O10" s="30"/>
      <c r="P10" s="30"/>
      <c r="Q10" s="30"/>
      <c r="R10" s="199"/>
      <c r="S10" s="30"/>
      <c r="T10" s="30"/>
      <c r="U10" s="30"/>
      <c r="V10" s="30"/>
      <c r="W10" s="30"/>
      <c r="X10" s="12"/>
      <c r="Y10" s="12"/>
      <c r="Z10" s="13"/>
      <c r="AA10" s="451"/>
    </row>
    <row r="11" spans="1:29" s="14" customFormat="1" ht="46.5" customHeight="1">
      <c r="A11" s="7" t="s">
        <v>70</v>
      </c>
      <c r="B11" s="647" t="s">
        <v>544</v>
      </c>
      <c r="C11" s="647"/>
      <c r="D11" s="647"/>
      <c r="E11" s="647"/>
      <c r="F11" s="647"/>
      <c r="G11" s="647"/>
      <c r="H11" s="647"/>
      <c r="I11" s="132">
        <v>20</v>
      </c>
      <c r="J11" s="133" t="s">
        <v>510</v>
      </c>
      <c r="K11" s="10"/>
      <c r="L11" s="30"/>
      <c r="M11" s="30"/>
      <c r="N11" s="30"/>
      <c r="O11" s="30"/>
      <c r="P11" s="30"/>
      <c r="Q11" s="30"/>
      <c r="R11" s="30"/>
      <c r="S11" s="162"/>
      <c r="T11" s="199"/>
      <c r="U11" s="162"/>
      <c r="V11" s="162"/>
      <c r="W11" s="199"/>
      <c r="X11" s="468"/>
      <c r="Y11" s="468"/>
      <c r="Z11" s="469"/>
      <c r="AA11" s="451"/>
    </row>
    <row r="12" spans="1:29" ht="57.75" customHeight="1">
      <c r="A12" s="488" t="s">
        <v>42</v>
      </c>
      <c r="B12" s="489"/>
      <c r="C12" s="489"/>
      <c r="D12" s="489"/>
      <c r="E12" s="490"/>
      <c r="F12" s="472" t="s">
        <v>43</v>
      </c>
      <c r="G12" s="472"/>
      <c r="H12" s="472"/>
      <c r="I12" s="472"/>
      <c r="J12" s="472"/>
      <c r="K12" s="472" t="s">
        <v>44</v>
      </c>
      <c r="L12" s="472"/>
      <c r="M12" s="472"/>
      <c r="N12" s="472"/>
      <c r="O12" s="491" t="s">
        <v>45</v>
      </c>
      <c r="P12" s="492"/>
      <c r="Q12" s="492"/>
      <c r="R12" s="492"/>
      <c r="S12" s="492"/>
      <c r="T12" s="492"/>
      <c r="U12" s="492"/>
      <c r="V12" s="492"/>
      <c r="W12" s="493"/>
      <c r="X12" s="472" t="s">
        <v>46</v>
      </c>
      <c r="Y12" s="472"/>
      <c r="Z12" s="472"/>
      <c r="AA12" s="451"/>
    </row>
    <row r="13" spans="1:29" s="20" customFormat="1" ht="28.5">
      <c r="A13" s="494"/>
      <c r="B13" s="495"/>
      <c r="C13" s="495"/>
      <c r="D13" s="495"/>
      <c r="E13" s="496"/>
      <c r="F13" s="503"/>
      <c r="G13" s="504"/>
      <c r="H13" s="504"/>
      <c r="I13" s="504"/>
      <c r="J13" s="505"/>
      <c r="K13" s="486" t="s">
        <v>47</v>
      </c>
      <c r="L13" s="486"/>
      <c r="M13" s="486"/>
      <c r="N13" s="486"/>
      <c r="O13" s="477"/>
      <c r="P13" s="478"/>
      <c r="Q13" s="478"/>
      <c r="R13" s="478"/>
      <c r="S13" s="478"/>
      <c r="T13" s="478"/>
      <c r="U13" s="478"/>
      <c r="V13" s="478"/>
      <c r="W13" s="512"/>
      <c r="X13" s="477"/>
      <c r="Y13" s="478"/>
      <c r="Z13" s="479"/>
    </row>
    <row r="14" spans="1:29" s="20" customFormat="1" ht="28.5">
      <c r="A14" s="497"/>
      <c r="B14" s="498"/>
      <c r="C14" s="498"/>
      <c r="D14" s="498"/>
      <c r="E14" s="499"/>
      <c r="F14" s="506"/>
      <c r="G14" s="507"/>
      <c r="H14" s="507"/>
      <c r="I14" s="507"/>
      <c r="J14" s="508"/>
      <c r="K14" s="486"/>
      <c r="L14" s="486"/>
      <c r="M14" s="486"/>
      <c r="N14" s="486"/>
      <c r="O14" s="480"/>
      <c r="P14" s="481"/>
      <c r="Q14" s="481"/>
      <c r="R14" s="481"/>
      <c r="S14" s="481"/>
      <c r="T14" s="481"/>
      <c r="U14" s="481"/>
      <c r="V14" s="481"/>
      <c r="W14" s="513"/>
      <c r="X14" s="480"/>
      <c r="Y14" s="481"/>
      <c r="Z14" s="482"/>
    </row>
    <row r="15" spans="1:29" s="20" customFormat="1" ht="28.5">
      <c r="A15" s="497"/>
      <c r="B15" s="498"/>
      <c r="C15" s="498"/>
      <c r="D15" s="498"/>
      <c r="E15" s="499"/>
      <c r="F15" s="506"/>
      <c r="G15" s="507"/>
      <c r="H15" s="507"/>
      <c r="I15" s="507"/>
      <c r="J15" s="508"/>
      <c r="K15" s="486" t="s">
        <v>48</v>
      </c>
      <c r="L15" s="486"/>
      <c r="M15" s="486"/>
      <c r="N15" s="486"/>
      <c r="O15" s="480"/>
      <c r="P15" s="481"/>
      <c r="Q15" s="481"/>
      <c r="R15" s="481"/>
      <c r="S15" s="481"/>
      <c r="T15" s="481"/>
      <c r="U15" s="481"/>
      <c r="V15" s="481"/>
      <c r="W15" s="513"/>
      <c r="X15" s="480"/>
      <c r="Y15" s="481"/>
      <c r="Z15" s="482"/>
    </row>
    <row r="16" spans="1:29" s="20" customFormat="1" ht="29.25" thickBot="1">
      <c r="A16" s="500"/>
      <c r="B16" s="501"/>
      <c r="C16" s="501"/>
      <c r="D16" s="501"/>
      <c r="E16" s="502"/>
      <c r="F16" s="509"/>
      <c r="G16" s="510"/>
      <c r="H16" s="510"/>
      <c r="I16" s="510"/>
      <c r="J16" s="511"/>
      <c r="K16" s="487"/>
      <c r="L16" s="487"/>
      <c r="M16" s="487"/>
      <c r="N16" s="487"/>
      <c r="O16" s="483"/>
      <c r="P16" s="484"/>
      <c r="Q16" s="484"/>
      <c r="R16" s="484"/>
      <c r="S16" s="484"/>
      <c r="T16" s="484"/>
      <c r="U16" s="484"/>
      <c r="V16" s="484"/>
      <c r="W16" s="514"/>
      <c r="X16" s="483"/>
      <c r="Y16" s="484"/>
      <c r="Z16" s="485"/>
    </row>
    <row r="17" ht="18.75" thickTop="1"/>
  </sheetData>
  <mergeCells count="37">
    <mergeCell ref="A1:Y1"/>
    <mergeCell ref="AA1:AA12"/>
    <mergeCell ref="A2:Z2"/>
    <mergeCell ref="A3:F3"/>
    <mergeCell ref="G3:H3"/>
    <mergeCell ref="I3:Z4"/>
    <mergeCell ref="A4:F5"/>
    <mergeCell ref="G4:H4"/>
    <mergeCell ref="G5:H5"/>
    <mergeCell ref="I5:Z5"/>
    <mergeCell ref="B10:H10"/>
    <mergeCell ref="A6:A7"/>
    <mergeCell ref="B6:H7"/>
    <mergeCell ref="I6:I7"/>
    <mergeCell ref="J6:J7"/>
    <mergeCell ref="X6:Z7"/>
    <mergeCell ref="B8:H8"/>
    <mergeCell ref="X8:Z8"/>
    <mergeCell ref="B9:H9"/>
    <mergeCell ref="X9:Z9"/>
    <mergeCell ref="K6:K7"/>
    <mergeCell ref="L6:W6"/>
    <mergeCell ref="X13:Z16"/>
    <mergeCell ref="K15:K16"/>
    <mergeCell ref="L15:N16"/>
    <mergeCell ref="B11:H11"/>
    <mergeCell ref="X11:Z11"/>
    <mergeCell ref="A12:E12"/>
    <mergeCell ref="F12:J12"/>
    <mergeCell ref="K12:N12"/>
    <mergeCell ref="O12:W12"/>
    <mergeCell ref="X12:Z12"/>
    <mergeCell ref="A13:E16"/>
    <mergeCell ref="F13:J16"/>
    <mergeCell ref="K13:K14"/>
    <mergeCell ref="L13:N14"/>
    <mergeCell ref="O13:W16"/>
  </mergeCells>
  <printOptions horizontalCentered="1" verticalCentered="1"/>
  <pageMargins left="0" right="0" top="0" bottom="0" header="0" footer="0"/>
  <pageSetup scale="40" orientation="landscape"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B6A1-C457-416D-92A0-FC08A0A034C2}">
  <dimension ref="A1:AC17"/>
  <sheetViews>
    <sheetView rightToLeft="1" zoomScale="70" zoomScaleNormal="70" zoomScaleSheetLayoutView="7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57.75" customHeight="1">
      <c r="A3" s="455" t="s">
        <v>530</v>
      </c>
      <c r="B3" s="456"/>
      <c r="C3" s="456"/>
      <c r="D3" s="456"/>
      <c r="E3" s="456"/>
      <c r="F3" s="456"/>
      <c r="G3" s="457" t="s">
        <v>3</v>
      </c>
      <c r="H3" s="457"/>
      <c r="I3" s="730" t="s">
        <v>531</v>
      </c>
      <c r="J3" s="730"/>
      <c r="K3" s="730"/>
      <c r="L3" s="730"/>
      <c r="M3" s="730"/>
      <c r="N3" s="730"/>
      <c r="O3" s="730"/>
      <c r="P3" s="730"/>
      <c r="Q3" s="730"/>
      <c r="R3" s="730"/>
      <c r="S3" s="730"/>
      <c r="T3" s="730"/>
      <c r="U3" s="730"/>
      <c r="V3" s="730"/>
      <c r="W3" s="730"/>
      <c r="X3" s="730"/>
      <c r="Y3" s="730"/>
      <c r="Z3" s="731"/>
      <c r="AA3" s="451"/>
    </row>
    <row r="4" spans="1:29" s="3" customFormat="1" ht="28.5" customHeight="1">
      <c r="A4" s="460" t="s">
        <v>517</v>
      </c>
      <c r="B4" s="461"/>
      <c r="C4" s="461"/>
      <c r="D4" s="461"/>
      <c r="E4" s="461"/>
      <c r="F4" s="462"/>
      <c r="G4" s="457" t="s">
        <v>242</v>
      </c>
      <c r="H4" s="457"/>
      <c r="I4" s="730"/>
      <c r="J4" s="730"/>
      <c r="K4" s="730"/>
      <c r="L4" s="730"/>
      <c r="M4" s="730"/>
      <c r="N4" s="730"/>
      <c r="O4" s="730"/>
      <c r="P4" s="730"/>
      <c r="Q4" s="730"/>
      <c r="R4" s="730"/>
      <c r="S4" s="730"/>
      <c r="T4" s="730"/>
      <c r="U4" s="730"/>
      <c r="V4" s="730"/>
      <c r="W4" s="730"/>
      <c r="X4" s="730"/>
      <c r="Y4" s="730"/>
      <c r="Z4" s="731"/>
      <c r="AA4" s="451"/>
    </row>
    <row r="5" spans="1:29" s="3" customFormat="1" ht="28.5" customHeight="1">
      <c r="A5" s="463"/>
      <c r="B5" s="464"/>
      <c r="C5" s="464"/>
      <c r="D5" s="464"/>
      <c r="E5" s="464"/>
      <c r="F5" s="465"/>
      <c r="G5" s="456" t="s">
        <v>532</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38.25" customHeight="1">
      <c r="A8" s="7" t="s">
        <v>28</v>
      </c>
      <c r="B8" s="647" t="s">
        <v>533</v>
      </c>
      <c r="C8" s="647"/>
      <c r="D8" s="647"/>
      <c r="E8" s="647"/>
      <c r="F8" s="647"/>
      <c r="G8" s="647"/>
      <c r="H8" s="647"/>
      <c r="I8" s="132">
        <v>30</v>
      </c>
      <c r="J8" s="133" t="s">
        <v>510</v>
      </c>
      <c r="K8" s="10"/>
      <c r="L8" s="30"/>
      <c r="M8" s="199"/>
      <c r="N8" s="199"/>
      <c r="O8" s="30"/>
      <c r="P8" s="30"/>
      <c r="Q8" s="30"/>
      <c r="R8" s="30"/>
      <c r="S8" s="30"/>
      <c r="T8" s="30"/>
      <c r="U8" s="30"/>
      <c r="V8" s="30"/>
      <c r="W8" s="30"/>
      <c r="X8" s="475"/>
      <c r="Y8" s="475"/>
      <c r="Z8" s="476"/>
      <c r="AA8" s="451"/>
      <c r="AC8" s="14">
        <v>30</v>
      </c>
    </row>
    <row r="9" spans="1:29" s="14" customFormat="1" ht="38.25" customHeight="1">
      <c r="A9" s="7" t="s">
        <v>66</v>
      </c>
      <c r="B9" s="647" t="s">
        <v>534</v>
      </c>
      <c r="C9" s="647"/>
      <c r="D9" s="647"/>
      <c r="E9" s="647"/>
      <c r="F9" s="647"/>
      <c r="G9" s="647"/>
      <c r="H9" s="647"/>
      <c r="I9" s="132">
        <v>30</v>
      </c>
      <c r="J9" s="133" t="s">
        <v>510</v>
      </c>
      <c r="K9" s="10"/>
      <c r="L9" s="30"/>
      <c r="M9" s="30"/>
      <c r="N9" s="199"/>
      <c r="O9" s="199"/>
      <c r="P9" s="199"/>
      <c r="Q9" s="199"/>
      <c r="R9" s="30"/>
      <c r="S9" s="30"/>
      <c r="T9" s="30"/>
      <c r="U9" s="30"/>
      <c r="V9" s="30"/>
      <c r="W9" s="30"/>
      <c r="X9" s="475"/>
      <c r="Y9" s="475"/>
      <c r="Z9" s="476"/>
      <c r="AA9" s="451"/>
      <c r="AC9" s="14">
        <f>(30/4)*1</f>
        <v>7.5</v>
      </c>
    </row>
    <row r="10" spans="1:29" s="14" customFormat="1" ht="38.25" customHeight="1">
      <c r="A10" s="7" t="s">
        <v>68</v>
      </c>
      <c r="B10" s="647" t="s">
        <v>535</v>
      </c>
      <c r="C10" s="647"/>
      <c r="D10" s="647"/>
      <c r="E10" s="647"/>
      <c r="F10" s="647"/>
      <c r="G10" s="647"/>
      <c r="H10" s="647"/>
      <c r="I10" s="132">
        <v>30</v>
      </c>
      <c r="J10" s="133" t="s">
        <v>536</v>
      </c>
      <c r="K10" s="10"/>
      <c r="L10" s="30"/>
      <c r="M10" s="30"/>
      <c r="N10" s="30"/>
      <c r="O10" s="30"/>
      <c r="P10" s="30"/>
      <c r="Q10" s="30"/>
      <c r="R10" s="199"/>
      <c r="S10" s="199"/>
      <c r="T10" s="199"/>
      <c r="U10" s="199"/>
      <c r="V10" s="30"/>
      <c r="W10" s="30"/>
      <c r="X10" s="468"/>
      <c r="Y10" s="468"/>
      <c r="Z10" s="469"/>
      <c r="AA10" s="451"/>
    </row>
    <row r="11" spans="1:29" s="14" customFormat="1" ht="38.25" customHeight="1">
      <c r="A11" s="7" t="s">
        <v>70</v>
      </c>
      <c r="B11" s="647" t="s">
        <v>537</v>
      </c>
      <c r="C11" s="647"/>
      <c r="D11" s="647"/>
      <c r="E11" s="647"/>
      <c r="F11" s="647"/>
      <c r="G11" s="647"/>
      <c r="H11" s="647"/>
      <c r="I11" s="132">
        <v>10</v>
      </c>
      <c r="J11" s="133" t="s">
        <v>510</v>
      </c>
      <c r="K11" s="10"/>
      <c r="L11" s="30"/>
      <c r="M11" s="30"/>
      <c r="N11" s="30"/>
      <c r="O11" s="30"/>
      <c r="P11" s="30"/>
      <c r="Q11" s="30"/>
      <c r="R11" s="30"/>
      <c r="S11" s="30"/>
      <c r="T11" s="30"/>
      <c r="U11" s="30"/>
      <c r="V11" s="199"/>
      <c r="W11" s="199"/>
      <c r="X11" s="468"/>
      <c r="Y11" s="468"/>
      <c r="Z11" s="469"/>
      <c r="AA11" s="451"/>
    </row>
    <row r="12" spans="1:29" ht="57.75" customHeight="1">
      <c r="A12" s="488" t="s">
        <v>42</v>
      </c>
      <c r="B12" s="489"/>
      <c r="C12" s="489"/>
      <c r="D12" s="489"/>
      <c r="E12" s="490"/>
      <c r="F12" s="472" t="s">
        <v>43</v>
      </c>
      <c r="G12" s="472"/>
      <c r="H12" s="472"/>
      <c r="I12" s="472"/>
      <c r="J12" s="472"/>
      <c r="K12" s="472" t="s">
        <v>44</v>
      </c>
      <c r="L12" s="472"/>
      <c r="M12" s="472"/>
      <c r="N12" s="472"/>
      <c r="O12" s="491" t="s">
        <v>45</v>
      </c>
      <c r="P12" s="492"/>
      <c r="Q12" s="492"/>
      <c r="R12" s="492"/>
      <c r="S12" s="492"/>
      <c r="T12" s="492"/>
      <c r="U12" s="492"/>
      <c r="V12" s="492"/>
      <c r="W12" s="493"/>
      <c r="X12" s="472" t="s">
        <v>46</v>
      </c>
      <c r="Y12" s="472"/>
      <c r="Z12" s="472"/>
      <c r="AA12" s="451"/>
    </row>
    <row r="13" spans="1:29" s="20" customFormat="1" ht="28.5">
      <c r="A13" s="494"/>
      <c r="B13" s="495"/>
      <c r="C13" s="495"/>
      <c r="D13" s="495"/>
      <c r="E13" s="496"/>
      <c r="F13" s="503"/>
      <c r="G13" s="504"/>
      <c r="H13" s="504"/>
      <c r="I13" s="504"/>
      <c r="J13" s="505"/>
      <c r="K13" s="486" t="s">
        <v>47</v>
      </c>
      <c r="L13" s="486"/>
      <c r="M13" s="486"/>
      <c r="N13" s="486"/>
      <c r="O13" s="477"/>
      <c r="P13" s="478"/>
      <c r="Q13" s="478"/>
      <c r="R13" s="478"/>
      <c r="S13" s="478"/>
      <c r="T13" s="478"/>
      <c r="U13" s="478"/>
      <c r="V13" s="478"/>
      <c r="W13" s="512"/>
      <c r="X13" s="477"/>
      <c r="Y13" s="478"/>
      <c r="Z13" s="479"/>
    </row>
    <row r="14" spans="1:29" s="20" customFormat="1" ht="28.5">
      <c r="A14" s="497"/>
      <c r="B14" s="498"/>
      <c r="C14" s="498"/>
      <c r="D14" s="498"/>
      <c r="E14" s="499"/>
      <c r="F14" s="506"/>
      <c r="G14" s="507"/>
      <c r="H14" s="507"/>
      <c r="I14" s="507"/>
      <c r="J14" s="508"/>
      <c r="K14" s="486"/>
      <c r="L14" s="486"/>
      <c r="M14" s="486"/>
      <c r="N14" s="486"/>
      <c r="O14" s="480"/>
      <c r="P14" s="481"/>
      <c r="Q14" s="481"/>
      <c r="R14" s="481"/>
      <c r="S14" s="481"/>
      <c r="T14" s="481"/>
      <c r="U14" s="481"/>
      <c r="V14" s="481"/>
      <c r="W14" s="513"/>
      <c r="X14" s="480"/>
      <c r="Y14" s="481"/>
      <c r="Z14" s="482"/>
    </row>
    <row r="15" spans="1:29" s="20" customFormat="1" ht="28.5">
      <c r="A15" s="497"/>
      <c r="B15" s="498"/>
      <c r="C15" s="498"/>
      <c r="D15" s="498"/>
      <c r="E15" s="499"/>
      <c r="F15" s="506"/>
      <c r="G15" s="507"/>
      <c r="H15" s="507"/>
      <c r="I15" s="507"/>
      <c r="J15" s="508"/>
      <c r="K15" s="486" t="s">
        <v>48</v>
      </c>
      <c r="L15" s="486"/>
      <c r="M15" s="486"/>
      <c r="N15" s="486"/>
      <c r="O15" s="480"/>
      <c r="P15" s="481"/>
      <c r="Q15" s="481"/>
      <c r="R15" s="481"/>
      <c r="S15" s="481"/>
      <c r="T15" s="481"/>
      <c r="U15" s="481"/>
      <c r="V15" s="481"/>
      <c r="W15" s="513"/>
      <c r="X15" s="480"/>
      <c r="Y15" s="481"/>
      <c r="Z15" s="482"/>
    </row>
    <row r="16" spans="1:29" s="20" customFormat="1" ht="29.25" thickBot="1">
      <c r="A16" s="500"/>
      <c r="B16" s="501"/>
      <c r="C16" s="501"/>
      <c r="D16" s="501"/>
      <c r="E16" s="502"/>
      <c r="F16" s="509"/>
      <c r="G16" s="510"/>
      <c r="H16" s="510"/>
      <c r="I16" s="510"/>
      <c r="J16" s="511"/>
      <c r="K16" s="487"/>
      <c r="L16" s="487"/>
      <c r="M16" s="487"/>
      <c r="N16" s="487"/>
      <c r="O16" s="483"/>
      <c r="P16" s="484"/>
      <c r="Q16" s="484"/>
      <c r="R16" s="484"/>
      <c r="S16" s="484"/>
      <c r="T16" s="484"/>
      <c r="U16" s="484"/>
      <c r="V16" s="484"/>
      <c r="W16" s="514"/>
      <c r="X16" s="483"/>
      <c r="Y16" s="484"/>
      <c r="Z16" s="485"/>
    </row>
    <row r="17" ht="18.75" thickTop="1"/>
  </sheetData>
  <mergeCells count="38">
    <mergeCell ref="O13:W16"/>
    <mergeCell ref="A1:Y1"/>
    <mergeCell ref="AA1:AA12"/>
    <mergeCell ref="A2:Z2"/>
    <mergeCell ref="A3:F3"/>
    <mergeCell ref="G3:H3"/>
    <mergeCell ref="I3:Z4"/>
    <mergeCell ref="A4:F5"/>
    <mergeCell ref="G4:H4"/>
    <mergeCell ref="G5:H5"/>
    <mergeCell ref="I5:Z5"/>
    <mergeCell ref="B10:H10"/>
    <mergeCell ref="X10:Z10"/>
    <mergeCell ref="A6:A7"/>
    <mergeCell ref="B6:H7"/>
    <mergeCell ref="I6:I7"/>
    <mergeCell ref="K6:K7"/>
    <mergeCell ref="L6:W6"/>
    <mergeCell ref="X6:Z7"/>
    <mergeCell ref="B8:H8"/>
    <mergeCell ref="X8:Z8"/>
    <mergeCell ref="J6:J7"/>
    <mergeCell ref="B9:H9"/>
    <mergeCell ref="X9:Z9"/>
    <mergeCell ref="X13:Z16"/>
    <mergeCell ref="K15:K16"/>
    <mergeCell ref="L15:N16"/>
    <mergeCell ref="B11:H11"/>
    <mergeCell ref="X11:Z11"/>
    <mergeCell ref="A12:E12"/>
    <mergeCell ref="F12:J12"/>
    <mergeCell ref="K12:N12"/>
    <mergeCell ref="O12:W12"/>
    <mergeCell ref="X12:Z12"/>
    <mergeCell ref="A13:E16"/>
    <mergeCell ref="F13:J16"/>
    <mergeCell ref="K13:K14"/>
    <mergeCell ref="L13:N14"/>
  </mergeCells>
  <printOptions horizontalCentered="1" verticalCentered="1"/>
  <pageMargins left="0" right="0" top="0" bottom="0" header="0" footer="0"/>
  <pageSetup scale="40" orientation="landscape"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F8F0-D8A1-4096-A822-3D45EB14460D}">
  <dimension ref="A1:AC18"/>
  <sheetViews>
    <sheetView rightToLeft="1" topLeftCell="A3" zoomScale="70" zoomScaleNormal="70" zoomScaleSheetLayoutView="55" workbookViewId="0">
      <selection activeCell="AC12" sqref="AC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23" width="4.855468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55.5" customHeight="1">
      <c r="A3" s="455" t="s">
        <v>522</v>
      </c>
      <c r="B3" s="456"/>
      <c r="C3" s="456"/>
      <c r="D3" s="456"/>
      <c r="E3" s="456"/>
      <c r="F3" s="456"/>
      <c r="G3" s="457" t="s">
        <v>3</v>
      </c>
      <c r="H3" s="457"/>
      <c r="I3" s="458" t="s">
        <v>523</v>
      </c>
      <c r="J3" s="458"/>
      <c r="K3" s="458"/>
      <c r="L3" s="458"/>
      <c r="M3" s="458"/>
      <c r="N3" s="458"/>
      <c r="O3" s="458"/>
      <c r="P3" s="458"/>
      <c r="Q3" s="458"/>
      <c r="R3" s="458"/>
      <c r="S3" s="458"/>
      <c r="T3" s="458"/>
      <c r="U3" s="458"/>
      <c r="V3" s="458"/>
      <c r="W3" s="458"/>
      <c r="X3" s="458"/>
      <c r="Y3" s="458"/>
      <c r="Z3" s="459"/>
      <c r="AA3" s="451"/>
    </row>
    <row r="4" spans="1:29" s="3" customFormat="1" ht="28.5" customHeight="1">
      <c r="A4" s="460" t="s">
        <v>507</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524</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44.25" customHeight="1">
      <c r="A8" s="7" t="s">
        <v>28</v>
      </c>
      <c r="B8" s="647" t="s">
        <v>525</v>
      </c>
      <c r="C8" s="647"/>
      <c r="D8" s="647"/>
      <c r="E8" s="647"/>
      <c r="F8" s="647"/>
      <c r="G8" s="647"/>
      <c r="H8" s="647"/>
      <c r="I8" s="132">
        <v>25</v>
      </c>
      <c r="J8" s="133" t="s">
        <v>510</v>
      </c>
      <c r="K8" s="10"/>
      <c r="L8" s="30"/>
      <c r="M8" s="199"/>
      <c r="N8" s="30"/>
      <c r="O8" s="30"/>
      <c r="P8" s="199"/>
      <c r="Q8" s="30"/>
      <c r="R8" s="30"/>
      <c r="S8" s="199"/>
      <c r="T8" s="30"/>
      <c r="U8" s="30"/>
      <c r="V8" s="199"/>
      <c r="W8" s="30"/>
      <c r="X8" s="475"/>
      <c r="Y8" s="475"/>
      <c r="Z8" s="476"/>
      <c r="AA8" s="451"/>
      <c r="AC8" s="14">
        <f>(I8/4)*1</f>
        <v>6.25</v>
      </c>
    </row>
    <row r="9" spans="1:29" s="14" customFormat="1" ht="44.25" customHeight="1">
      <c r="A9" s="7" t="s">
        <v>66</v>
      </c>
      <c r="B9" s="647" t="s">
        <v>526</v>
      </c>
      <c r="C9" s="647"/>
      <c r="D9" s="647"/>
      <c r="E9" s="647"/>
      <c r="F9" s="647"/>
      <c r="G9" s="647"/>
      <c r="H9" s="647"/>
      <c r="I9" s="132">
        <v>20</v>
      </c>
      <c r="J9" s="133" t="s">
        <v>510</v>
      </c>
      <c r="K9" s="10"/>
      <c r="L9" s="30"/>
      <c r="M9" s="199"/>
      <c r="N9" s="30"/>
      <c r="O9" s="30"/>
      <c r="P9" s="199"/>
      <c r="Q9" s="30"/>
      <c r="R9" s="30"/>
      <c r="S9" s="199"/>
      <c r="T9" s="30"/>
      <c r="U9" s="30"/>
      <c r="V9" s="199"/>
      <c r="W9" s="30"/>
      <c r="X9" s="475"/>
      <c r="Y9" s="475"/>
      <c r="Z9" s="476"/>
      <c r="AA9" s="451"/>
      <c r="AC9" s="14">
        <f t="shared" ref="AC9:AC10" si="0">(I9/4)*1</f>
        <v>5</v>
      </c>
    </row>
    <row r="10" spans="1:29" s="14" customFormat="1" ht="44.25" customHeight="1">
      <c r="A10" s="7" t="s">
        <v>68</v>
      </c>
      <c r="B10" s="647" t="s">
        <v>527</v>
      </c>
      <c r="C10" s="647"/>
      <c r="D10" s="647"/>
      <c r="E10" s="647"/>
      <c r="F10" s="647"/>
      <c r="G10" s="647"/>
      <c r="H10" s="647"/>
      <c r="I10" s="132">
        <v>25</v>
      </c>
      <c r="J10" s="133" t="s">
        <v>510</v>
      </c>
      <c r="K10" s="10"/>
      <c r="L10" s="30"/>
      <c r="M10" s="199"/>
      <c r="N10" s="30"/>
      <c r="O10" s="30"/>
      <c r="P10" s="199"/>
      <c r="Q10" s="30"/>
      <c r="R10" s="30"/>
      <c r="S10" s="199"/>
      <c r="T10" s="30"/>
      <c r="U10" s="30"/>
      <c r="V10" s="199"/>
      <c r="W10" s="30"/>
      <c r="X10" s="468"/>
      <c r="Y10" s="468"/>
      <c r="Z10" s="469"/>
      <c r="AA10" s="451"/>
      <c r="AC10" s="14">
        <f t="shared" si="0"/>
        <v>6.25</v>
      </c>
    </row>
    <row r="11" spans="1:29" s="14" customFormat="1" ht="44.25" customHeight="1">
      <c r="A11" s="7" t="s">
        <v>70</v>
      </c>
      <c r="B11" s="647" t="s">
        <v>528</v>
      </c>
      <c r="C11" s="647"/>
      <c r="D11" s="647"/>
      <c r="E11" s="647"/>
      <c r="F11" s="647"/>
      <c r="G11" s="647"/>
      <c r="H11" s="647"/>
      <c r="I11" s="132">
        <v>15</v>
      </c>
      <c r="J11" s="133" t="s">
        <v>510</v>
      </c>
      <c r="K11" s="10"/>
      <c r="L11" s="30"/>
      <c r="M11" s="199"/>
      <c r="N11" s="30"/>
      <c r="O11" s="30"/>
      <c r="P11" s="30"/>
      <c r="Q11" s="30"/>
      <c r="R11" s="30"/>
      <c r="S11" s="30"/>
      <c r="T11" s="30"/>
      <c r="U11" s="30"/>
      <c r="V11" s="30"/>
      <c r="W11" s="199"/>
      <c r="X11" s="468"/>
      <c r="Y11" s="468"/>
      <c r="Z11" s="469"/>
      <c r="AA11" s="451"/>
      <c r="AC11" s="14">
        <f>(I11/2)*1</f>
        <v>7.5</v>
      </c>
    </row>
    <row r="12" spans="1:29" s="14" customFormat="1" ht="44.25" customHeight="1">
      <c r="A12" s="7" t="s">
        <v>153</v>
      </c>
      <c r="B12" s="647" t="s">
        <v>529</v>
      </c>
      <c r="C12" s="647"/>
      <c r="D12" s="647"/>
      <c r="E12" s="647"/>
      <c r="F12" s="647"/>
      <c r="G12" s="647"/>
      <c r="H12" s="647"/>
      <c r="I12" s="132">
        <v>15</v>
      </c>
      <c r="J12" s="133" t="s">
        <v>510</v>
      </c>
      <c r="K12" s="10"/>
      <c r="L12" s="30"/>
      <c r="M12" s="30"/>
      <c r="N12" s="199"/>
      <c r="O12" s="30"/>
      <c r="P12" s="30"/>
      <c r="Q12" s="199"/>
      <c r="R12" s="30"/>
      <c r="S12" s="30"/>
      <c r="T12" s="199"/>
      <c r="U12" s="30"/>
      <c r="V12" s="30"/>
      <c r="W12" s="199"/>
      <c r="X12" s="475"/>
      <c r="Y12" s="475"/>
      <c r="Z12" s="476"/>
      <c r="AA12" s="451"/>
      <c r="AC12" s="14">
        <f>(I12/4)*1</f>
        <v>3.75</v>
      </c>
    </row>
    <row r="13" spans="1:29"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29"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9"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9"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X11:Z11"/>
    <mergeCell ref="B12:H12"/>
    <mergeCell ref="X12:Z12"/>
    <mergeCell ref="A13:E13"/>
    <mergeCell ref="F13:J13"/>
    <mergeCell ref="K13:N13"/>
    <mergeCell ref="O13:W13"/>
    <mergeCell ref="X13:Z13"/>
  </mergeCells>
  <printOptions horizontalCentered="1" verticalCentered="1"/>
  <pageMargins left="0" right="0" top="0" bottom="0" header="0" footer="0"/>
  <pageSetup scale="40"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1AB4-AAD2-476C-9876-138612CFFA28}">
  <dimension ref="A1:AC16"/>
  <sheetViews>
    <sheetView rightToLeft="1" topLeftCell="A4" zoomScale="70" zoomScaleNormal="70" zoomScaleSheetLayoutView="70" workbookViewId="0">
      <selection activeCell="A3" sqref="A3:F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64.5" customHeight="1">
      <c r="A3" s="455" t="s">
        <v>515</v>
      </c>
      <c r="B3" s="456"/>
      <c r="C3" s="456"/>
      <c r="D3" s="456"/>
      <c r="E3" s="456"/>
      <c r="F3" s="456"/>
      <c r="G3" s="456" t="s">
        <v>3</v>
      </c>
      <c r="H3" s="456"/>
      <c r="I3" s="730" t="s">
        <v>516</v>
      </c>
      <c r="J3" s="730"/>
      <c r="K3" s="730"/>
      <c r="L3" s="730"/>
      <c r="M3" s="730"/>
      <c r="N3" s="730"/>
      <c r="O3" s="730"/>
      <c r="P3" s="730"/>
      <c r="Q3" s="730"/>
      <c r="R3" s="730"/>
      <c r="S3" s="730"/>
      <c r="T3" s="730"/>
      <c r="U3" s="730"/>
      <c r="V3" s="730"/>
      <c r="W3" s="730"/>
      <c r="X3" s="730"/>
      <c r="Y3" s="730"/>
      <c r="Z3" s="731"/>
      <c r="AA3" s="451"/>
    </row>
    <row r="4" spans="1:29" s="3" customFormat="1" ht="28.5" customHeight="1">
      <c r="A4" s="460" t="s">
        <v>517</v>
      </c>
      <c r="B4" s="461"/>
      <c r="C4" s="461"/>
      <c r="D4" s="461"/>
      <c r="E4" s="461"/>
      <c r="F4" s="462"/>
      <c r="G4" s="456" t="s">
        <v>144</v>
      </c>
      <c r="H4" s="456"/>
      <c r="I4" s="730"/>
      <c r="J4" s="730"/>
      <c r="K4" s="730"/>
      <c r="L4" s="730"/>
      <c r="M4" s="730"/>
      <c r="N4" s="730"/>
      <c r="O4" s="730"/>
      <c r="P4" s="730"/>
      <c r="Q4" s="730"/>
      <c r="R4" s="730"/>
      <c r="S4" s="730"/>
      <c r="T4" s="730"/>
      <c r="U4" s="730"/>
      <c r="V4" s="730"/>
      <c r="W4" s="730"/>
      <c r="X4" s="730"/>
      <c r="Y4" s="730"/>
      <c r="Z4" s="731"/>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939" t="s">
        <v>9</v>
      </c>
      <c r="B6" s="472" t="s">
        <v>10</v>
      </c>
      <c r="C6" s="472"/>
      <c r="D6" s="472"/>
      <c r="E6" s="472"/>
      <c r="F6" s="472"/>
      <c r="G6" s="472"/>
      <c r="H6" s="472"/>
      <c r="I6" s="472" t="s">
        <v>11</v>
      </c>
      <c r="J6" s="472" t="s">
        <v>12</v>
      </c>
      <c r="K6" s="472" t="s">
        <v>13</v>
      </c>
      <c r="L6" s="472" t="s">
        <v>14</v>
      </c>
      <c r="M6" s="472"/>
      <c r="N6" s="472"/>
      <c r="O6" s="472"/>
      <c r="P6" s="472"/>
      <c r="Q6" s="472"/>
      <c r="R6" s="472"/>
      <c r="S6" s="472"/>
      <c r="T6" s="472"/>
      <c r="U6" s="472"/>
      <c r="V6" s="472"/>
      <c r="W6" s="472"/>
      <c r="X6" s="472" t="s">
        <v>15</v>
      </c>
      <c r="Y6" s="472"/>
      <c r="Z6" s="741"/>
      <c r="AA6" s="451"/>
    </row>
    <row r="7" spans="1:29" ht="50.25">
      <c r="A7" s="939"/>
      <c r="B7" s="472"/>
      <c r="C7" s="472"/>
      <c r="D7" s="472"/>
      <c r="E7" s="472"/>
      <c r="F7" s="472"/>
      <c r="G7" s="472"/>
      <c r="H7" s="472"/>
      <c r="I7" s="472"/>
      <c r="J7" s="472"/>
      <c r="K7" s="472"/>
      <c r="L7" s="200" t="s">
        <v>16</v>
      </c>
      <c r="M7" s="200" t="s">
        <v>17</v>
      </c>
      <c r="N7" s="200" t="s">
        <v>18</v>
      </c>
      <c r="O7" s="200" t="s">
        <v>19</v>
      </c>
      <c r="P7" s="200" t="s">
        <v>20</v>
      </c>
      <c r="Q7" s="200" t="s">
        <v>21</v>
      </c>
      <c r="R7" s="200" t="s">
        <v>22</v>
      </c>
      <c r="S7" s="200" t="s">
        <v>23</v>
      </c>
      <c r="T7" s="200" t="s">
        <v>24</v>
      </c>
      <c r="U7" s="200" t="s">
        <v>25</v>
      </c>
      <c r="V7" s="200" t="s">
        <v>26</v>
      </c>
      <c r="W7" s="200" t="s">
        <v>27</v>
      </c>
      <c r="X7" s="472"/>
      <c r="Y7" s="472"/>
      <c r="Z7" s="741"/>
      <c r="AA7" s="451"/>
    </row>
    <row r="8" spans="1:29" s="14" customFormat="1" ht="83.25">
      <c r="A8" s="201" t="s">
        <v>28</v>
      </c>
      <c r="B8" s="923" t="s">
        <v>518</v>
      </c>
      <c r="C8" s="923"/>
      <c r="D8" s="923"/>
      <c r="E8" s="923"/>
      <c r="F8" s="923"/>
      <c r="G8" s="923"/>
      <c r="H8" s="923"/>
      <c r="I8" s="202">
        <v>40</v>
      </c>
      <c r="J8" s="202" t="s">
        <v>519</v>
      </c>
      <c r="K8" s="10"/>
      <c r="L8" s="203"/>
      <c r="M8" s="203"/>
      <c r="N8" s="203"/>
      <c r="O8" s="203"/>
      <c r="P8" s="203"/>
      <c r="Q8" s="203"/>
      <c r="R8" s="204"/>
      <c r="S8" s="204"/>
      <c r="T8" s="204"/>
      <c r="U8" s="204"/>
      <c r="V8" s="204"/>
      <c r="W8" s="204"/>
      <c r="X8" s="475"/>
      <c r="Y8" s="475"/>
      <c r="Z8" s="476"/>
      <c r="AA8" s="451"/>
      <c r="AC8" s="14">
        <v>20</v>
      </c>
    </row>
    <row r="9" spans="1:29" s="14" customFormat="1" ht="83.25" customHeight="1">
      <c r="A9" s="201" t="s">
        <v>66</v>
      </c>
      <c r="B9" s="923" t="s">
        <v>520</v>
      </c>
      <c r="C9" s="923"/>
      <c r="D9" s="923"/>
      <c r="E9" s="923"/>
      <c r="F9" s="923"/>
      <c r="G9" s="923"/>
      <c r="H9" s="923"/>
      <c r="I9" s="202">
        <v>30</v>
      </c>
      <c r="J9" s="202" t="s">
        <v>519</v>
      </c>
      <c r="K9" s="10"/>
      <c r="L9" s="204"/>
      <c r="M9" s="204"/>
      <c r="N9" s="203"/>
      <c r="O9" s="203"/>
      <c r="P9" s="203"/>
      <c r="Q9" s="203"/>
      <c r="R9" s="203"/>
      <c r="S9" s="203"/>
      <c r="T9" s="204"/>
      <c r="U9" s="204"/>
      <c r="V9" s="204"/>
      <c r="W9" s="204"/>
      <c r="X9" s="475"/>
      <c r="Y9" s="475"/>
      <c r="Z9" s="476"/>
      <c r="AA9" s="451"/>
      <c r="AC9" s="14">
        <f>(30/6)*1</f>
        <v>5</v>
      </c>
    </row>
    <row r="10" spans="1:29" s="14" customFormat="1" ht="83.25" customHeight="1">
      <c r="A10" s="201" t="s">
        <v>68</v>
      </c>
      <c r="B10" s="923" t="s">
        <v>521</v>
      </c>
      <c r="C10" s="923"/>
      <c r="D10" s="923"/>
      <c r="E10" s="923"/>
      <c r="F10" s="923"/>
      <c r="G10" s="923"/>
      <c r="H10" s="923"/>
      <c r="I10" s="202">
        <v>30</v>
      </c>
      <c r="J10" s="202" t="s">
        <v>519</v>
      </c>
      <c r="K10" s="10"/>
      <c r="L10" s="204"/>
      <c r="M10" s="204"/>
      <c r="N10" s="204"/>
      <c r="O10" s="204"/>
      <c r="P10" s="204"/>
      <c r="Q10" s="204"/>
      <c r="R10" s="203"/>
      <c r="S10" s="203"/>
      <c r="T10" s="203"/>
      <c r="U10" s="203"/>
      <c r="V10" s="203"/>
      <c r="W10" s="203"/>
      <c r="X10" s="475"/>
      <c r="Y10" s="475"/>
      <c r="Z10" s="476"/>
      <c r="AA10" s="451"/>
    </row>
    <row r="11" spans="1:29" ht="57.75" customHeight="1">
      <c r="A11" s="926" t="s">
        <v>42</v>
      </c>
      <c r="B11" s="492"/>
      <c r="C11" s="492"/>
      <c r="D11" s="492"/>
      <c r="E11" s="493"/>
      <c r="F11" s="472" t="s">
        <v>43</v>
      </c>
      <c r="G11" s="472"/>
      <c r="H11" s="472"/>
      <c r="I11" s="472"/>
      <c r="J11" s="472"/>
      <c r="K11" s="472" t="s">
        <v>44</v>
      </c>
      <c r="L11" s="472"/>
      <c r="M11" s="472"/>
      <c r="N11" s="472"/>
      <c r="O11" s="491" t="s">
        <v>45</v>
      </c>
      <c r="P11" s="492"/>
      <c r="Q11" s="492"/>
      <c r="R11" s="492"/>
      <c r="S11" s="492"/>
      <c r="T11" s="492"/>
      <c r="U11" s="492"/>
      <c r="V11" s="492"/>
      <c r="W11" s="493"/>
      <c r="X11" s="472" t="s">
        <v>46</v>
      </c>
      <c r="Y11" s="472"/>
      <c r="Z11" s="472"/>
      <c r="AA11" s="451"/>
    </row>
    <row r="12" spans="1:29" s="20" customFormat="1" ht="28.5">
      <c r="A12" s="927"/>
      <c r="B12" s="478"/>
      <c r="C12" s="478"/>
      <c r="D12" s="478"/>
      <c r="E12" s="512"/>
      <c r="F12" s="930"/>
      <c r="G12" s="931"/>
      <c r="H12" s="931"/>
      <c r="I12" s="931"/>
      <c r="J12" s="932"/>
      <c r="K12" s="924" t="s">
        <v>47</v>
      </c>
      <c r="L12" s="924"/>
      <c r="M12" s="924"/>
      <c r="N12" s="924"/>
      <c r="O12" s="477"/>
      <c r="P12" s="478"/>
      <c r="Q12" s="478"/>
      <c r="R12" s="478"/>
      <c r="S12" s="478"/>
      <c r="T12" s="478"/>
      <c r="U12" s="478"/>
      <c r="V12" s="478"/>
      <c r="W12" s="512"/>
      <c r="X12" s="477"/>
      <c r="Y12" s="478"/>
      <c r="Z12" s="479"/>
    </row>
    <row r="13" spans="1:29" s="20" customFormat="1" ht="28.5">
      <c r="A13" s="928"/>
      <c r="B13" s="481"/>
      <c r="C13" s="481"/>
      <c r="D13" s="481"/>
      <c r="E13" s="513"/>
      <c r="F13" s="933"/>
      <c r="G13" s="934"/>
      <c r="H13" s="934"/>
      <c r="I13" s="934"/>
      <c r="J13" s="935"/>
      <c r="K13" s="924"/>
      <c r="L13" s="924"/>
      <c r="M13" s="924"/>
      <c r="N13" s="924"/>
      <c r="O13" s="480"/>
      <c r="P13" s="481"/>
      <c r="Q13" s="481"/>
      <c r="R13" s="481"/>
      <c r="S13" s="481"/>
      <c r="T13" s="481"/>
      <c r="U13" s="481"/>
      <c r="V13" s="481"/>
      <c r="W13" s="513"/>
      <c r="X13" s="480"/>
      <c r="Y13" s="481"/>
      <c r="Z13" s="482"/>
    </row>
    <row r="14" spans="1:29" s="20" customFormat="1" ht="28.5">
      <c r="A14" s="928"/>
      <c r="B14" s="481"/>
      <c r="C14" s="481"/>
      <c r="D14" s="481"/>
      <c r="E14" s="513"/>
      <c r="F14" s="933"/>
      <c r="G14" s="934"/>
      <c r="H14" s="934"/>
      <c r="I14" s="934"/>
      <c r="J14" s="935"/>
      <c r="K14" s="924" t="s">
        <v>48</v>
      </c>
      <c r="L14" s="924"/>
      <c r="M14" s="924"/>
      <c r="N14" s="924"/>
      <c r="O14" s="480"/>
      <c r="P14" s="481"/>
      <c r="Q14" s="481"/>
      <c r="R14" s="481"/>
      <c r="S14" s="481"/>
      <c r="T14" s="481"/>
      <c r="U14" s="481"/>
      <c r="V14" s="481"/>
      <c r="W14" s="513"/>
      <c r="X14" s="480"/>
      <c r="Y14" s="481"/>
      <c r="Z14" s="482"/>
    </row>
    <row r="15" spans="1:29" s="20" customFormat="1" ht="29.25" thickBot="1">
      <c r="A15" s="929"/>
      <c r="B15" s="484"/>
      <c r="C15" s="484"/>
      <c r="D15" s="484"/>
      <c r="E15" s="514"/>
      <c r="F15" s="936"/>
      <c r="G15" s="937"/>
      <c r="H15" s="937"/>
      <c r="I15" s="937"/>
      <c r="J15" s="938"/>
      <c r="K15" s="925"/>
      <c r="L15" s="925"/>
      <c r="M15" s="925"/>
      <c r="N15" s="925"/>
      <c r="O15" s="483"/>
      <c r="P15" s="484"/>
      <c r="Q15" s="484"/>
      <c r="R15" s="484"/>
      <c r="S15" s="484"/>
      <c r="T15" s="484"/>
      <c r="U15" s="484"/>
      <c r="V15" s="484"/>
      <c r="W15" s="514"/>
      <c r="X15" s="483"/>
      <c r="Y15" s="484"/>
      <c r="Z15" s="485"/>
    </row>
    <row r="16" spans="1:29" ht="18.75" thickTop="1"/>
  </sheetData>
  <mergeCells count="36">
    <mergeCell ref="A1:Y1"/>
    <mergeCell ref="AA1:AA1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X12:Z15"/>
    <mergeCell ref="K14:K15"/>
    <mergeCell ref="L14:N15"/>
    <mergeCell ref="A11:E11"/>
    <mergeCell ref="F11:J11"/>
    <mergeCell ref="K11:N11"/>
    <mergeCell ref="O11:W11"/>
    <mergeCell ref="X11:Z11"/>
    <mergeCell ref="A12:E15"/>
    <mergeCell ref="F12:J15"/>
    <mergeCell ref="K12:K13"/>
    <mergeCell ref="L12:N13"/>
    <mergeCell ref="O12:W15"/>
  </mergeCells>
  <printOptions horizontalCentered="1" verticalCentered="1"/>
  <pageMargins left="0" right="0" top="0" bottom="0" header="0" footer="0"/>
  <pageSetup scale="40" orientation="landscape"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7C6D1-E4B9-44CF-8562-F79D1F0446FE}">
  <dimension ref="A1:AD18"/>
  <sheetViews>
    <sheetView rightToLeft="1" topLeftCell="A4" zoomScale="70" zoomScaleNormal="70" zoomScaleSheetLayoutView="85" workbookViewId="0">
      <selection activeCell="AD10" sqref="AD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55.5" customHeight="1">
      <c r="A3" s="455" t="s">
        <v>505</v>
      </c>
      <c r="B3" s="456"/>
      <c r="C3" s="456"/>
      <c r="D3" s="456"/>
      <c r="E3" s="456"/>
      <c r="F3" s="456"/>
      <c r="G3" s="457" t="s">
        <v>3</v>
      </c>
      <c r="H3" s="457"/>
      <c r="I3" s="458" t="s">
        <v>506</v>
      </c>
      <c r="J3" s="458"/>
      <c r="K3" s="458"/>
      <c r="L3" s="458"/>
      <c r="M3" s="458"/>
      <c r="N3" s="458"/>
      <c r="O3" s="458"/>
      <c r="P3" s="458"/>
      <c r="Q3" s="458"/>
      <c r="R3" s="458"/>
      <c r="S3" s="458"/>
      <c r="T3" s="458"/>
      <c r="U3" s="458"/>
      <c r="V3" s="458"/>
      <c r="W3" s="458"/>
      <c r="X3" s="458"/>
      <c r="Y3" s="458"/>
      <c r="Z3" s="459"/>
      <c r="AA3" s="451"/>
    </row>
    <row r="4" spans="1:30" s="3" customFormat="1" ht="28.5" customHeight="1">
      <c r="A4" s="460" t="s">
        <v>507</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508</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45">
      <c r="A8" s="7" t="s">
        <v>28</v>
      </c>
      <c r="B8" s="647" t="s">
        <v>509</v>
      </c>
      <c r="C8" s="647"/>
      <c r="D8" s="647"/>
      <c r="E8" s="647"/>
      <c r="F8" s="647"/>
      <c r="G8" s="647"/>
      <c r="H8" s="647"/>
      <c r="I8" s="132">
        <v>25</v>
      </c>
      <c r="J8" s="133" t="s">
        <v>510</v>
      </c>
      <c r="K8" s="10"/>
      <c r="L8" s="30"/>
      <c r="M8" s="199"/>
      <c r="N8" s="30"/>
      <c r="O8" s="30"/>
      <c r="P8" s="30"/>
      <c r="Q8" s="30"/>
      <c r="R8" s="30"/>
      <c r="S8" s="30"/>
      <c r="T8" s="30"/>
      <c r="U8" s="30"/>
      <c r="V8" s="30"/>
      <c r="W8" s="30"/>
      <c r="X8" s="475"/>
      <c r="Y8" s="475"/>
      <c r="Z8" s="476"/>
      <c r="AA8" s="451"/>
      <c r="AD8" s="14">
        <v>25</v>
      </c>
    </row>
    <row r="9" spans="1:30" s="14" customFormat="1" ht="45">
      <c r="A9" s="7" t="s">
        <v>66</v>
      </c>
      <c r="B9" s="647" t="s">
        <v>511</v>
      </c>
      <c r="C9" s="647"/>
      <c r="D9" s="647"/>
      <c r="E9" s="647"/>
      <c r="F9" s="647"/>
      <c r="G9" s="647"/>
      <c r="H9" s="647"/>
      <c r="I9" s="132">
        <v>25</v>
      </c>
      <c r="J9" s="133" t="s">
        <v>510</v>
      </c>
      <c r="K9" s="10"/>
      <c r="L9" s="30"/>
      <c r="M9" s="30"/>
      <c r="N9" s="199"/>
      <c r="O9" s="199"/>
      <c r="P9" s="199"/>
      <c r="Q9" s="30"/>
      <c r="R9" s="30"/>
      <c r="S9" s="30"/>
      <c r="T9" s="30"/>
      <c r="U9" s="30"/>
      <c r="V9" s="30"/>
      <c r="W9" s="30"/>
      <c r="X9" s="475"/>
      <c r="Y9" s="475"/>
      <c r="Z9" s="476"/>
      <c r="AA9" s="451"/>
      <c r="AD9" s="14">
        <f>(25/3)*1</f>
        <v>8.3333333333333339</v>
      </c>
    </row>
    <row r="10" spans="1:30" s="14" customFormat="1" ht="45">
      <c r="A10" s="7" t="s">
        <v>68</v>
      </c>
      <c r="B10" s="647" t="s">
        <v>512</v>
      </c>
      <c r="C10" s="647"/>
      <c r="D10" s="647"/>
      <c r="E10" s="647"/>
      <c r="F10" s="647"/>
      <c r="G10" s="647"/>
      <c r="H10" s="647"/>
      <c r="I10" s="132">
        <v>25</v>
      </c>
      <c r="J10" s="133" t="s">
        <v>510</v>
      </c>
      <c r="K10" s="10"/>
      <c r="L10" s="30"/>
      <c r="M10" s="30"/>
      <c r="N10" s="30"/>
      <c r="O10" s="30"/>
      <c r="P10" s="199"/>
      <c r="Q10" s="199"/>
      <c r="R10" s="199"/>
      <c r="S10" s="162"/>
      <c r="T10" s="162"/>
      <c r="U10" s="162"/>
      <c r="V10" s="162"/>
      <c r="W10" s="162"/>
      <c r="X10" s="468"/>
      <c r="Y10" s="468"/>
      <c r="Z10" s="469"/>
      <c r="AA10" s="451"/>
    </row>
    <row r="11" spans="1:30" s="14" customFormat="1" ht="45">
      <c r="A11" s="7" t="s">
        <v>70</v>
      </c>
      <c r="B11" s="647" t="s">
        <v>513</v>
      </c>
      <c r="C11" s="647"/>
      <c r="D11" s="647"/>
      <c r="E11" s="647"/>
      <c r="F11" s="647"/>
      <c r="G11" s="647"/>
      <c r="H11" s="647"/>
      <c r="I11" s="132">
        <v>20</v>
      </c>
      <c r="J11" s="133" t="s">
        <v>510</v>
      </c>
      <c r="K11" s="10"/>
      <c r="L11" s="30"/>
      <c r="M11" s="30"/>
      <c r="N11" s="30"/>
      <c r="O11" s="30"/>
      <c r="P11" s="30"/>
      <c r="Q11" s="30"/>
      <c r="R11" s="199"/>
      <c r="S11" s="199"/>
      <c r="T11" s="199"/>
      <c r="U11" s="199"/>
      <c r="V11" s="199"/>
      <c r="W11" s="199"/>
      <c r="X11" s="468"/>
      <c r="Y11" s="468"/>
      <c r="Z11" s="469"/>
      <c r="AA11" s="451"/>
    </row>
    <row r="12" spans="1:30" s="14" customFormat="1" ht="45">
      <c r="A12" s="7" t="s">
        <v>153</v>
      </c>
      <c r="B12" s="647" t="s">
        <v>514</v>
      </c>
      <c r="C12" s="647"/>
      <c r="D12" s="647"/>
      <c r="E12" s="647"/>
      <c r="F12" s="647"/>
      <c r="G12" s="647"/>
      <c r="H12" s="647"/>
      <c r="I12" s="132">
        <v>10</v>
      </c>
      <c r="J12" s="133" t="s">
        <v>510</v>
      </c>
      <c r="K12" s="10"/>
      <c r="L12" s="30"/>
      <c r="M12" s="30"/>
      <c r="N12" s="30"/>
      <c r="O12" s="30"/>
      <c r="P12" s="30"/>
      <c r="Q12" s="30"/>
      <c r="R12" s="30"/>
      <c r="S12" s="30"/>
      <c r="T12" s="199"/>
      <c r="U12" s="199"/>
      <c r="V12" s="199"/>
      <c r="W12" s="199"/>
      <c r="X12" s="475"/>
      <c r="Y12" s="475"/>
      <c r="Z12" s="476"/>
      <c r="AA12" s="451"/>
    </row>
    <row r="13" spans="1:30"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30"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30"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30"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X11:Z11"/>
    <mergeCell ref="B12:H12"/>
    <mergeCell ref="X12:Z12"/>
    <mergeCell ref="A13:E13"/>
    <mergeCell ref="F13:J13"/>
    <mergeCell ref="K13:N13"/>
    <mergeCell ref="O13:W13"/>
    <mergeCell ref="X13:Z13"/>
  </mergeCells>
  <printOptions horizontalCentered="1" verticalCentered="1"/>
  <pageMargins left="0" right="0" top="0" bottom="0" header="0" footer="0"/>
  <pageSetup scale="40" orientation="landscape"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F8E54-3AA4-4C94-BE46-4F811170A08C}">
  <dimension ref="A1:AA34"/>
  <sheetViews>
    <sheetView rightToLeft="1" zoomScale="85" zoomScaleNormal="85" zoomScaleSheetLayoutView="100" workbookViewId="0">
      <selection activeCell="AA9" sqref="AA9"/>
    </sheetView>
  </sheetViews>
  <sheetFormatPr defaultColWidth="9.140625" defaultRowHeight="18"/>
  <cols>
    <col min="1" max="1" width="8.140625" style="21" bestFit="1" customWidth="1"/>
    <col min="2" max="2" width="9.140625" style="21"/>
    <col min="3" max="3" width="8.42578125" style="21" customWidth="1"/>
    <col min="4" max="4" width="17.42578125" style="21" customWidth="1"/>
    <col min="5" max="5" width="22.5703125" style="21" customWidth="1"/>
    <col min="6" max="6" width="21.85546875" style="21" customWidth="1"/>
    <col min="7" max="7" width="22.85546875" style="21" customWidth="1"/>
    <col min="8" max="8" width="7.28515625" style="21" customWidth="1"/>
    <col min="9" max="9" width="13.7109375" style="21" customWidth="1"/>
    <col min="10" max="10" width="30.140625" style="21" customWidth="1"/>
    <col min="11" max="11" width="28.42578125" style="21" customWidth="1"/>
    <col min="12" max="13" width="4.5703125" style="21" customWidth="1"/>
    <col min="14" max="14" width="6.140625" style="21" customWidth="1"/>
    <col min="15" max="23" width="4.5703125" style="21" customWidth="1"/>
    <col min="24" max="24" width="45.42578125" style="21" customWidth="1"/>
    <col min="25" max="25" width="3.140625" style="2" customWidth="1"/>
    <col min="26" max="26" width="4.140625" style="2" customWidth="1"/>
    <col min="27"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1" t="s">
        <v>1</v>
      </c>
      <c r="Y1" s="451"/>
    </row>
    <row r="2" spans="1:27" s="3" customFormat="1" ht="28.5">
      <c r="A2" s="455" t="s">
        <v>490</v>
      </c>
      <c r="B2" s="456"/>
      <c r="C2" s="456"/>
      <c r="D2" s="456"/>
      <c r="E2" s="456"/>
      <c r="F2" s="456"/>
      <c r="G2" s="457" t="s">
        <v>3</v>
      </c>
      <c r="H2" s="457"/>
      <c r="I2" s="730" t="s">
        <v>491</v>
      </c>
      <c r="J2" s="458"/>
      <c r="K2" s="458"/>
      <c r="L2" s="458"/>
      <c r="M2" s="458"/>
      <c r="N2" s="458"/>
      <c r="O2" s="458"/>
      <c r="P2" s="458"/>
      <c r="Q2" s="458"/>
      <c r="R2" s="458"/>
      <c r="S2" s="458"/>
      <c r="T2" s="458"/>
      <c r="U2" s="458"/>
      <c r="V2" s="458"/>
      <c r="W2" s="458"/>
      <c r="X2" s="459"/>
      <c r="Y2" s="451"/>
    </row>
    <row r="3" spans="1:27" s="3" customFormat="1" ht="28.5" customHeight="1">
      <c r="A3" s="460" t="s">
        <v>406</v>
      </c>
      <c r="B3" s="461"/>
      <c r="C3" s="461"/>
      <c r="D3" s="461"/>
      <c r="E3" s="461"/>
      <c r="F3" s="462"/>
      <c r="G3" s="457" t="s">
        <v>242</v>
      </c>
      <c r="H3" s="457"/>
      <c r="I3" s="458"/>
      <c r="J3" s="458"/>
      <c r="K3" s="458"/>
      <c r="L3" s="458"/>
      <c r="M3" s="458"/>
      <c r="N3" s="458"/>
      <c r="O3" s="458"/>
      <c r="P3" s="458"/>
      <c r="Q3" s="458"/>
      <c r="R3" s="458"/>
      <c r="S3" s="458"/>
      <c r="T3" s="458"/>
      <c r="U3" s="458"/>
      <c r="V3" s="458"/>
      <c r="W3" s="458"/>
      <c r="X3" s="459"/>
      <c r="Y3" s="451"/>
    </row>
    <row r="4" spans="1:27" s="3" customFormat="1" ht="28.5" customHeight="1">
      <c r="A4" s="463"/>
      <c r="B4" s="464"/>
      <c r="C4" s="464"/>
      <c r="D4" s="464"/>
      <c r="E4" s="464"/>
      <c r="F4" s="465"/>
      <c r="G4" s="456" t="s">
        <v>479</v>
      </c>
      <c r="H4" s="456"/>
      <c r="I4" s="456" t="s">
        <v>8</v>
      </c>
      <c r="J4" s="456"/>
      <c r="K4" s="456"/>
      <c r="L4" s="456"/>
      <c r="M4" s="456"/>
      <c r="N4" s="456"/>
      <c r="O4" s="456"/>
      <c r="P4" s="456"/>
      <c r="Q4" s="456"/>
      <c r="R4" s="456"/>
      <c r="S4" s="456"/>
      <c r="T4" s="456"/>
      <c r="U4" s="456"/>
      <c r="V4" s="456"/>
      <c r="W4" s="456"/>
      <c r="X4" s="466"/>
      <c r="Y4" s="451"/>
    </row>
    <row r="5" spans="1:27" ht="28.5">
      <c r="A5" s="470" t="s">
        <v>9</v>
      </c>
      <c r="B5" s="471" t="s">
        <v>10</v>
      </c>
      <c r="C5" s="471"/>
      <c r="D5" s="471"/>
      <c r="E5" s="471"/>
      <c r="F5" s="471"/>
      <c r="G5" s="471"/>
      <c r="H5" s="471"/>
      <c r="I5" s="472" t="s">
        <v>11</v>
      </c>
      <c r="J5" s="471" t="s">
        <v>12</v>
      </c>
      <c r="K5" s="472" t="s">
        <v>13</v>
      </c>
      <c r="L5" s="471" t="s">
        <v>14</v>
      </c>
      <c r="M5" s="471"/>
      <c r="N5" s="471"/>
      <c r="O5" s="471"/>
      <c r="P5" s="471"/>
      <c r="Q5" s="471"/>
      <c r="R5" s="471"/>
      <c r="S5" s="471"/>
      <c r="T5" s="471"/>
      <c r="U5" s="471"/>
      <c r="V5" s="471"/>
      <c r="W5" s="471"/>
      <c r="X5" s="473"/>
      <c r="Y5" s="451"/>
    </row>
    <row r="6" spans="1:27" ht="55.5">
      <c r="A6" s="470"/>
      <c r="B6" s="471"/>
      <c r="C6" s="471"/>
      <c r="D6" s="471"/>
      <c r="E6" s="471"/>
      <c r="F6" s="471"/>
      <c r="G6" s="471"/>
      <c r="H6" s="471"/>
      <c r="I6" s="471"/>
      <c r="J6" s="471"/>
      <c r="K6" s="471"/>
      <c r="L6" s="6" t="s">
        <v>16</v>
      </c>
      <c r="M6" s="6" t="s">
        <v>17</v>
      </c>
      <c r="N6" s="6" t="s">
        <v>18</v>
      </c>
      <c r="O6" s="6" t="s">
        <v>19</v>
      </c>
      <c r="P6" s="6" t="s">
        <v>20</v>
      </c>
      <c r="Q6" s="6" t="s">
        <v>21</v>
      </c>
      <c r="R6" s="6" t="s">
        <v>22</v>
      </c>
      <c r="S6" s="6" t="s">
        <v>23</v>
      </c>
      <c r="T6" s="6" t="s">
        <v>24</v>
      </c>
      <c r="U6" s="6" t="s">
        <v>25</v>
      </c>
      <c r="V6" s="6" t="s">
        <v>26</v>
      </c>
      <c r="W6" s="6" t="s">
        <v>27</v>
      </c>
      <c r="X6" s="473"/>
      <c r="Y6" s="451"/>
    </row>
    <row r="7" spans="1:27" s="14" customFormat="1" ht="24">
      <c r="A7" s="7" t="s">
        <v>28</v>
      </c>
      <c r="B7" s="804" t="s">
        <v>492</v>
      </c>
      <c r="C7" s="804"/>
      <c r="D7" s="804"/>
      <c r="E7" s="804"/>
      <c r="F7" s="804"/>
      <c r="G7" s="804"/>
      <c r="H7" s="804"/>
      <c r="I7" s="132"/>
      <c r="J7" s="133" t="s">
        <v>439</v>
      </c>
      <c r="K7" s="182"/>
      <c r="L7" s="30"/>
      <c r="M7" s="170"/>
      <c r="N7" s="170"/>
      <c r="O7" s="30"/>
      <c r="P7" s="30"/>
      <c r="Q7" s="30"/>
      <c r="R7" s="30"/>
      <c r="S7" s="30"/>
      <c r="T7" s="30"/>
      <c r="U7" s="30"/>
      <c r="V7" s="30"/>
      <c r="W7" s="30"/>
      <c r="X7" s="13"/>
      <c r="Y7" s="451"/>
      <c r="AA7" s="14">
        <v>5</v>
      </c>
    </row>
    <row r="8" spans="1:27" s="14" customFormat="1" ht="24">
      <c r="A8" s="7" t="s">
        <v>32</v>
      </c>
      <c r="B8" s="647" t="s">
        <v>493</v>
      </c>
      <c r="C8" s="647"/>
      <c r="D8" s="647"/>
      <c r="E8" s="647"/>
      <c r="F8" s="647"/>
      <c r="G8" s="647"/>
      <c r="H8" s="647"/>
      <c r="I8" s="132">
        <v>5</v>
      </c>
      <c r="J8" s="133" t="s">
        <v>439</v>
      </c>
      <c r="K8" s="182">
        <v>1</v>
      </c>
      <c r="L8" s="30"/>
      <c r="M8" s="170"/>
      <c r="N8" s="170"/>
      <c r="O8" s="170"/>
      <c r="P8" s="30"/>
      <c r="Q8" s="30"/>
      <c r="R8" s="30"/>
      <c r="S8" s="30"/>
      <c r="T8" s="30"/>
      <c r="U8" s="30"/>
      <c r="V8" s="30"/>
      <c r="W8" s="30"/>
      <c r="X8" s="13"/>
      <c r="Y8" s="451"/>
      <c r="AA8" s="14">
        <v>2.5</v>
      </c>
    </row>
    <row r="9" spans="1:27" s="14" customFormat="1" ht="39.75" customHeight="1">
      <c r="A9" s="7" t="s">
        <v>34</v>
      </c>
      <c r="B9" s="647" t="s">
        <v>494</v>
      </c>
      <c r="C9" s="647"/>
      <c r="D9" s="647"/>
      <c r="E9" s="647"/>
      <c r="F9" s="647"/>
      <c r="G9" s="647"/>
      <c r="H9" s="647"/>
      <c r="I9" s="132">
        <v>5</v>
      </c>
      <c r="J9" s="133" t="s">
        <v>439</v>
      </c>
      <c r="K9" s="182">
        <v>2</v>
      </c>
      <c r="L9" s="30"/>
      <c r="M9" s="162"/>
      <c r="N9" s="170"/>
      <c r="O9" s="170"/>
      <c r="P9" s="30"/>
      <c r="Q9" s="30"/>
      <c r="R9" s="30"/>
      <c r="S9" s="30"/>
      <c r="T9" s="30"/>
      <c r="U9" s="30"/>
      <c r="V9" s="30"/>
      <c r="W9" s="30"/>
      <c r="X9" s="18"/>
      <c r="Y9" s="451"/>
    </row>
    <row r="10" spans="1:27" s="14" customFormat="1" ht="46.5" customHeight="1">
      <c r="A10" s="7" t="s">
        <v>66</v>
      </c>
      <c r="B10" s="804" t="s">
        <v>495</v>
      </c>
      <c r="C10" s="804"/>
      <c r="D10" s="804"/>
      <c r="E10" s="804"/>
      <c r="F10" s="804"/>
      <c r="G10" s="804"/>
      <c r="H10" s="804"/>
      <c r="I10" s="132"/>
      <c r="J10" s="133" t="s">
        <v>496</v>
      </c>
      <c r="K10" s="198"/>
      <c r="L10" s="30"/>
      <c r="M10" s="30"/>
      <c r="N10" s="162"/>
      <c r="O10" s="170"/>
      <c r="P10" s="170"/>
      <c r="Q10" s="170"/>
      <c r="R10" s="30"/>
      <c r="S10" s="30"/>
      <c r="T10" s="30"/>
      <c r="U10" s="30"/>
      <c r="V10" s="30"/>
      <c r="W10" s="30"/>
      <c r="X10" s="18"/>
      <c r="Y10" s="451"/>
    </row>
    <row r="11" spans="1:27" s="14" customFormat="1" ht="50.25" customHeight="1">
      <c r="A11" s="7" t="s">
        <v>89</v>
      </c>
      <c r="B11" s="732" t="s">
        <v>497</v>
      </c>
      <c r="C11" s="647"/>
      <c r="D11" s="647"/>
      <c r="E11" s="647"/>
      <c r="F11" s="647"/>
      <c r="G11" s="647"/>
      <c r="H11" s="647"/>
      <c r="I11" s="193">
        <f>$E$29+5</f>
        <v>13.3</v>
      </c>
      <c r="J11" s="133" t="s">
        <v>496</v>
      </c>
      <c r="K11" s="182">
        <v>3</v>
      </c>
      <c r="L11" s="30"/>
      <c r="M11" s="30"/>
      <c r="N11" s="162"/>
      <c r="O11" s="170"/>
      <c r="P11" s="170"/>
      <c r="Q11" s="170"/>
      <c r="R11" s="30"/>
      <c r="S11" s="30"/>
      <c r="T11" s="30"/>
      <c r="U11" s="30"/>
      <c r="V11" s="30"/>
      <c r="W11" s="30"/>
      <c r="X11" s="13"/>
      <c r="Y11" s="451"/>
    </row>
    <row r="12" spans="1:27" s="14" customFormat="1" ht="48.75" customHeight="1">
      <c r="A12" s="7" t="s">
        <v>91</v>
      </c>
      <c r="B12" s="647" t="s">
        <v>498</v>
      </c>
      <c r="C12" s="647"/>
      <c r="D12" s="647"/>
      <c r="E12" s="647"/>
      <c r="F12" s="647"/>
      <c r="G12" s="647"/>
      <c r="H12" s="647"/>
      <c r="I12" s="193">
        <f t="shared" ref="I12:I13" si="0">$E$29+5</f>
        <v>13.3</v>
      </c>
      <c r="J12" s="133" t="s">
        <v>496</v>
      </c>
      <c r="K12" s="182">
        <v>4</v>
      </c>
      <c r="L12" s="30"/>
      <c r="M12" s="30"/>
      <c r="N12" s="162"/>
      <c r="O12" s="170"/>
      <c r="P12" s="170"/>
      <c r="Q12" s="170"/>
      <c r="R12" s="30"/>
      <c r="S12" s="30"/>
      <c r="T12" s="30"/>
      <c r="U12" s="30"/>
      <c r="V12" s="30"/>
      <c r="W12" s="30"/>
      <c r="X12" s="18"/>
      <c r="Y12" s="451"/>
    </row>
    <row r="13" spans="1:27" s="14" customFormat="1" ht="45">
      <c r="A13" s="7" t="s">
        <v>110</v>
      </c>
      <c r="B13" s="648" t="s">
        <v>499</v>
      </c>
      <c r="C13" s="649"/>
      <c r="D13" s="649"/>
      <c r="E13" s="649"/>
      <c r="F13" s="649"/>
      <c r="G13" s="649"/>
      <c r="H13" s="650"/>
      <c r="I13" s="193">
        <f t="shared" si="0"/>
        <v>13.3</v>
      </c>
      <c r="J13" s="133" t="s">
        <v>496</v>
      </c>
      <c r="K13" s="182">
        <v>5</v>
      </c>
      <c r="L13" s="30"/>
      <c r="M13" s="30"/>
      <c r="N13" s="30"/>
      <c r="O13" s="30"/>
      <c r="P13" s="30"/>
      <c r="Q13" s="30"/>
      <c r="R13" s="170"/>
      <c r="S13" s="170"/>
      <c r="T13" s="30"/>
      <c r="U13" s="30"/>
      <c r="V13" s="30"/>
      <c r="W13" s="30"/>
      <c r="X13" s="18"/>
      <c r="Y13" s="451"/>
    </row>
    <row r="14" spans="1:27" s="14" customFormat="1" ht="24">
      <c r="A14" s="7" t="s">
        <v>68</v>
      </c>
      <c r="B14" s="940" t="s">
        <v>500</v>
      </c>
      <c r="C14" s="941"/>
      <c r="D14" s="941"/>
      <c r="E14" s="941"/>
      <c r="F14" s="941"/>
      <c r="G14" s="941"/>
      <c r="H14" s="942"/>
      <c r="I14" s="132"/>
      <c r="J14" s="133" t="s">
        <v>439</v>
      </c>
      <c r="K14" s="182"/>
      <c r="L14" s="30"/>
      <c r="M14" s="30"/>
      <c r="N14" s="30"/>
      <c r="O14" s="30"/>
      <c r="P14" s="30"/>
      <c r="Q14" s="30"/>
      <c r="R14" s="170"/>
      <c r="S14" s="170"/>
      <c r="T14" s="170"/>
      <c r="U14" s="30"/>
      <c r="V14" s="30"/>
      <c r="W14" s="30"/>
      <c r="X14" s="18"/>
      <c r="Y14" s="451"/>
    </row>
    <row r="15" spans="1:27" s="14" customFormat="1" ht="24">
      <c r="A15" s="7" t="s">
        <v>94</v>
      </c>
      <c r="B15" s="648" t="s">
        <v>474</v>
      </c>
      <c r="C15" s="649"/>
      <c r="D15" s="649"/>
      <c r="E15" s="649"/>
      <c r="F15" s="649"/>
      <c r="G15" s="649"/>
      <c r="H15" s="650"/>
      <c r="I15" s="132">
        <v>10</v>
      </c>
      <c r="J15" s="133" t="s">
        <v>439</v>
      </c>
      <c r="K15" s="182">
        <v>6</v>
      </c>
      <c r="L15" s="30"/>
      <c r="M15" s="30"/>
      <c r="N15" s="30"/>
      <c r="O15" s="30"/>
      <c r="P15" s="30"/>
      <c r="Q15" s="30"/>
      <c r="R15" s="30"/>
      <c r="S15" s="30"/>
      <c r="T15" s="30"/>
      <c r="U15" s="170"/>
      <c r="V15" s="170"/>
      <c r="W15" s="30"/>
      <c r="X15" s="18"/>
      <c r="Y15" s="451"/>
    </row>
    <row r="16" spans="1:27" s="14" customFormat="1" ht="24">
      <c r="A16" s="7" t="s">
        <v>96</v>
      </c>
      <c r="B16" s="647" t="s">
        <v>501</v>
      </c>
      <c r="C16" s="647"/>
      <c r="D16" s="647"/>
      <c r="E16" s="647"/>
      <c r="F16" s="647"/>
      <c r="G16" s="647"/>
      <c r="H16" s="647"/>
      <c r="I16" s="132">
        <v>10</v>
      </c>
      <c r="J16" s="133" t="s">
        <v>439</v>
      </c>
      <c r="K16" s="182">
        <v>7</v>
      </c>
      <c r="L16" s="30"/>
      <c r="M16" s="30"/>
      <c r="N16" s="30"/>
      <c r="O16" s="30"/>
      <c r="P16" s="30"/>
      <c r="Q16" s="30"/>
      <c r="R16" s="30"/>
      <c r="S16" s="30"/>
      <c r="T16" s="30"/>
      <c r="U16" s="30"/>
      <c r="V16" s="170"/>
      <c r="W16" s="170"/>
      <c r="X16" s="18"/>
      <c r="Y16" s="451"/>
    </row>
    <row r="17" spans="1:25" s="14" customFormat="1" ht="24">
      <c r="A17" s="7" t="s">
        <v>70</v>
      </c>
      <c r="B17" s="804" t="s">
        <v>502</v>
      </c>
      <c r="C17" s="804"/>
      <c r="D17" s="804"/>
      <c r="E17" s="804"/>
      <c r="F17" s="804"/>
      <c r="G17" s="804"/>
      <c r="H17" s="804"/>
      <c r="I17" s="132"/>
      <c r="J17" s="133" t="s">
        <v>439</v>
      </c>
      <c r="K17" s="182"/>
      <c r="L17" s="30"/>
      <c r="M17" s="30"/>
      <c r="N17" s="30"/>
      <c r="O17" s="30"/>
      <c r="P17" s="30"/>
      <c r="Q17" s="30"/>
      <c r="R17" s="30"/>
      <c r="S17" s="30"/>
      <c r="T17" s="30"/>
      <c r="U17" s="30"/>
      <c r="V17" s="170"/>
      <c r="W17" s="170"/>
      <c r="X17" s="18"/>
      <c r="Y17" s="451"/>
    </row>
    <row r="18" spans="1:25" s="14" customFormat="1" ht="24">
      <c r="A18" s="7" t="s">
        <v>114</v>
      </c>
      <c r="B18" s="647" t="s">
        <v>503</v>
      </c>
      <c r="C18" s="647"/>
      <c r="D18" s="647"/>
      <c r="E18" s="647"/>
      <c r="F18" s="647"/>
      <c r="G18" s="647"/>
      <c r="H18" s="647"/>
      <c r="I18" s="132">
        <v>15</v>
      </c>
      <c r="J18" s="133" t="s">
        <v>439</v>
      </c>
      <c r="K18" s="182">
        <v>8</v>
      </c>
      <c r="L18" s="30"/>
      <c r="M18" s="30"/>
      <c r="N18" s="30"/>
      <c r="O18" s="30"/>
      <c r="P18" s="30"/>
      <c r="Q18" s="30"/>
      <c r="R18" s="30"/>
      <c r="S18" s="30"/>
      <c r="T18" s="30"/>
      <c r="U18" s="30"/>
      <c r="V18" s="170"/>
      <c r="W18" s="170"/>
      <c r="X18" s="18"/>
      <c r="Y18" s="451"/>
    </row>
    <row r="19" spans="1:25" s="14" customFormat="1" ht="24">
      <c r="A19" s="7" t="s">
        <v>115</v>
      </c>
      <c r="B19" s="647" t="s">
        <v>504</v>
      </c>
      <c r="C19" s="647"/>
      <c r="D19" s="647"/>
      <c r="E19" s="647"/>
      <c r="F19" s="647"/>
      <c r="G19" s="647"/>
      <c r="H19" s="647"/>
      <c r="I19" s="132">
        <v>15</v>
      </c>
      <c r="J19" s="133" t="s">
        <v>439</v>
      </c>
      <c r="K19" s="182">
        <v>9</v>
      </c>
      <c r="L19" s="30"/>
      <c r="M19" s="30"/>
      <c r="N19" s="30"/>
      <c r="O19" s="30"/>
      <c r="P19" s="30"/>
      <c r="Q19" s="30"/>
      <c r="R19" s="30"/>
      <c r="S19" s="30"/>
      <c r="T19" s="30"/>
      <c r="U19" s="30"/>
      <c r="V19" s="170"/>
      <c r="W19" s="170"/>
      <c r="X19" s="18"/>
      <c r="Y19" s="451"/>
    </row>
    <row r="20" spans="1:25" ht="57.75" customHeight="1">
      <c r="A20" s="488" t="s">
        <v>42</v>
      </c>
      <c r="B20" s="489"/>
      <c r="C20" s="489"/>
      <c r="D20" s="489"/>
      <c r="E20" s="490"/>
      <c r="F20" s="472" t="s">
        <v>43</v>
      </c>
      <c r="G20" s="472"/>
      <c r="H20" s="472"/>
      <c r="I20" s="472"/>
      <c r="J20" s="472"/>
      <c r="K20" s="472" t="s">
        <v>44</v>
      </c>
      <c r="L20" s="472"/>
      <c r="M20" s="472"/>
      <c r="N20" s="472"/>
      <c r="O20" s="491" t="s">
        <v>45</v>
      </c>
      <c r="P20" s="492"/>
      <c r="Q20" s="492"/>
      <c r="R20" s="492"/>
      <c r="S20" s="492"/>
      <c r="T20" s="492"/>
      <c r="U20" s="492"/>
      <c r="V20" s="492"/>
      <c r="W20" s="493"/>
      <c r="X20" s="5"/>
      <c r="Y20" s="451"/>
    </row>
    <row r="21" spans="1:25" s="20" customFormat="1" ht="28.5">
      <c r="A21" s="494"/>
      <c r="B21" s="495"/>
      <c r="C21" s="495"/>
      <c r="D21" s="495"/>
      <c r="E21" s="496"/>
      <c r="F21" s="503"/>
      <c r="G21" s="504"/>
      <c r="H21" s="504"/>
      <c r="I21" s="504"/>
      <c r="J21" s="505"/>
      <c r="K21" s="486" t="s">
        <v>47</v>
      </c>
      <c r="L21" s="486"/>
      <c r="M21" s="486"/>
      <c r="N21" s="486"/>
      <c r="O21" s="477"/>
      <c r="P21" s="478"/>
      <c r="Q21" s="478"/>
      <c r="R21" s="478"/>
      <c r="S21" s="478"/>
      <c r="T21" s="478"/>
      <c r="U21" s="478"/>
      <c r="V21" s="478"/>
      <c r="W21" s="512"/>
      <c r="X21" s="479"/>
    </row>
    <row r="22" spans="1:25" s="20" customFormat="1" ht="28.5">
      <c r="A22" s="497"/>
      <c r="B22" s="498"/>
      <c r="C22" s="498"/>
      <c r="D22" s="498"/>
      <c r="E22" s="499"/>
      <c r="F22" s="506"/>
      <c r="G22" s="507"/>
      <c r="H22" s="507"/>
      <c r="I22" s="507"/>
      <c r="J22" s="508"/>
      <c r="K22" s="486"/>
      <c r="L22" s="486"/>
      <c r="M22" s="486"/>
      <c r="N22" s="486"/>
      <c r="O22" s="480"/>
      <c r="P22" s="481"/>
      <c r="Q22" s="481"/>
      <c r="R22" s="481"/>
      <c r="S22" s="481"/>
      <c r="T22" s="481"/>
      <c r="U22" s="481"/>
      <c r="V22" s="481"/>
      <c r="W22" s="513"/>
      <c r="X22" s="482"/>
    </row>
    <row r="23" spans="1:25" s="20" customFormat="1" ht="28.5">
      <c r="A23" s="497"/>
      <c r="B23" s="498"/>
      <c r="C23" s="498"/>
      <c r="D23" s="498"/>
      <c r="E23" s="499"/>
      <c r="F23" s="506"/>
      <c r="G23" s="507"/>
      <c r="H23" s="507"/>
      <c r="I23" s="507"/>
      <c r="J23" s="508"/>
      <c r="K23" s="486" t="s">
        <v>48</v>
      </c>
      <c r="L23" s="486"/>
      <c r="M23" s="486"/>
      <c r="N23" s="486"/>
      <c r="O23" s="480"/>
      <c r="P23" s="481"/>
      <c r="Q23" s="481"/>
      <c r="R23" s="481"/>
      <c r="S23" s="481"/>
      <c r="T23" s="481"/>
      <c r="U23" s="481"/>
      <c r="V23" s="481"/>
      <c r="W23" s="513"/>
      <c r="X23" s="482"/>
    </row>
    <row r="24" spans="1:25" s="20" customFormat="1" ht="29.25" thickBot="1">
      <c r="A24" s="500"/>
      <c r="B24" s="501"/>
      <c r="C24" s="501"/>
      <c r="D24" s="501"/>
      <c r="E24" s="502"/>
      <c r="F24" s="509"/>
      <c r="G24" s="510"/>
      <c r="H24" s="510"/>
      <c r="I24" s="510"/>
      <c r="J24" s="511"/>
      <c r="K24" s="487"/>
      <c r="L24" s="487"/>
      <c r="M24" s="487"/>
      <c r="N24" s="487"/>
      <c r="O24" s="483"/>
      <c r="P24" s="484"/>
      <c r="Q24" s="484"/>
      <c r="R24" s="484"/>
      <c r="S24" s="484"/>
      <c r="T24" s="484"/>
      <c r="U24" s="484"/>
      <c r="V24" s="484"/>
      <c r="W24" s="514"/>
      <c r="X24" s="485"/>
    </row>
    <row r="29" spans="1:25">
      <c r="E29" s="21">
        <v>8.3000000000000007</v>
      </c>
    </row>
    <row r="32" spans="1:25">
      <c r="E32" s="21">
        <f>E29*3</f>
        <v>24.900000000000002</v>
      </c>
    </row>
    <row r="34" spans="5:5">
      <c r="E34" s="21">
        <f>100-25</f>
        <v>75</v>
      </c>
    </row>
  </sheetData>
  <mergeCells count="41">
    <mergeCell ref="X5:X6"/>
    <mergeCell ref="A1:W1"/>
    <mergeCell ref="Y1:Y20"/>
    <mergeCell ref="A2:F2"/>
    <mergeCell ref="G2:H2"/>
    <mergeCell ref="I2:X3"/>
    <mergeCell ref="A3:F4"/>
    <mergeCell ref="G3:H3"/>
    <mergeCell ref="G4:H4"/>
    <mergeCell ref="I4:X4"/>
    <mergeCell ref="A5:A6"/>
    <mergeCell ref="B5:H6"/>
    <mergeCell ref="I5:I6"/>
    <mergeCell ref="J5:J6"/>
    <mergeCell ref="K5:K6"/>
    <mergeCell ref="L5:W5"/>
    <mergeCell ref="B18:H18"/>
    <mergeCell ref="B7:H7"/>
    <mergeCell ref="B8:H8"/>
    <mergeCell ref="B9:H9"/>
    <mergeCell ref="B10:H10"/>
    <mergeCell ref="B11:H11"/>
    <mergeCell ref="B12:H12"/>
    <mergeCell ref="B13:H13"/>
    <mergeCell ref="B14:H14"/>
    <mergeCell ref="B15:H15"/>
    <mergeCell ref="B16:H16"/>
    <mergeCell ref="B17:H17"/>
    <mergeCell ref="X21:X24"/>
    <mergeCell ref="K23:K24"/>
    <mergeCell ref="L23:N24"/>
    <mergeCell ref="B19:H19"/>
    <mergeCell ref="A20:E20"/>
    <mergeCell ref="F20:J20"/>
    <mergeCell ref="K20:N20"/>
    <mergeCell ref="O20:W20"/>
    <mergeCell ref="A21:E24"/>
    <mergeCell ref="F21:J24"/>
    <mergeCell ref="K21:K22"/>
    <mergeCell ref="L21:N22"/>
    <mergeCell ref="O21:W24"/>
  </mergeCells>
  <printOptions horizontalCentered="1" verticalCentered="1"/>
  <pageMargins left="0" right="0" top="0" bottom="0" header="0" footer="0"/>
  <pageSetup scale="40"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45E8-C8F6-463D-A7B8-8B688865C3DA}">
  <dimension ref="A1:AC19"/>
  <sheetViews>
    <sheetView rightToLeft="1" zoomScale="90" zoomScaleNormal="90" zoomScaleSheetLayoutView="90" workbookViewId="0">
      <selection activeCell="J8" sqref="J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11.42578125" style="21" customWidth="1"/>
    <col min="7" max="7" width="24.42578125" style="21" customWidth="1"/>
    <col min="8" max="8" width="11.140625" style="21" customWidth="1"/>
    <col min="9" max="9" width="14.42578125" style="21" customWidth="1"/>
    <col min="10" max="10" width="26" style="21" customWidth="1"/>
    <col min="11" max="11" width="21.28515625" style="21" customWidth="1"/>
    <col min="12" max="13" width="4.7109375" style="21" customWidth="1"/>
    <col min="14" max="14" width="4.42578125" style="21" customWidth="1"/>
    <col min="15" max="20" width="4.7109375" style="21" customWidth="1"/>
    <col min="21" max="22" width="3.5703125" style="21" customWidth="1"/>
    <col min="23" max="23" width="4.7109375" style="21" customWidth="1"/>
    <col min="24" max="24" width="4.42578125" style="21" bestFit="1" customWidth="1"/>
    <col min="25" max="25" width="7.140625" style="21" customWidth="1"/>
    <col min="26" max="26" width="34.42578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s="3" customFormat="1" ht="28.5">
      <c r="A2" s="455" t="s">
        <v>476</v>
      </c>
      <c r="B2" s="456"/>
      <c r="C2" s="456"/>
      <c r="D2" s="456"/>
      <c r="E2" s="456"/>
      <c r="F2" s="456"/>
      <c r="G2" s="457" t="s">
        <v>3</v>
      </c>
      <c r="H2" s="457"/>
      <c r="I2" s="943" t="s">
        <v>477</v>
      </c>
      <c r="J2" s="944"/>
      <c r="K2" s="944"/>
      <c r="L2" s="944"/>
      <c r="M2" s="944"/>
      <c r="N2" s="944"/>
      <c r="O2" s="944"/>
      <c r="P2" s="944"/>
      <c r="Q2" s="944"/>
      <c r="R2" s="944"/>
      <c r="S2" s="944"/>
      <c r="T2" s="944"/>
      <c r="U2" s="944"/>
      <c r="V2" s="944"/>
      <c r="W2" s="944"/>
      <c r="X2" s="944"/>
      <c r="Y2" s="944"/>
      <c r="Z2" s="945"/>
      <c r="AA2" s="451"/>
    </row>
    <row r="3" spans="1:29" s="3" customFormat="1" ht="28.5" customHeight="1">
      <c r="A3" s="460" t="s">
        <v>478</v>
      </c>
      <c r="B3" s="461"/>
      <c r="C3" s="461"/>
      <c r="D3" s="461"/>
      <c r="E3" s="461"/>
      <c r="F3" s="462"/>
      <c r="G3" s="457" t="s">
        <v>242</v>
      </c>
      <c r="H3" s="457"/>
      <c r="I3" s="944"/>
      <c r="J3" s="944"/>
      <c r="K3" s="944"/>
      <c r="L3" s="944"/>
      <c r="M3" s="944"/>
      <c r="N3" s="944"/>
      <c r="O3" s="944"/>
      <c r="P3" s="944"/>
      <c r="Q3" s="944"/>
      <c r="R3" s="944"/>
      <c r="S3" s="944"/>
      <c r="T3" s="944"/>
      <c r="U3" s="944"/>
      <c r="V3" s="944"/>
      <c r="W3" s="944"/>
      <c r="X3" s="944"/>
      <c r="Y3" s="944"/>
      <c r="Z3" s="945"/>
      <c r="AA3" s="451"/>
    </row>
    <row r="4" spans="1:29" s="3" customFormat="1" ht="28.5" customHeight="1">
      <c r="A4" s="463"/>
      <c r="B4" s="464"/>
      <c r="C4" s="464"/>
      <c r="D4" s="464"/>
      <c r="E4" s="464"/>
      <c r="F4" s="465"/>
      <c r="G4" s="456" t="s">
        <v>479</v>
      </c>
      <c r="H4" s="456"/>
      <c r="I4" s="456" t="s">
        <v>8</v>
      </c>
      <c r="J4" s="456"/>
      <c r="K4" s="456"/>
      <c r="L4" s="456"/>
      <c r="M4" s="456"/>
      <c r="N4" s="456"/>
      <c r="O4" s="456"/>
      <c r="P4" s="456"/>
      <c r="Q4" s="456"/>
      <c r="R4" s="456"/>
      <c r="S4" s="456"/>
      <c r="T4" s="456"/>
      <c r="U4" s="456"/>
      <c r="V4" s="456"/>
      <c r="W4" s="456"/>
      <c r="X4" s="456"/>
      <c r="Y4" s="456"/>
      <c r="Z4" s="466"/>
      <c r="AA4" s="451"/>
    </row>
    <row r="5" spans="1:29" ht="28.5">
      <c r="A5" s="470" t="s">
        <v>9</v>
      </c>
      <c r="B5" s="471" t="s">
        <v>10</v>
      </c>
      <c r="C5" s="471"/>
      <c r="D5" s="471"/>
      <c r="E5" s="471"/>
      <c r="F5" s="471"/>
      <c r="G5" s="471"/>
      <c r="H5" s="471"/>
      <c r="I5" s="472" t="s">
        <v>11</v>
      </c>
      <c r="J5" s="471" t="s">
        <v>12</v>
      </c>
      <c r="K5" s="472" t="s">
        <v>13</v>
      </c>
      <c r="L5" s="471" t="s">
        <v>14</v>
      </c>
      <c r="M5" s="471"/>
      <c r="N5" s="471"/>
      <c r="O5" s="471"/>
      <c r="P5" s="471"/>
      <c r="Q5" s="471"/>
      <c r="R5" s="471"/>
      <c r="S5" s="471"/>
      <c r="T5" s="471"/>
      <c r="U5" s="471"/>
      <c r="V5" s="471"/>
      <c r="W5" s="471"/>
      <c r="X5" s="471" t="s">
        <v>15</v>
      </c>
      <c r="Y5" s="471"/>
      <c r="Z5" s="473"/>
      <c r="AA5" s="451"/>
    </row>
    <row r="6" spans="1:29" ht="55.5">
      <c r="A6" s="470"/>
      <c r="B6" s="471"/>
      <c r="C6" s="471"/>
      <c r="D6" s="471"/>
      <c r="E6" s="471"/>
      <c r="F6" s="471"/>
      <c r="G6" s="471"/>
      <c r="H6" s="471"/>
      <c r="I6" s="471"/>
      <c r="J6" s="471"/>
      <c r="K6" s="471"/>
      <c r="L6" s="6" t="s">
        <v>16</v>
      </c>
      <c r="M6" s="6" t="s">
        <v>17</v>
      </c>
      <c r="N6" s="6" t="s">
        <v>18</v>
      </c>
      <c r="O6" s="6" t="s">
        <v>19</v>
      </c>
      <c r="P6" s="6" t="s">
        <v>20</v>
      </c>
      <c r="Q6" s="6" t="s">
        <v>21</v>
      </c>
      <c r="R6" s="6" t="s">
        <v>22</v>
      </c>
      <c r="S6" s="6" t="s">
        <v>23</v>
      </c>
      <c r="T6" s="6" t="s">
        <v>24</v>
      </c>
      <c r="U6" s="6" t="s">
        <v>25</v>
      </c>
      <c r="V6" s="6" t="s">
        <v>26</v>
      </c>
      <c r="W6" s="6" t="s">
        <v>27</v>
      </c>
      <c r="X6" s="471"/>
      <c r="Y6" s="471"/>
      <c r="Z6" s="473"/>
      <c r="AA6" s="451"/>
      <c r="AC6" s="2">
        <v>21.65</v>
      </c>
    </row>
    <row r="7" spans="1:29" s="14" customFormat="1" ht="45">
      <c r="A7" s="7" t="s">
        <v>28</v>
      </c>
      <c r="B7" s="647" t="s">
        <v>480</v>
      </c>
      <c r="C7" s="647"/>
      <c r="D7" s="647"/>
      <c r="E7" s="647"/>
      <c r="F7" s="647"/>
      <c r="G7" s="647"/>
      <c r="H7" s="647"/>
      <c r="I7" s="193">
        <v>21.65</v>
      </c>
      <c r="J7" s="133" t="s">
        <v>481</v>
      </c>
      <c r="K7" s="182"/>
      <c r="L7" s="30"/>
      <c r="M7" s="195"/>
      <c r="N7" s="30"/>
      <c r="O7" s="30"/>
      <c r="P7" s="30"/>
      <c r="Q7" s="30"/>
      <c r="R7" s="30"/>
      <c r="S7" s="30"/>
      <c r="T7" s="30"/>
      <c r="U7" s="30"/>
      <c r="V7" s="30"/>
      <c r="W7" s="30"/>
      <c r="X7" s="475"/>
      <c r="Y7" s="475"/>
      <c r="Z7" s="476"/>
      <c r="AA7" s="451"/>
    </row>
    <row r="8" spans="1:29" s="14" customFormat="1" ht="45">
      <c r="A8" s="7" t="s">
        <v>66</v>
      </c>
      <c r="B8" s="647" t="s">
        <v>482</v>
      </c>
      <c r="C8" s="647"/>
      <c r="D8" s="647"/>
      <c r="E8" s="647"/>
      <c r="F8" s="647"/>
      <c r="G8" s="647"/>
      <c r="H8" s="647"/>
      <c r="I8" s="193">
        <v>15.18</v>
      </c>
      <c r="J8" s="133" t="s">
        <v>483</v>
      </c>
      <c r="K8" s="133">
        <v>1</v>
      </c>
      <c r="L8" s="30"/>
      <c r="M8" s="30"/>
      <c r="N8" s="30"/>
      <c r="O8" s="195"/>
      <c r="P8" s="30"/>
      <c r="Q8" s="30"/>
      <c r="R8" s="30"/>
      <c r="S8" s="30"/>
      <c r="T8" s="30"/>
      <c r="U8" s="30"/>
      <c r="V8" s="30"/>
      <c r="W8" s="30"/>
      <c r="X8" s="475"/>
      <c r="Y8" s="475"/>
      <c r="Z8" s="476"/>
      <c r="AA8" s="451"/>
    </row>
    <row r="9" spans="1:29" s="14" customFormat="1" ht="45">
      <c r="A9" s="7" t="s">
        <v>68</v>
      </c>
      <c r="B9" s="647" t="s">
        <v>484</v>
      </c>
      <c r="C9" s="647"/>
      <c r="D9" s="647"/>
      <c r="E9" s="647"/>
      <c r="F9" s="647"/>
      <c r="G9" s="647"/>
      <c r="H9" s="647"/>
      <c r="I9" s="193">
        <v>15.18</v>
      </c>
      <c r="J9" s="133" t="s">
        <v>483</v>
      </c>
      <c r="K9" s="182">
        <v>2</v>
      </c>
      <c r="L9" s="30"/>
      <c r="M9" s="30"/>
      <c r="N9" s="30"/>
      <c r="O9" s="30"/>
      <c r="P9" s="196"/>
      <c r="Q9" s="196"/>
      <c r="R9" s="30"/>
      <c r="S9" s="30"/>
      <c r="T9" s="30"/>
      <c r="U9" s="30"/>
      <c r="V9" s="30"/>
      <c r="W9" s="30"/>
      <c r="X9" s="468"/>
      <c r="Y9" s="468"/>
      <c r="Z9" s="469"/>
      <c r="AA9" s="451"/>
    </row>
    <row r="10" spans="1:29" s="14" customFormat="1" ht="45">
      <c r="A10" s="7" t="s">
        <v>70</v>
      </c>
      <c r="B10" s="647" t="s">
        <v>485</v>
      </c>
      <c r="C10" s="647"/>
      <c r="D10" s="647"/>
      <c r="E10" s="647"/>
      <c r="F10" s="647"/>
      <c r="G10" s="647"/>
      <c r="H10" s="647"/>
      <c r="I10" s="193">
        <v>11.8</v>
      </c>
      <c r="J10" s="133" t="s">
        <v>486</v>
      </c>
      <c r="K10" s="133">
        <v>3</v>
      </c>
      <c r="L10" s="30"/>
      <c r="M10" s="30"/>
      <c r="N10" s="30"/>
      <c r="O10" s="30"/>
      <c r="P10" s="196"/>
      <c r="Q10" s="196"/>
      <c r="R10" s="30"/>
      <c r="S10" s="30"/>
      <c r="T10" s="30"/>
      <c r="U10" s="30"/>
      <c r="V10" s="30"/>
      <c r="W10" s="30"/>
      <c r="X10" s="468"/>
      <c r="Y10" s="468"/>
      <c r="Z10" s="469"/>
      <c r="AA10" s="451"/>
    </row>
    <row r="11" spans="1:29" s="14" customFormat="1" ht="45">
      <c r="A11" s="7" t="s">
        <v>153</v>
      </c>
      <c r="B11" s="647" t="s">
        <v>487</v>
      </c>
      <c r="C11" s="647"/>
      <c r="D11" s="647"/>
      <c r="E11" s="647"/>
      <c r="F11" s="647"/>
      <c r="G11" s="647"/>
      <c r="H11" s="647"/>
      <c r="I11" s="193">
        <v>11.8</v>
      </c>
      <c r="J11" s="133" t="s">
        <v>486</v>
      </c>
      <c r="K11" s="182">
        <v>4</v>
      </c>
      <c r="L11" s="30"/>
      <c r="M11" s="30"/>
      <c r="N11" s="30"/>
      <c r="O11" s="30"/>
      <c r="P11" s="30"/>
      <c r="Q11" s="30"/>
      <c r="R11" s="196"/>
      <c r="S11" s="196"/>
      <c r="T11" s="30"/>
      <c r="U11" s="30"/>
      <c r="V11" s="30"/>
      <c r="W11" s="30"/>
      <c r="X11" s="475"/>
      <c r="Y11" s="475"/>
      <c r="Z11" s="476"/>
      <c r="AA11" s="451"/>
    </row>
    <row r="12" spans="1:29" s="14" customFormat="1" ht="39" customHeight="1">
      <c r="A12" s="7" t="s">
        <v>155</v>
      </c>
      <c r="B12" s="647" t="s">
        <v>488</v>
      </c>
      <c r="C12" s="647"/>
      <c r="D12" s="647"/>
      <c r="E12" s="647"/>
      <c r="F12" s="647"/>
      <c r="G12" s="647"/>
      <c r="H12" s="647"/>
      <c r="I12" s="193">
        <v>24.39</v>
      </c>
      <c r="J12" s="133" t="s">
        <v>489</v>
      </c>
      <c r="K12" s="133">
        <v>5</v>
      </c>
      <c r="L12" s="30"/>
      <c r="M12" s="30"/>
      <c r="N12" s="30"/>
      <c r="O12" s="30"/>
      <c r="P12" s="30"/>
      <c r="Q12" s="30"/>
      <c r="R12" s="30"/>
      <c r="S12" s="30"/>
      <c r="T12" s="196"/>
      <c r="U12" s="195"/>
      <c r="V12" s="197"/>
      <c r="W12" s="197"/>
      <c r="X12" s="468"/>
      <c r="Y12" s="468"/>
      <c r="Z12" s="469"/>
      <c r="AA12" s="451"/>
    </row>
    <row r="13" spans="1:29" s="14" customFormat="1" ht="24">
      <c r="A13" s="7" t="s">
        <v>156</v>
      </c>
      <c r="B13" s="647"/>
      <c r="C13" s="647"/>
      <c r="D13" s="647"/>
      <c r="E13" s="647"/>
      <c r="F13" s="647"/>
      <c r="G13" s="647"/>
      <c r="H13" s="647"/>
      <c r="I13" s="193"/>
      <c r="J13" s="133"/>
      <c r="K13" s="182"/>
      <c r="L13" s="134"/>
      <c r="M13" s="134"/>
      <c r="N13" s="134"/>
      <c r="O13" s="134"/>
      <c r="P13" s="134"/>
      <c r="Q13" s="134"/>
      <c r="R13" s="134"/>
      <c r="S13" s="134"/>
      <c r="T13" s="134"/>
      <c r="U13" s="134"/>
      <c r="V13" s="134"/>
      <c r="W13" s="134"/>
      <c r="X13" s="651"/>
      <c r="Y13" s="651"/>
      <c r="Z13" s="652"/>
      <c r="AA13" s="451"/>
    </row>
    <row r="14" spans="1:29"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29"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29"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3">
    <mergeCell ref="X5:Z6"/>
    <mergeCell ref="A1:Y1"/>
    <mergeCell ref="AA1:AA14"/>
    <mergeCell ref="A2:F2"/>
    <mergeCell ref="G2:H2"/>
    <mergeCell ref="I2:Z3"/>
    <mergeCell ref="A3:F4"/>
    <mergeCell ref="G3:H3"/>
    <mergeCell ref="G4:H4"/>
    <mergeCell ref="I4:Z4"/>
    <mergeCell ref="A5:A6"/>
    <mergeCell ref="B5:H6"/>
    <mergeCell ref="I5:I6"/>
    <mergeCell ref="J5:J6"/>
    <mergeCell ref="K5:K6"/>
    <mergeCell ref="L5:W5"/>
    <mergeCell ref="B7:H7"/>
    <mergeCell ref="X7:Z7"/>
    <mergeCell ref="B8:H8"/>
    <mergeCell ref="X8:Z8"/>
    <mergeCell ref="B9:H9"/>
    <mergeCell ref="X9:Z9"/>
    <mergeCell ref="B10:H10"/>
    <mergeCell ref="X10:Z10"/>
    <mergeCell ref="B11:H11"/>
    <mergeCell ref="X11:Z11"/>
    <mergeCell ref="B12:H12"/>
    <mergeCell ref="X12:Z12"/>
    <mergeCell ref="X15:Z18"/>
    <mergeCell ref="K17:K18"/>
    <mergeCell ref="L17:N18"/>
    <mergeCell ref="B13:H13"/>
    <mergeCell ref="X13:Z13"/>
    <mergeCell ref="A14:E14"/>
    <mergeCell ref="F14:J14"/>
    <mergeCell ref="K14:N14"/>
    <mergeCell ref="O14:W14"/>
    <mergeCell ref="X14:Z14"/>
    <mergeCell ref="A15:E18"/>
    <mergeCell ref="F15:J18"/>
    <mergeCell ref="K15:K16"/>
    <mergeCell ref="L15:N16"/>
    <mergeCell ref="O15:W18"/>
  </mergeCells>
  <printOptions horizontalCentered="1" verticalCentered="1"/>
  <pageMargins left="0" right="0" top="0" bottom="0" header="0" footer="0"/>
  <pageSetup scale="40" orientation="landscape" r:id="rId1"/>
  <colBreaks count="1" manualBreakCount="1">
    <brk id="14" max="17" man="1"/>
  </colBreak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C617-B4BD-41EE-B8AB-AF3624D954E8}">
  <dimension ref="A1:AD20"/>
  <sheetViews>
    <sheetView rightToLeft="1" zoomScale="70" zoomScaleNormal="70" zoomScaleSheetLayoutView="110" workbookViewId="0">
      <selection activeCell="L7" sqref="L7:V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467</v>
      </c>
      <c r="B3" s="456"/>
      <c r="C3" s="456"/>
      <c r="D3" s="456"/>
      <c r="E3" s="456"/>
      <c r="F3" s="456"/>
      <c r="G3" s="457" t="s">
        <v>3</v>
      </c>
      <c r="H3" s="457"/>
      <c r="I3" s="458" t="s">
        <v>468</v>
      </c>
      <c r="J3" s="458"/>
      <c r="K3" s="458"/>
      <c r="L3" s="458"/>
      <c r="M3" s="458"/>
      <c r="N3" s="458"/>
      <c r="O3" s="458"/>
      <c r="P3" s="458"/>
      <c r="Q3" s="458"/>
      <c r="R3" s="458"/>
      <c r="S3" s="458"/>
      <c r="T3" s="458"/>
      <c r="U3" s="458"/>
      <c r="V3" s="458"/>
      <c r="W3" s="458"/>
      <c r="X3" s="458"/>
      <c r="Y3" s="458"/>
      <c r="Z3" s="459"/>
      <c r="AA3" s="451"/>
    </row>
    <row r="4" spans="1:30" s="3" customFormat="1" ht="28.5" customHeight="1">
      <c r="A4" s="460" t="s">
        <v>394</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243</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45">
      <c r="A8" s="7" t="s">
        <v>28</v>
      </c>
      <c r="B8" s="647" t="s">
        <v>469</v>
      </c>
      <c r="C8" s="647"/>
      <c r="D8" s="647"/>
      <c r="E8" s="647"/>
      <c r="F8" s="647"/>
      <c r="G8" s="647"/>
      <c r="H8" s="647"/>
      <c r="I8" s="442">
        <v>21.7</v>
      </c>
      <c r="J8" s="133" t="s">
        <v>470</v>
      </c>
      <c r="K8" s="10"/>
      <c r="L8" s="170"/>
      <c r="M8" s="170"/>
      <c r="N8" s="170"/>
      <c r="O8" s="170"/>
      <c r="P8" s="170"/>
      <c r="Q8" s="170"/>
      <c r="R8" s="170"/>
      <c r="S8" s="170"/>
      <c r="T8" s="170"/>
      <c r="U8" s="170"/>
      <c r="V8" s="170"/>
      <c r="W8" s="170"/>
      <c r="X8" s="475"/>
      <c r="Y8" s="475"/>
      <c r="Z8" s="476"/>
      <c r="AA8" s="451"/>
      <c r="AD8" s="14">
        <f>(I8/12)*3</f>
        <v>5.4249999999999998</v>
      </c>
    </row>
    <row r="9" spans="1:30" s="14" customFormat="1" ht="45">
      <c r="A9" s="7" t="s">
        <v>66</v>
      </c>
      <c r="B9" s="647" t="s">
        <v>471</v>
      </c>
      <c r="C9" s="647"/>
      <c r="D9" s="647"/>
      <c r="E9" s="647"/>
      <c r="F9" s="647"/>
      <c r="G9" s="647"/>
      <c r="H9" s="647"/>
      <c r="I9" s="442">
        <v>21.7</v>
      </c>
      <c r="J9" s="133" t="s">
        <v>470</v>
      </c>
      <c r="K9" s="133">
        <v>1</v>
      </c>
      <c r="L9" s="170"/>
      <c r="M9" s="170"/>
      <c r="N9" s="170"/>
      <c r="O9" s="170"/>
      <c r="P9" s="170"/>
      <c r="Q9" s="170"/>
      <c r="R9" s="170"/>
      <c r="S9" s="170"/>
      <c r="T9" s="170"/>
      <c r="U9" s="170"/>
      <c r="V9" s="170"/>
      <c r="W9" s="170"/>
      <c r="X9" s="475"/>
      <c r="Y9" s="475"/>
      <c r="Z9" s="476"/>
      <c r="AA9" s="451"/>
      <c r="AD9" s="14">
        <f t="shared" ref="AD9:AD13" si="0">(I9/12)*3</f>
        <v>5.4249999999999998</v>
      </c>
    </row>
    <row r="10" spans="1:30" s="14" customFormat="1" ht="24">
      <c r="A10" s="7" t="s">
        <v>68</v>
      </c>
      <c r="B10" s="647" t="s">
        <v>472</v>
      </c>
      <c r="C10" s="647"/>
      <c r="D10" s="647"/>
      <c r="E10" s="647"/>
      <c r="F10" s="647"/>
      <c r="G10" s="647"/>
      <c r="H10" s="647"/>
      <c r="I10" s="442">
        <v>11.7</v>
      </c>
      <c r="J10" s="133" t="s">
        <v>439</v>
      </c>
      <c r="K10" s="133">
        <v>2</v>
      </c>
      <c r="L10" s="170"/>
      <c r="M10" s="170"/>
      <c r="N10" s="170"/>
      <c r="O10" s="170"/>
      <c r="P10" s="170"/>
      <c r="Q10" s="170"/>
      <c r="R10" s="170"/>
      <c r="S10" s="170"/>
      <c r="T10" s="170"/>
      <c r="U10" s="170"/>
      <c r="V10" s="170"/>
      <c r="W10" s="170"/>
      <c r="X10" s="468"/>
      <c r="Y10" s="468"/>
      <c r="Z10" s="469"/>
      <c r="AA10" s="451"/>
      <c r="AD10" s="14">
        <f t="shared" si="0"/>
        <v>2.9249999999999998</v>
      </c>
    </row>
    <row r="11" spans="1:30" s="14" customFormat="1" ht="24">
      <c r="A11" s="7" t="s">
        <v>70</v>
      </c>
      <c r="B11" s="647" t="s">
        <v>2580</v>
      </c>
      <c r="C11" s="647"/>
      <c r="D11" s="647"/>
      <c r="E11" s="647"/>
      <c r="F11" s="647"/>
      <c r="G11" s="647"/>
      <c r="H11" s="647"/>
      <c r="I11" s="442">
        <v>11.7</v>
      </c>
      <c r="J11" s="133" t="s">
        <v>439</v>
      </c>
      <c r="K11" s="133"/>
      <c r="L11" s="170"/>
      <c r="M11" s="170"/>
      <c r="N11" s="170"/>
      <c r="O11" s="170"/>
      <c r="P11" s="170"/>
      <c r="Q11" s="170"/>
      <c r="R11" s="170"/>
      <c r="S11" s="170"/>
      <c r="T11" s="170"/>
      <c r="U11" s="170"/>
      <c r="V11" s="170"/>
      <c r="W11" s="170"/>
      <c r="X11" s="468"/>
      <c r="Y11" s="468"/>
      <c r="Z11" s="469"/>
      <c r="AA11" s="451"/>
      <c r="AD11" s="14">
        <f t="shared" si="0"/>
        <v>2.9249999999999998</v>
      </c>
    </row>
    <row r="12" spans="1:30" s="14" customFormat="1" ht="45">
      <c r="A12" s="7" t="s">
        <v>153</v>
      </c>
      <c r="B12" s="647" t="s">
        <v>473</v>
      </c>
      <c r="C12" s="647"/>
      <c r="D12" s="647"/>
      <c r="E12" s="647"/>
      <c r="F12" s="647"/>
      <c r="G12" s="647"/>
      <c r="H12" s="647"/>
      <c r="I12" s="442">
        <v>11.6</v>
      </c>
      <c r="J12" s="133" t="s">
        <v>470</v>
      </c>
      <c r="K12" s="133">
        <v>3</v>
      </c>
      <c r="L12" s="170"/>
      <c r="M12" s="170"/>
      <c r="N12" s="170"/>
      <c r="O12" s="170"/>
      <c r="P12" s="170"/>
      <c r="Q12" s="170"/>
      <c r="R12" s="170"/>
      <c r="S12" s="170"/>
      <c r="T12" s="170"/>
      <c r="U12" s="170"/>
      <c r="V12" s="170"/>
      <c r="W12" s="170"/>
      <c r="X12" s="475"/>
      <c r="Y12" s="475"/>
      <c r="Z12" s="476"/>
      <c r="AA12" s="451"/>
      <c r="AD12" s="14">
        <f t="shared" si="0"/>
        <v>2.9</v>
      </c>
    </row>
    <row r="13" spans="1:30" s="14" customFormat="1" ht="45">
      <c r="A13" s="7" t="s">
        <v>155</v>
      </c>
      <c r="B13" s="647" t="s">
        <v>2581</v>
      </c>
      <c r="C13" s="647"/>
      <c r="D13" s="647"/>
      <c r="E13" s="647"/>
      <c r="F13" s="647"/>
      <c r="G13" s="647"/>
      <c r="H13" s="647"/>
      <c r="I13" s="442">
        <v>21.6</v>
      </c>
      <c r="J13" s="133" t="s">
        <v>475</v>
      </c>
      <c r="K13" s="133">
        <v>4</v>
      </c>
      <c r="L13" s="170"/>
      <c r="M13" s="170"/>
      <c r="N13" s="170"/>
      <c r="O13" s="170"/>
      <c r="P13" s="170"/>
      <c r="Q13" s="170"/>
      <c r="R13" s="170"/>
      <c r="S13" s="170"/>
      <c r="T13" s="170"/>
      <c r="U13" s="170"/>
      <c r="V13" s="170"/>
      <c r="W13" s="170"/>
      <c r="X13" s="468"/>
      <c r="Y13" s="468"/>
      <c r="Z13" s="469"/>
      <c r="AA13" s="451"/>
      <c r="AD13" s="14">
        <f t="shared" si="0"/>
        <v>5.4</v>
      </c>
    </row>
    <row r="14" spans="1:30" s="14" customFormat="1" ht="24">
      <c r="A14" s="7" t="s">
        <v>156</v>
      </c>
      <c r="B14" s="647"/>
      <c r="C14" s="647"/>
      <c r="D14" s="647"/>
      <c r="E14" s="647"/>
      <c r="F14" s="647"/>
      <c r="G14" s="647"/>
      <c r="H14" s="647"/>
      <c r="I14" s="132"/>
      <c r="J14" s="133"/>
      <c r="K14" s="133"/>
      <c r="L14" s="21"/>
      <c r="M14" s="21"/>
      <c r="N14" s="21"/>
      <c r="O14" s="21"/>
      <c r="P14" s="21"/>
      <c r="Q14" s="21"/>
      <c r="R14" s="21"/>
      <c r="S14" s="21"/>
      <c r="T14" s="21"/>
      <c r="U14" s="21"/>
      <c r="V14" s="21"/>
      <c r="W14" s="21"/>
      <c r="X14" s="651"/>
      <c r="Y14" s="651"/>
      <c r="Z14" s="652"/>
      <c r="AA14" s="451"/>
    </row>
    <row r="15" spans="1:30"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30"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FF22-BC94-4177-8EB2-C949FDA2DC7A}">
  <dimension ref="A1:AC19"/>
  <sheetViews>
    <sheetView rightToLeft="1" zoomScale="70" zoomScaleNormal="70" zoomScaleSheetLayoutView="70" workbookViewId="0">
      <selection activeCell="AC7" sqref="AC7"/>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s="3" customFormat="1" ht="28.5">
      <c r="A2" s="455" t="s">
        <v>456</v>
      </c>
      <c r="B2" s="456"/>
      <c r="C2" s="456"/>
      <c r="D2" s="456"/>
      <c r="E2" s="456"/>
      <c r="F2" s="456"/>
      <c r="G2" s="457" t="s">
        <v>3</v>
      </c>
      <c r="H2" s="457"/>
      <c r="I2" s="458" t="s">
        <v>457</v>
      </c>
      <c r="J2" s="458"/>
      <c r="K2" s="458"/>
      <c r="L2" s="458"/>
      <c r="M2" s="458"/>
      <c r="N2" s="458"/>
      <c r="O2" s="458"/>
      <c r="P2" s="458"/>
      <c r="Q2" s="458"/>
      <c r="R2" s="458"/>
      <c r="S2" s="458"/>
      <c r="T2" s="458"/>
      <c r="U2" s="458"/>
      <c r="V2" s="458"/>
      <c r="W2" s="458"/>
      <c r="X2" s="458"/>
      <c r="Y2" s="458"/>
      <c r="Z2" s="459"/>
      <c r="AA2" s="451"/>
    </row>
    <row r="3" spans="1:29" s="3" customFormat="1" ht="28.5" customHeight="1">
      <c r="A3" s="460" t="s">
        <v>458</v>
      </c>
      <c r="B3" s="461"/>
      <c r="C3" s="461"/>
      <c r="D3" s="461"/>
      <c r="E3" s="461"/>
      <c r="F3" s="462"/>
      <c r="G3" s="457" t="s">
        <v>242</v>
      </c>
      <c r="H3" s="457"/>
      <c r="I3" s="458"/>
      <c r="J3" s="458"/>
      <c r="K3" s="458"/>
      <c r="L3" s="458"/>
      <c r="M3" s="458"/>
      <c r="N3" s="458"/>
      <c r="O3" s="458"/>
      <c r="P3" s="458"/>
      <c r="Q3" s="458"/>
      <c r="R3" s="458"/>
      <c r="S3" s="458"/>
      <c r="T3" s="458"/>
      <c r="U3" s="458"/>
      <c r="V3" s="458"/>
      <c r="W3" s="458"/>
      <c r="X3" s="458"/>
      <c r="Y3" s="458"/>
      <c r="Z3" s="459"/>
      <c r="AA3" s="451"/>
    </row>
    <row r="4" spans="1:29" s="3" customFormat="1" ht="28.5" customHeight="1">
      <c r="A4" s="463"/>
      <c r="B4" s="464"/>
      <c r="C4" s="464"/>
      <c r="D4" s="464"/>
      <c r="E4" s="464"/>
      <c r="F4" s="465"/>
      <c r="G4" s="456" t="s">
        <v>395</v>
      </c>
      <c r="H4" s="456"/>
      <c r="I4" s="456" t="s">
        <v>459</v>
      </c>
      <c r="J4" s="456"/>
      <c r="K4" s="456"/>
      <c r="L4" s="456"/>
      <c r="M4" s="456"/>
      <c r="N4" s="456"/>
      <c r="O4" s="456"/>
      <c r="P4" s="456"/>
      <c r="Q4" s="456"/>
      <c r="R4" s="456"/>
      <c r="S4" s="456"/>
      <c r="T4" s="456"/>
      <c r="U4" s="456"/>
      <c r="V4" s="456"/>
      <c r="W4" s="456"/>
      <c r="X4" s="456"/>
      <c r="Y4" s="456"/>
      <c r="Z4" s="466"/>
      <c r="AA4" s="451"/>
    </row>
    <row r="5" spans="1:29" ht="28.5">
      <c r="A5" s="470" t="s">
        <v>9</v>
      </c>
      <c r="B5" s="471" t="s">
        <v>10</v>
      </c>
      <c r="C5" s="471"/>
      <c r="D5" s="471"/>
      <c r="E5" s="471"/>
      <c r="F5" s="471"/>
      <c r="G5" s="471"/>
      <c r="H5" s="471"/>
      <c r="I5" s="472" t="s">
        <v>11</v>
      </c>
      <c r="J5" s="471" t="s">
        <v>12</v>
      </c>
      <c r="K5" s="472" t="s">
        <v>13</v>
      </c>
      <c r="L5" s="471" t="s">
        <v>14</v>
      </c>
      <c r="M5" s="471"/>
      <c r="N5" s="471"/>
      <c r="O5" s="471"/>
      <c r="P5" s="471"/>
      <c r="Q5" s="471"/>
      <c r="R5" s="471"/>
      <c r="S5" s="471"/>
      <c r="T5" s="471"/>
      <c r="U5" s="471"/>
      <c r="V5" s="471"/>
      <c r="W5" s="471"/>
      <c r="X5" s="471" t="s">
        <v>15</v>
      </c>
      <c r="Y5" s="471"/>
      <c r="Z5" s="473"/>
      <c r="AA5" s="451"/>
    </row>
    <row r="6" spans="1:29" ht="55.5">
      <c r="A6" s="470"/>
      <c r="B6" s="471"/>
      <c r="C6" s="471"/>
      <c r="D6" s="471"/>
      <c r="E6" s="471"/>
      <c r="F6" s="471"/>
      <c r="G6" s="471"/>
      <c r="H6" s="471"/>
      <c r="I6" s="471"/>
      <c r="J6" s="471"/>
      <c r="K6" s="471"/>
      <c r="L6" s="6" t="s">
        <v>16</v>
      </c>
      <c r="M6" s="6" t="s">
        <v>17</v>
      </c>
      <c r="N6" s="6" t="s">
        <v>18</v>
      </c>
      <c r="O6" s="6" t="s">
        <v>19</v>
      </c>
      <c r="P6" s="6" t="s">
        <v>20</v>
      </c>
      <c r="Q6" s="6" t="s">
        <v>21</v>
      </c>
      <c r="R6" s="6" t="s">
        <v>22</v>
      </c>
      <c r="S6" s="6" t="s">
        <v>23</v>
      </c>
      <c r="T6" s="6" t="s">
        <v>24</v>
      </c>
      <c r="U6" s="6" t="s">
        <v>25</v>
      </c>
      <c r="V6" s="6" t="s">
        <v>26</v>
      </c>
      <c r="W6" s="6" t="s">
        <v>27</v>
      </c>
      <c r="X6" s="471"/>
      <c r="Y6" s="471"/>
      <c r="Z6" s="473"/>
      <c r="AA6" s="451"/>
    </row>
    <row r="7" spans="1:29" s="14" customFormat="1" ht="24">
      <c r="A7" s="7" t="s">
        <v>28</v>
      </c>
      <c r="B7" s="647" t="s">
        <v>460</v>
      </c>
      <c r="C7" s="647"/>
      <c r="D7" s="647"/>
      <c r="E7" s="647"/>
      <c r="F7" s="647"/>
      <c r="G7" s="647"/>
      <c r="H7" s="647"/>
      <c r="I7" s="132">
        <v>20</v>
      </c>
      <c r="J7" s="133" t="s">
        <v>439</v>
      </c>
      <c r="K7" s="10"/>
      <c r="L7" s="30"/>
      <c r="M7" s="30"/>
      <c r="N7" s="192"/>
      <c r="O7" s="192"/>
      <c r="P7" s="30"/>
      <c r="Q7" s="30"/>
      <c r="R7" s="194"/>
      <c r="S7" s="30"/>
      <c r="T7" s="30"/>
      <c r="U7" s="30"/>
      <c r="V7" s="30"/>
      <c r="W7" s="30"/>
      <c r="X7" s="475"/>
      <c r="Y7" s="475"/>
      <c r="Z7" s="476"/>
      <c r="AA7" s="451"/>
      <c r="AC7" s="14">
        <v>10</v>
      </c>
    </row>
    <row r="8" spans="1:29" s="14" customFormat="1" ht="45">
      <c r="A8" s="7" t="s">
        <v>66</v>
      </c>
      <c r="B8" s="647" t="s">
        <v>461</v>
      </c>
      <c r="C8" s="647"/>
      <c r="D8" s="647"/>
      <c r="E8" s="647"/>
      <c r="F8" s="647"/>
      <c r="G8" s="647"/>
      <c r="H8" s="647"/>
      <c r="I8" s="132">
        <v>10</v>
      </c>
      <c r="J8" s="133" t="s">
        <v>462</v>
      </c>
      <c r="K8" s="133">
        <v>1</v>
      </c>
      <c r="L8" s="30"/>
      <c r="M8" s="30"/>
      <c r="N8" s="30"/>
      <c r="O8" s="30"/>
      <c r="P8" s="192"/>
      <c r="Q8" s="30"/>
      <c r="R8" s="194"/>
      <c r="S8" s="30"/>
      <c r="T8" s="30"/>
      <c r="U8" s="30"/>
      <c r="V8" s="30"/>
      <c r="W8" s="30"/>
      <c r="X8" s="475"/>
      <c r="Y8" s="475"/>
      <c r="Z8" s="476"/>
      <c r="AA8" s="451"/>
    </row>
    <row r="9" spans="1:29" s="14" customFormat="1" ht="45">
      <c r="A9" s="7" t="s">
        <v>68</v>
      </c>
      <c r="B9" s="647" t="s">
        <v>463</v>
      </c>
      <c r="C9" s="647"/>
      <c r="D9" s="647"/>
      <c r="E9" s="647"/>
      <c r="F9" s="647"/>
      <c r="G9" s="647"/>
      <c r="H9" s="647"/>
      <c r="I9" s="132">
        <v>10</v>
      </c>
      <c r="J9" s="133" t="s">
        <v>462</v>
      </c>
      <c r="K9" s="133">
        <v>2</v>
      </c>
      <c r="L9" s="30"/>
      <c r="M9" s="30"/>
      <c r="N9" s="30"/>
      <c r="O9" s="30"/>
      <c r="P9" s="192"/>
      <c r="Q9" s="30"/>
      <c r="R9" s="30"/>
      <c r="S9" s="194"/>
      <c r="T9" s="30"/>
      <c r="U9" s="30"/>
      <c r="V9" s="30"/>
      <c r="W9" s="30"/>
      <c r="X9" s="468"/>
      <c r="Y9" s="468"/>
      <c r="Z9" s="469"/>
      <c r="AA9" s="451"/>
    </row>
    <row r="10" spans="1:29" s="14" customFormat="1" ht="24">
      <c r="A10" s="7" t="s">
        <v>70</v>
      </c>
      <c r="B10" s="647" t="s">
        <v>464</v>
      </c>
      <c r="C10" s="647"/>
      <c r="D10" s="647"/>
      <c r="E10" s="647"/>
      <c r="F10" s="647"/>
      <c r="G10" s="647"/>
      <c r="H10" s="647"/>
      <c r="I10" s="132">
        <v>20</v>
      </c>
      <c r="J10" s="133" t="s">
        <v>439</v>
      </c>
      <c r="K10" s="133">
        <v>3</v>
      </c>
      <c r="L10" s="30"/>
      <c r="M10" s="30"/>
      <c r="N10" s="30"/>
      <c r="O10" s="30"/>
      <c r="P10" s="192"/>
      <c r="Q10" s="30"/>
      <c r="R10" s="30"/>
      <c r="S10" s="194"/>
      <c r="T10" s="30"/>
      <c r="U10" s="30"/>
      <c r="V10" s="30"/>
      <c r="W10" s="30"/>
      <c r="X10" s="468"/>
      <c r="Y10" s="468"/>
      <c r="Z10" s="469"/>
      <c r="AA10" s="451"/>
    </row>
    <row r="11" spans="1:29" s="14" customFormat="1" ht="24">
      <c r="A11" s="7" t="s">
        <v>153</v>
      </c>
      <c r="B11" s="647" t="s">
        <v>465</v>
      </c>
      <c r="C11" s="647"/>
      <c r="D11" s="647"/>
      <c r="E11" s="647"/>
      <c r="F11" s="647"/>
      <c r="G11" s="647"/>
      <c r="H11" s="647"/>
      <c r="I11" s="132">
        <v>20</v>
      </c>
      <c r="J11" s="133" t="s">
        <v>439</v>
      </c>
      <c r="K11" s="133">
        <v>4</v>
      </c>
      <c r="L11" s="30"/>
      <c r="M11" s="30"/>
      <c r="N11" s="30"/>
      <c r="O11" s="30"/>
      <c r="P11" s="192"/>
      <c r="Q11" s="192"/>
      <c r="R11" s="30"/>
      <c r="S11" s="30"/>
      <c r="U11" s="30"/>
      <c r="V11" s="30"/>
      <c r="W11" s="30"/>
      <c r="X11" s="475"/>
      <c r="Y11" s="475"/>
      <c r="Z11" s="476"/>
      <c r="AA11" s="451"/>
    </row>
    <row r="12" spans="1:29" s="14" customFormat="1" ht="24">
      <c r="A12" s="7" t="s">
        <v>155</v>
      </c>
      <c r="B12" s="647" t="s">
        <v>466</v>
      </c>
      <c r="C12" s="647"/>
      <c r="D12" s="647"/>
      <c r="E12" s="647"/>
      <c r="F12" s="647"/>
      <c r="G12" s="647"/>
      <c r="H12" s="647"/>
      <c r="I12" s="132">
        <v>20</v>
      </c>
      <c r="J12" s="133" t="s">
        <v>439</v>
      </c>
      <c r="K12" s="133">
        <v>5</v>
      </c>
      <c r="L12" s="30"/>
      <c r="M12" s="30"/>
      <c r="N12" s="30"/>
      <c r="O12" s="30"/>
      <c r="P12" s="30"/>
      <c r="Q12" s="192"/>
      <c r="R12" s="30"/>
      <c r="S12" s="30"/>
      <c r="T12" s="30"/>
      <c r="V12" s="30"/>
      <c r="W12" s="30"/>
      <c r="X12" s="468"/>
      <c r="Y12" s="468"/>
      <c r="Z12" s="469"/>
      <c r="AA12" s="451"/>
    </row>
    <row r="13" spans="1:29" s="14" customFormat="1" ht="24">
      <c r="A13" s="7" t="s">
        <v>156</v>
      </c>
      <c r="B13" s="647"/>
      <c r="C13" s="647"/>
      <c r="D13" s="647"/>
      <c r="E13" s="647"/>
      <c r="F13" s="647"/>
      <c r="G13" s="647"/>
      <c r="H13" s="647"/>
      <c r="I13" s="132"/>
      <c r="J13" s="133"/>
      <c r="K13" s="10"/>
      <c r="L13" s="134"/>
      <c r="M13" s="134"/>
      <c r="N13" s="134"/>
      <c r="O13" s="134"/>
      <c r="P13" s="134"/>
      <c r="Q13" s="134"/>
      <c r="R13" s="134"/>
      <c r="S13" s="134"/>
      <c r="T13" s="134"/>
      <c r="U13" s="134"/>
      <c r="V13" s="134"/>
      <c r="W13" s="134"/>
      <c r="X13" s="651"/>
      <c r="Y13" s="651"/>
      <c r="Z13" s="652"/>
      <c r="AA13" s="451"/>
    </row>
    <row r="14" spans="1:29"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29"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29"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3">
    <mergeCell ref="X5:Z6"/>
    <mergeCell ref="A1:Y1"/>
    <mergeCell ref="AA1:AA14"/>
    <mergeCell ref="A2:F2"/>
    <mergeCell ref="G2:H2"/>
    <mergeCell ref="I2:Z3"/>
    <mergeCell ref="A3:F4"/>
    <mergeCell ref="G3:H3"/>
    <mergeCell ref="G4:H4"/>
    <mergeCell ref="I4:Z4"/>
    <mergeCell ref="A5:A6"/>
    <mergeCell ref="B5:H6"/>
    <mergeCell ref="I5:I6"/>
    <mergeCell ref="J5:J6"/>
    <mergeCell ref="K5:K6"/>
    <mergeCell ref="L5:W5"/>
    <mergeCell ref="B7:H7"/>
    <mergeCell ref="X7:Z7"/>
    <mergeCell ref="B8:H8"/>
    <mergeCell ref="X8:Z8"/>
    <mergeCell ref="B9:H9"/>
    <mergeCell ref="X9:Z9"/>
    <mergeCell ref="B10:H10"/>
    <mergeCell ref="X10:Z10"/>
    <mergeCell ref="B11:H11"/>
    <mergeCell ref="X11:Z11"/>
    <mergeCell ref="B12:H12"/>
    <mergeCell ref="X12:Z12"/>
    <mergeCell ref="X15:Z18"/>
    <mergeCell ref="K17:K18"/>
    <mergeCell ref="L17:N18"/>
    <mergeCell ref="B13:H13"/>
    <mergeCell ref="X13:Z13"/>
    <mergeCell ref="A14:E14"/>
    <mergeCell ref="F14:J14"/>
    <mergeCell ref="K14:N14"/>
    <mergeCell ref="O14:W14"/>
    <mergeCell ref="X14:Z14"/>
    <mergeCell ref="A15:E18"/>
    <mergeCell ref="F15:J18"/>
    <mergeCell ref="K15:K16"/>
    <mergeCell ref="L15:N16"/>
    <mergeCell ref="O15:W18"/>
  </mergeCells>
  <printOptions horizontalCentered="1" verticalCentered="1"/>
  <pageMargins left="0" right="0" top="0" bottom="0" header="0" footer="0"/>
  <pageSetup scale="40"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5EE7-2A3D-4836-B7C7-59752BE58FCD}">
  <dimension ref="A1:AA20"/>
  <sheetViews>
    <sheetView rightToLeft="1" zoomScale="70" zoomScaleNormal="70" zoomScaleSheetLayoutView="90" workbookViewId="0">
      <selection activeCell="I14" sqref="I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446</v>
      </c>
      <c r="B3" s="456"/>
      <c r="C3" s="456"/>
      <c r="D3" s="456"/>
      <c r="E3" s="456"/>
      <c r="F3" s="456"/>
      <c r="G3" s="457" t="s">
        <v>3</v>
      </c>
      <c r="H3" s="457"/>
      <c r="I3" s="458" t="s">
        <v>447</v>
      </c>
      <c r="J3" s="458"/>
      <c r="K3" s="458"/>
      <c r="L3" s="458"/>
      <c r="M3" s="458"/>
      <c r="N3" s="458"/>
      <c r="O3" s="458"/>
      <c r="P3" s="458"/>
      <c r="Q3" s="458"/>
      <c r="R3" s="458"/>
      <c r="S3" s="458"/>
      <c r="T3" s="458"/>
      <c r="U3" s="458"/>
      <c r="V3" s="458"/>
      <c r="W3" s="458"/>
      <c r="X3" s="458"/>
      <c r="Y3" s="458"/>
      <c r="Z3" s="459"/>
      <c r="AA3" s="451"/>
    </row>
    <row r="4" spans="1:27" s="3" customFormat="1" ht="28.5" customHeight="1">
      <c r="A4" s="460" t="s">
        <v>394</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448</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449</v>
      </c>
      <c r="C8" s="647"/>
      <c r="D8" s="647"/>
      <c r="E8" s="647"/>
      <c r="F8" s="647"/>
      <c r="G8" s="647"/>
      <c r="H8" s="647"/>
      <c r="I8" s="132">
        <v>20</v>
      </c>
      <c r="J8" s="133" t="s">
        <v>439</v>
      </c>
      <c r="K8" s="10"/>
      <c r="L8" s="30"/>
      <c r="M8" s="30"/>
      <c r="N8" s="30"/>
      <c r="O8" s="30"/>
      <c r="P8" s="30"/>
      <c r="Q8" s="30"/>
      <c r="R8" s="30"/>
      <c r="S8" s="30" t="s">
        <v>246</v>
      </c>
      <c r="T8" s="30"/>
      <c r="U8" s="30"/>
      <c r="V8" s="30"/>
      <c r="W8" s="30"/>
      <c r="X8" s="475"/>
      <c r="Y8" s="475"/>
      <c r="Z8" s="476"/>
      <c r="AA8" s="451"/>
    </row>
    <row r="9" spans="1:27" s="14" customFormat="1" ht="24">
      <c r="A9" s="7" t="s">
        <v>66</v>
      </c>
      <c r="B9" s="647" t="s">
        <v>450</v>
      </c>
      <c r="C9" s="647"/>
      <c r="D9" s="647"/>
      <c r="E9" s="647"/>
      <c r="F9" s="647"/>
      <c r="G9" s="647"/>
      <c r="H9" s="647"/>
      <c r="I9" s="132">
        <v>15</v>
      </c>
      <c r="J9" s="133" t="s">
        <v>451</v>
      </c>
      <c r="K9" s="133">
        <v>1</v>
      </c>
      <c r="L9" s="30"/>
      <c r="M9" s="30"/>
      <c r="N9" s="30"/>
      <c r="O9" s="30"/>
      <c r="P9" s="30"/>
      <c r="Q9" s="30"/>
      <c r="R9" s="30"/>
      <c r="S9" s="30" t="s">
        <v>246</v>
      </c>
      <c r="T9" s="30"/>
      <c r="U9" s="30"/>
      <c r="V9" s="30"/>
      <c r="W9" s="30"/>
      <c r="X9" s="475"/>
      <c r="Y9" s="475"/>
      <c r="Z9" s="476"/>
      <c r="AA9" s="451"/>
    </row>
    <row r="10" spans="1:27" s="14" customFormat="1" ht="24">
      <c r="A10" s="7" t="s">
        <v>68</v>
      </c>
      <c r="B10" s="647" t="s">
        <v>452</v>
      </c>
      <c r="C10" s="647"/>
      <c r="D10" s="647"/>
      <c r="E10" s="647"/>
      <c r="F10" s="647"/>
      <c r="G10" s="647"/>
      <c r="H10" s="647"/>
      <c r="I10" s="132">
        <v>15</v>
      </c>
      <c r="J10" s="133" t="s">
        <v>451</v>
      </c>
      <c r="K10" s="133">
        <v>2</v>
      </c>
      <c r="L10" s="30"/>
      <c r="M10" s="30"/>
      <c r="N10" s="30"/>
      <c r="O10" s="30"/>
      <c r="P10" s="30"/>
      <c r="Q10" s="30"/>
      <c r="R10" s="30"/>
      <c r="S10" s="30"/>
      <c r="T10" s="30" t="s">
        <v>246</v>
      </c>
      <c r="U10" s="30"/>
      <c r="V10" s="30"/>
      <c r="W10" s="30"/>
      <c r="X10" s="468"/>
      <c r="Y10" s="468"/>
      <c r="Z10" s="469"/>
      <c r="AA10" s="451"/>
    </row>
    <row r="11" spans="1:27" s="14" customFormat="1" ht="24">
      <c r="A11" s="7" t="s">
        <v>70</v>
      </c>
      <c r="B11" s="647" t="s">
        <v>453</v>
      </c>
      <c r="C11" s="647"/>
      <c r="D11" s="647"/>
      <c r="E11" s="647"/>
      <c r="F11" s="647"/>
      <c r="G11" s="647"/>
      <c r="H11" s="647"/>
      <c r="I11" s="132">
        <v>5</v>
      </c>
      <c r="J11" s="133" t="s">
        <v>451</v>
      </c>
      <c r="K11" s="133">
        <v>3</v>
      </c>
      <c r="L11" s="30"/>
      <c r="M11" s="30"/>
      <c r="N11" s="30"/>
      <c r="O11" s="30"/>
      <c r="P11" s="30"/>
      <c r="Q11" s="30"/>
      <c r="R11" s="30"/>
      <c r="S11" s="30"/>
      <c r="T11" s="30" t="s">
        <v>246</v>
      </c>
      <c r="U11" s="30"/>
      <c r="V11" s="30"/>
      <c r="W11" s="30"/>
      <c r="X11" s="468"/>
      <c r="Y11" s="468"/>
      <c r="Z11" s="469"/>
      <c r="AA11" s="451"/>
    </row>
    <row r="12" spans="1:27" s="14" customFormat="1" ht="24">
      <c r="A12" s="7" t="s">
        <v>153</v>
      </c>
      <c r="B12" s="647" t="s">
        <v>454</v>
      </c>
      <c r="C12" s="647"/>
      <c r="D12" s="647"/>
      <c r="E12" s="647"/>
      <c r="F12" s="647"/>
      <c r="G12" s="647"/>
      <c r="H12" s="647"/>
      <c r="I12" s="132">
        <v>10</v>
      </c>
      <c r="J12" s="133" t="s">
        <v>439</v>
      </c>
      <c r="K12" s="133">
        <v>4</v>
      </c>
      <c r="L12" s="30"/>
      <c r="M12" s="30"/>
      <c r="N12" s="30"/>
      <c r="O12" s="30"/>
      <c r="P12" s="30"/>
      <c r="Q12" s="30"/>
      <c r="R12" s="30"/>
      <c r="S12" s="30"/>
      <c r="T12" s="30"/>
      <c r="U12" s="30" t="s">
        <v>246</v>
      </c>
      <c r="V12" s="30" t="s">
        <v>246</v>
      </c>
      <c r="W12" s="30"/>
      <c r="X12" s="475"/>
      <c r="Y12" s="475"/>
      <c r="Z12" s="476"/>
      <c r="AA12" s="451"/>
    </row>
    <row r="13" spans="1:27" s="14" customFormat="1" ht="24">
      <c r="A13" s="7" t="s">
        <v>155</v>
      </c>
      <c r="B13" s="647" t="s">
        <v>455</v>
      </c>
      <c r="C13" s="647"/>
      <c r="D13" s="647"/>
      <c r="E13" s="647"/>
      <c r="F13" s="647"/>
      <c r="G13" s="647"/>
      <c r="H13" s="647"/>
      <c r="I13" s="132">
        <v>10</v>
      </c>
      <c r="J13" s="133" t="s">
        <v>439</v>
      </c>
      <c r="K13" s="133">
        <v>5</v>
      </c>
      <c r="L13" s="30"/>
      <c r="M13" s="30"/>
      <c r="N13" s="30"/>
      <c r="O13" s="30"/>
      <c r="P13" s="30"/>
      <c r="Q13" s="30"/>
      <c r="R13" s="30"/>
      <c r="S13" s="30"/>
      <c r="T13" s="30"/>
      <c r="U13" s="30"/>
      <c r="V13" s="30" t="s">
        <v>246</v>
      </c>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B14:H14"/>
    <mergeCell ref="X14:Z14"/>
    <mergeCell ref="A15:E15"/>
    <mergeCell ref="F15:J15"/>
    <mergeCell ref="K15:N15"/>
    <mergeCell ref="O15:W15"/>
    <mergeCell ref="X15:Z15"/>
    <mergeCell ref="A16:E19"/>
    <mergeCell ref="F16:J19"/>
    <mergeCell ref="K16:K17"/>
    <mergeCell ref="L16:N17"/>
    <mergeCell ref="O16:W19"/>
  </mergeCells>
  <printOptions horizontalCentered="1" verticalCentered="1"/>
  <pageMargins left="0" right="0" top="0" bottom="0" header="0" footer="0"/>
  <pageSetup scale="40"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3F47D-F7D3-43A4-9656-BDAF2A878FCC}">
  <dimension ref="A1:AC18"/>
  <sheetViews>
    <sheetView rightToLeft="1" zoomScale="70" zoomScaleNormal="70" zoomScaleSheetLayoutView="70" workbookViewId="0">
      <selection activeCell="I5" sqref="I5:I6"/>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18.140625" style="21" customWidth="1"/>
    <col min="6" max="6" width="20.42578125" style="21" customWidth="1"/>
    <col min="7" max="7" width="3" style="2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s="3" customFormat="1" ht="28.5">
      <c r="A2" s="455" t="s">
        <v>436</v>
      </c>
      <c r="B2" s="456"/>
      <c r="C2" s="456"/>
      <c r="D2" s="456"/>
      <c r="E2" s="456"/>
      <c r="F2" s="456"/>
      <c r="G2" s="457" t="s">
        <v>3</v>
      </c>
      <c r="H2" s="457"/>
      <c r="I2" s="730" t="s">
        <v>437</v>
      </c>
      <c r="J2" s="458"/>
      <c r="K2" s="458"/>
      <c r="L2" s="458"/>
      <c r="M2" s="458"/>
      <c r="N2" s="458"/>
      <c r="O2" s="458"/>
      <c r="P2" s="458"/>
      <c r="Q2" s="458"/>
      <c r="R2" s="458"/>
      <c r="S2" s="458"/>
      <c r="T2" s="458"/>
      <c r="U2" s="458"/>
      <c r="V2" s="458"/>
      <c r="W2" s="458"/>
      <c r="X2" s="458"/>
      <c r="Y2" s="458"/>
      <c r="Z2" s="459"/>
      <c r="AA2" s="451"/>
    </row>
    <row r="3" spans="1:29" s="3" customFormat="1" ht="28.5" customHeight="1">
      <c r="A3" s="460" t="s">
        <v>394</v>
      </c>
      <c r="B3" s="461"/>
      <c r="C3" s="461"/>
      <c r="D3" s="461"/>
      <c r="E3" s="461"/>
      <c r="F3" s="462"/>
      <c r="G3" s="457" t="s">
        <v>242</v>
      </c>
      <c r="H3" s="457"/>
      <c r="I3" s="458"/>
      <c r="J3" s="458"/>
      <c r="K3" s="458"/>
      <c r="L3" s="458"/>
      <c r="M3" s="458"/>
      <c r="N3" s="458"/>
      <c r="O3" s="458"/>
      <c r="P3" s="458"/>
      <c r="Q3" s="458"/>
      <c r="R3" s="458"/>
      <c r="S3" s="458"/>
      <c r="T3" s="458"/>
      <c r="U3" s="458"/>
      <c r="V3" s="458"/>
      <c r="W3" s="458"/>
      <c r="X3" s="458"/>
      <c r="Y3" s="458"/>
      <c r="Z3" s="459"/>
      <c r="AA3" s="451"/>
    </row>
    <row r="4" spans="1:29" s="3" customFormat="1" ht="28.5" customHeight="1">
      <c r="A4" s="463"/>
      <c r="B4" s="464"/>
      <c r="C4" s="464"/>
      <c r="D4" s="464"/>
      <c r="E4" s="464"/>
      <c r="F4" s="465"/>
      <c r="G4" s="456" t="s">
        <v>243</v>
      </c>
      <c r="H4" s="456"/>
      <c r="I4" s="456" t="s">
        <v>459</v>
      </c>
      <c r="J4" s="456"/>
      <c r="K4" s="456"/>
      <c r="L4" s="456"/>
      <c r="M4" s="456"/>
      <c r="N4" s="456"/>
      <c r="O4" s="456"/>
      <c r="P4" s="456"/>
      <c r="Q4" s="456"/>
      <c r="R4" s="456"/>
      <c r="S4" s="456"/>
      <c r="T4" s="456"/>
      <c r="U4" s="456"/>
      <c r="V4" s="456"/>
      <c r="W4" s="456"/>
      <c r="X4" s="456"/>
      <c r="Y4" s="456"/>
      <c r="Z4" s="466"/>
      <c r="AA4" s="451"/>
    </row>
    <row r="5" spans="1:29" ht="28.5">
      <c r="A5" s="470" t="s">
        <v>9</v>
      </c>
      <c r="B5" s="471" t="s">
        <v>10</v>
      </c>
      <c r="C5" s="471"/>
      <c r="D5" s="471"/>
      <c r="E5" s="471"/>
      <c r="F5" s="471"/>
      <c r="G5" s="471"/>
      <c r="H5" s="471"/>
      <c r="I5" s="472" t="s">
        <v>11</v>
      </c>
      <c r="J5" s="471" t="s">
        <v>12</v>
      </c>
      <c r="K5" s="472" t="s">
        <v>13</v>
      </c>
      <c r="L5" s="471" t="s">
        <v>14</v>
      </c>
      <c r="M5" s="471"/>
      <c r="N5" s="471"/>
      <c r="O5" s="471"/>
      <c r="P5" s="471"/>
      <c r="Q5" s="471"/>
      <c r="R5" s="471"/>
      <c r="S5" s="471"/>
      <c r="T5" s="471"/>
      <c r="U5" s="471"/>
      <c r="V5" s="471"/>
      <c r="W5" s="471"/>
      <c r="X5" s="471" t="s">
        <v>15</v>
      </c>
      <c r="Y5" s="471"/>
      <c r="Z5" s="473"/>
      <c r="AA5" s="451"/>
    </row>
    <row r="6" spans="1:29" ht="55.5">
      <c r="A6" s="470"/>
      <c r="B6" s="471"/>
      <c r="C6" s="471"/>
      <c r="D6" s="471"/>
      <c r="E6" s="471"/>
      <c r="F6" s="471"/>
      <c r="G6" s="471"/>
      <c r="H6" s="471"/>
      <c r="I6" s="471"/>
      <c r="J6" s="471"/>
      <c r="K6" s="471"/>
      <c r="L6" s="6" t="s">
        <v>16</v>
      </c>
      <c r="M6" s="6" t="s">
        <v>17</v>
      </c>
      <c r="N6" s="6" t="s">
        <v>18</v>
      </c>
      <c r="O6" s="6" t="s">
        <v>19</v>
      </c>
      <c r="P6" s="6" t="s">
        <v>20</v>
      </c>
      <c r="Q6" s="6" t="s">
        <v>21</v>
      </c>
      <c r="R6" s="6" t="s">
        <v>22</v>
      </c>
      <c r="S6" s="6" t="s">
        <v>23</v>
      </c>
      <c r="T6" s="6" t="s">
        <v>24</v>
      </c>
      <c r="U6" s="6" t="s">
        <v>25</v>
      </c>
      <c r="V6" s="6" t="s">
        <v>26</v>
      </c>
      <c r="W6" s="6" t="s">
        <v>27</v>
      </c>
      <c r="X6" s="471"/>
      <c r="Y6" s="471"/>
      <c r="Z6" s="473"/>
      <c r="AA6" s="451"/>
    </row>
    <row r="7" spans="1:29" s="14" customFormat="1" ht="24">
      <c r="A7" s="7" t="s">
        <v>28</v>
      </c>
      <c r="B7" s="647" t="s">
        <v>438</v>
      </c>
      <c r="C7" s="647"/>
      <c r="D7" s="647"/>
      <c r="E7" s="647"/>
      <c r="F7" s="647"/>
      <c r="G7" s="647"/>
      <c r="H7" s="647"/>
      <c r="I7" s="193">
        <v>10</v>
      </c>
      <c r="J7" s="133" t="s">
        <v>439</v>
      </c>
      <c r="K7" s="182">
        <v>1</v>
      </c>
      <c r="L7" s="170"/>
      <c r="M7" s="30"/>
      <c r="N7" s="30"/>
      <c r="O7" s="30"/>
      <c r="P7" s="30"/>
      <c r="Q7" s="30"/>
      <c r="R7" s="30"/>
      <c r="S7" s="30"/>
      <c r="T7" s="30"/>
      <c r="U7" s="30"/>
      <c r="V7" s="30"/>
      <c r="W7" s="30"/>
      <c r="X7" s="475"/>
      <c r="Y7" s="475"/>
      <c r="Z7" s="476"/>
      <c r="AA7" s="451"/>
      <c r="AC7" s="14">
        <v>10</v>
      </c>
    </row>
    <row r="8" spans="1:29" s="14" customFormat="1" ht="45">
      <c r="A8" s="7" t="s">
        <v>66</v>
      </c>
      <c r="B8" s="647" t="s">
        <v>440</v>
      </c>
      <c r="C8" s="647"/>
      <c r="D8" s="647"/>
      <c r="E8" s="647"/>
      <c r="F8" s="647"/>
      <c r="G8" s="647"/>
      <c r="H8" s="647"/>
      <c r="I8" s="193">
        <v>23.3</v>
      </c>
      <c r="J8" s="133" t="s">
        <v>441</v>
      </c>
      <c r="K8" s="182">
        <v>2</v>
      </c>
      <c r="L8" s="170"/>
      <c r="M8" s="30"/>
      <c r="N8" s="30"/>
      <c r="O8" s="30"/>
      <c r="P8" s="30"/>
      <c r="Q8" s="30"/>
      <c r="R8" s="30"/>
      <c r="S8" s="30"/>
      <c r="T8" s="30"/>
      <c r="U8" s="30"/>
      <c r="V8" s="30"/>
      <c r="W8" s="30"/>
      <c r="X8" s="475"/>
      <c r="Y8" s="475"/>
      <c r="Z8" s="476"/>
      <c r="AA8" s="451"/>
      <c r="AC8" s="14">
        <v>23.3</v>
      </c>
    </row>
    <row r="9" spans="1:29" s="14" customFormat="1" ht="45">
      <c r="A9" s="7" t="s">
        <v>68</v>
      </c>
      <c r="B9" s="647" t="s">
        <v>442</v>
      </c>
      <c r="C9" s="647"/>
      <c r="D9" s="647"/>
      <c r="E9" s="647"/>
      <c r="F9" s="647"/>
      <c r="G9" s="647"/>
      <c r="H9" s="647"/>
      <c r="I9" s="193">
        <v>23.3</v>
      </c>
      <c r="J9" s="133" t="s">
        <v>441</v>
      </c>
      <c r="K9" s="182">
        <v>3</v>
      </c>
      <c r="L9" s="30"/>
      <c r="M9" s="170"/>
      <c r="N9" s="30"/>
      <c r="O9" s="30"/>
      <c r="P9" s="30"/>
      <c r="Q9" s="30"/>
      <c r="R9" s="30"/>
      <c r="S9" s="30"/>
      <c r="T9" s="30"/>
      <c r="U9" s="30"/>
      <c r="V9" s="30"/>
      <c r="W9" s="30"/>
      <c r="X9" s="468"/>
      <c r="Y9" s="468"/>
      <c r="Z9" s="469"/>
      <c r="AA9" s="451"/>
      <c r="AC9" s="14">
        <v>23.3</v>
      </c>
    </row>
    <row r="10" spans="1:29" s="14" customFormat="1" ht="45">
      <c r="A10" s="7" t="s">
        <v>70</v>
      </c>
      <c r="B10" s="647" t="s">
        <v>443</v>
      </c>
      <c r="C10" s="647"/>
      <c r="D10" s="647"/>
      <c r="E10" s="647"/>
      <c r="F10" s="647"/>
      <c r="G10" s="647"/>
      <c r="H10" s="647"/>
      <c r="I10" s="193">
        <v>23.3</v>
      </c>
      <c r="J10" s="133" t="s">
        <v>441</v>
      </c>
      <c r="K10" s="182">
        <v>4</v>
      </c>
      <c r="L10" s="30"/>
      <c r="M10" s="30"/>
      <c r="N10" s="30"/>
      <c r="O10" s="30"/>
      <c r="P10" s="30"/>
      <c r="Q10" s="170"/>
      <c r="R10" s="30"/>
      <c r="S10" s="30"/>
      <c r="T10" s="30"/>
      <c r="U10" s="30"/>
      <c r="V10" s="30"/>
      <c r="W10" s="30"/>
      <c r="X10" s="468"/>
      <c r="Y10" s="468"/>
      <c r="Z10" s="469"/>
      <c r="AA10" s="451"/>
      <c r="AC10" s="14">
        <v>0</v>
      </c>
    </row>
    <row r="11" spans="1:29" s="14" customFormat="1" ht="24">
      <c r="A11" s="7" t="s">
        <v>153</v>
      </c>
      <c r="B11" s="647" t="s">
        <v>444</v>
      </c>
      <c r="C11" s="647"/>
      <c r="D11" s="647"/>
      <c r="E11" s="647"/>
      <c r="F11" s="647"/>
      <c r="G11" s="647"/>
      <c r="H11" s="647"/>
      <c r="I11" s="193">
        <v>10</v>
      </c>
      <c r="J11" s="133" t="s">
        <v>439</v>
      </c>
      <c r="K11" s="182">
        <v>5</v>
      </c>
      <c r="L11" s="30"/>
      <c r="M11" s="30"/>
      <c r="N11" s="30"/>
      <c r="O11" s="30"/>
      <c r="P11" s="30"/>
      <c r="Q11" s="170"/>
      <c r="R11" s="30"/>
      <c r="S11" s="30"/>
      <c r="T11" s="30"/>
      <c r="U11" s="30"/>
      <c r="V11" s="30"/>
      <c r="W11" s="30"/>
      <c r="X11" s="475"/>
      <c r="Y11" s="475"/>
      <c r="Z11" s="476"/>
      <c r="AA11" s="451"/>
      <c r="AC11" s="14">
        <v>0</v>
      </c>
    </row>
    <row r="12" spans="1:29" s="14" customFormat="1" ht="24">
      <c r="A12" s="7" t="s">
        <v>155</v>
      </c>
      <c r="B12" s="647" t="s">
        <v>445</v>
      </c>
      <c r="C12" s="647"/>
      <c r="D12" s="647"/>
      <c r="E12" s="647"/>
      <c r="F12" s="647"/>
      <c r="G12" s="647"/>
      <c r="H12" s="647"/>
      <c r="I12" s="193">
        <v>10</v>
      </c>
      <c r="J12" s="133" t="s">
        <v>439</v>
      </c>
      <c r="K12" s="182">
        <v>6</v>
      </c>
      <c r="L12" s="30"/>
      <c r="M12" s="30"/>
      <c r="N12" s="30"/>
      <c r="O12" s="30"/>
      <c r="P12" s="30"/>
      <c r="Q12" s="170"/>
      <c r="R12" s="30"/>
      <c r="S12" s="30"/>
      <c r="T12" s="30"/>
      <c r="U12" s="30"/>
      <c r="V12" s="30"/>
      <c r="W12" s="30"/>
      <c r="X12" s="468"/>
      <c r="Y12" s="468"/>
      <c r="Z12" s="469"/>
      <c r="AA12" s="451"/>
      <c r="AC12" s="14">
        <v>0</v>
      </c>
    </row>
    <row r="13" spans="1:29"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29"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9"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9"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1">
    <mergeCell ref="X5:Z6"/>
    <mergeCell ref="A1:Y1"/>
    <mergeCell ref="AA1:AA13"/>
    <mergeCell ref="A2:F2"/>
    <mergeCell ref="G2:H2"/>
    <mergeCell ref="I2:Z3"/>
    <mergeCell ref="A3:F4"/>
    <mergeCell ref="G3:H3"/>
    <mergeCell ref="G4:H4"/>
    <mergeCell ref="I4:Z4"/>
    <mergeCell ref="A5:A6"/>
    <mergeCell ref="B5:H6"/>
    <mergeCell ref="I5:I6"/>
    <mergeCell ref="J5:J6"/>
    <mergeCell ref="K5:K6"/>
    <mergeCell ref="L5:W5"/>
    <mergeCell ref="B7:H7"/>
    <mergeCell ref="X7:Z7"/>
    <mergeCell ref="B8:H8"/>
    <mergeCell ref="X8:Z8"/>
    <mergeCell ref="B9:H9"/>
    <mergeCell ref="X9:Z9"/>
    <mergeCell ref="B10:H10"/>
    <mergeCell ref="X10:Z10"/>
    <mergeCell ref="B11:H11"/>
    <mergeCell ref="X11:Z11"/>
    <mergeCell ref="B12:H12"/>
    <mergeCell ref="X12:Z12"/>
    <mergeCell ref="X14:Z17"/>
    <mergeCell ref="K16:K17"/>
    <mergeCell ref="L16:N17"/>
    <mergeCell ref="A13:E13"/>
    <mergeCell ref="F13:J13"/>
    <mergeCell ref="K13:N13"/>
    <mergeCell ref="O13:W13"/>
    <mergeCell ref="X13:Z13"/>
    <mergeCell ref="A14:E17"/>
    <mergeCell ref="F14:J17"/>
    <mergeCell ref="K14:K15"/>
    <mergeCell ref="L14:N15"/>
    <mergeCell ref="O14:W17"/>
  </mergeCells>
  <printOptions horizontalCentered="1" verticalCentered="1"/>
  <pageMargins left="0" right="0" top="0" bottom="0" header="0" footer="0"/>
  <pageSetup scale="40"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1330-6568-4866-A601-620BB220FB71}">
  <dimension ref="A1:AA33"/>
  <sheetViews>
    <sheetView rightToLeft="1" zoomScale="70" zoomScaleNormal="70" zoomScaleSheetLayoutView="70" workbookViewId="0">
      <selection activeCell="AA14" sqref="AA14"/>
    </sheetView>
  </sheetViews>
  <sheetFormatPr defaultColWidth="9.140625" defaultRowHeight="18"/>
  <cols>
    <col min="1" max="1" width="8.140625" style="21" bestFit="1" customWidth="1"/>
    <col min="2" max="2" width="9.140625" style="21"/>
    <col min="3" max="3" width="8.42578125" style="21" customWidth="1"/>
    <col min="4" max="4" width="17.42578125" style="21" customWidth="1"/>
    <col min="5" max="5" width="22.5703125" style="21" customWidth="1"/>
    <col min="6" max="6" width="18.28515625" style="21" customWidth="1"/>
    <col min="7" max="7" width="22.85546875" style="21" customWidth="1"/>
    <col min="8" max="8" width="2" style="21" customWidth="1"/>
    <col min="9" max="9" width="13.7109375" style="21" customWidth="1"/>
    <col min="10" max="10" width="43" style="21" customWidth="1"/>
    <col min="11" max="11" width="28.42578125" style="21" customWidth="1"/>
    <col min="12" max="13" width="4.5703125" style="21" customWidth="1"/>
    <col min="14" max="14" width="6.140625" style="21" customWidth="1"/>
    <col min="15" max="23" width="4.5703125" style="21" customWidth="1"/>
    <col min="24" max="24" width="30.42578125" style="21" customWidth="1"/>
    <col min="25" max="25" width="3.140625" style="2" customWidth="1"/>
    <col min="26" max="26" width="4.140625" style="2" customWidth="1"/>
    <col min="27"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171" t="s">
        <v>403</v>
      </c>
      <c r="Y1" s="451"/>
    </row>
    <row r="2" spans="1:27" s="3" customFormat="1" ht="28.5">
      <c r="A2" s="455" t="s">
        <v>404</v>
      </c>
      <c r="B2" s="456"/>
      <c r="C2" s="456"/>
      <c r="D2" s="456"/>
      <c r="E2" s="456"/>
      <c r="F2" s="456"/>
      <c r="G2" s="457" t="s">
        <v>3</v>
      </c>
      <c r="H2" s="457"/>
      <c r="I2" s="730" t="s">
        <v>405</v>
      </c>
      <c r="J2" s="458"/>
      <c r="K2" s="458"/>
      <c r="L2" s="458"/>
      <c r="M2" s="458"/>
      <c r="N2" s="458"/>
      <c r="O2" s="458"/>
      <c r="P2" s="458"/>
      <c r="Q2" s="458"/>
      <c r="R2" s="458"/>
      <c r="S2" s="458"/>
      <c r="T2" s="458"/>
      <c r="U2" s="458"/>
      <c r="V2" s="458"/>
      <c r="W2" s="458"/>
      <c r="X2" s="459"/>
      <c r="Y2" s="451"/>
    </row>
    <row r="3" spans="1:27" s="3" customFormat="1" ht="28.5" customHeight="1">
      <c r="A3" s="460" t="s">
        <v>406</v>
      </c>
      <c r="B3" s="461"/>
      <c r="C3" s="461"/>
      <c r="D3" s="461"/>
      <c r="E3" s="461"/>
      <c r="F3" s="462"/>
      <c r="G3" s="457" t="s">
        <v>242</v>
      </c>
      <c r="H3" s="457"/>
      <c r="I3" s="458"/>
      <c r="J3" s="458"/>
      <c r="K3" s="458"/>
      <c r="L3" s="458"/>
      <c r="M3" s="458"/>
      <c r="N3" s="458"/>
      <c r="O3" s="458"/>
      <c r="P3" s="458"/>
      <c r="Q3" s="458"/>
      <c r="R3" s="458"/>
      <c r="S3" s="458"/>
      <c r="T3" s="458"/>
      <c r="U3" s="458"/>
      <c r="V3" s="458"/>
      <c r="W3" s="458"/>
      <c r="X3" s="459"/>
      <c r="Y3" s="451"/>
    </row>
    <row r="4" spans="1:27" s="3" customFormat="1" ht="28.5" customHeight="1">
      <c r="A4" s="463"/>
      <c r="B4" s="464"/>
      <c r="C4" s="464"/>
      <c r="D4" s="464"/>
      <c r="E4" s="464"/>
      <c r="F4" s="465"/>
      <c r="G4" s="456" t="s">
        <v>243</v>
      </c>
      <c r="H4" s="456"/>
      <c r="I4" s="456" t="s">
        <v>407</v>
      </c>
      <c r="J4" s="456"/>
      <c r="K4" s="456"/>
      <c r="L4" s="456"/>
      <c r="M4" s="456"/>
      <c r="N4" s="456"/>
      <c r="O4" s="456"/>
      <c r="P4" s="456"/>
      <c r="Q4" s="456"/>
      <c r="R4" s="456"/>
      <c r="S4" s="456"/>
      <c r="T4" s="456"/>
      <c r="U4" s="456"/>
      <c r="V4" s="456"/>
      <c r="W4" s="456"/>
      <c r="X4" s="466"/>
      <c r="Y4" s="451"/>
    </row>
    <row r="5" spans="1:27" ht="28.5">
      <c r="A5" s="470" t="s">
        <v>9</v>
      </c>
      <c r="B5" s="471" t="s">
        <v>10</v>
      </c>
      <c r="C5" s="471"/>
      <c r="D5" s="471"/>
      <c r="E5" s="471"/>
      <c r="F5" s="471"/>
      <c r="G5" s="471"/>
      <c r="H5" s="471"/>
      <c r="I5" s="472" t="s">
        <v>11</v>
      </c>
      <c r="J5" s="471" t="s">
        <v>12</v>
      </c>
      <c r="K5" s="472" t="s">
        <v>13</v>
      </c>
      <c r="L5" s="471" t="s">
        <v>14</v>
      </c>
      <c r="M5" s="471"/>
      <c r="N5" s="471"/>
      <c r="O5" s="471"/>
      <c r="P5" s="471"/>
      <c r="Q5" s="471"/>
      <c r="R5" s="471"/>
      <c r="S5" s="471"/>
      <c r="T5" s="471"/>
      <c r="U5" s="471"/>
      <c r="V5" s="471"/>
      <c r="W5" s="471"/>
      <c r="X5" s="473"/>
      <c r="Y5" s="451"/>
    </row>
    <row r="6" spans="1:27" ht="55.5">
      <c r="A6" s="470"/>
      <c r="B6" s="471"/>
      <c r="C6" s="471"/>
      <c r="D6" s="471"/>
      <c r="E6" s="471"/>
      <c r="F6" s="471"/>
      <c r="G6" s="471"/>
      <c r="H6" s="471"/>
      <c r="I6" s="471"/>
      <c r="J6" s="471"/>
      <c r="K6" s="471"/>
      <c r="L6" s="6" t="s">
        <v>16</v>
      </c>
      <c r="M6" s="6" t="s">
        <v>17</v>
      </c>
      <c r="N6" s="6" t="s">
        <v>18</v>
      </c>
      <c r="O6" s="6" t="s">
        <v>19</v>
      </c>
      <c r="P6" s="6" t="s">
        <v>20</v>
      </c>
      <c r="Q6" s="6" t="s">
        <v>21</v>
      </c>
      <c r="R6" s="6" t="s">
        <v>22</v>
      </c>
      <c r="S6" s="6" t="s">
        <v>23</v>
      </c>
      <c r="T6" s="6" t="s">
        <v>24</v>
      </c>
      <c r="U6" s="6" t="s">
        <v>25</v>
      </c>
      <c r="V6" s="6" t="s">
        <v>26</v>
      </c>
      <c r="W6" s="6" t="s">
        <v>27</v>
      </c>
      <c r="X6" s="473"/>
      <c r="Y6" s="451"/>
    </row>
    <row r="7" spans="1:27" ht="28.5">
      <c r="A7" s="7" t="s">
        <v>28</v>
      </c>
      <c r="B7" s="954" t="s">
        <v>408</v>
      </c>
      <c r="C7" s="954"/>
      <c r="D7" s="954"/>
      <c r="E7" s="954"/>
      <c r="F7" s="954"/>
      <c r="G7" s="954"/>
      <c r="H7" s="954"/>
      <c r="I7" s="4"/>
      <c r="J7" s="172" t="s">
        <v>409</v>
      </c>
      <c r="K7" s="4"/>
      <c r="L7" s="173"/>
      <c r="M7" s="173"/>
      <c r="N7" s="173"/>
      <c r="O7" s="173"/>
      <c r="P7" s="173"/>
      <c r="Q7" s="173"/>
      <c r="R7" s="173"/>
      <c r="S7" s="173"/>
      <c r="T7" s="173"/>
      <c r="U7" s="173"/>
      <c r="V7" s="173"/>
      <c r="W7" s="173"/>
      <c r="X7" s="174"/>
      <c r="Y7" s="451"/>
      <c r="AA7" s="2">
        <v>4.4000000000000004</v>
      </c>
    </row>
    <row r="8" spans="1:27" ht="28.5">
      <c r="A8" s="175" t="s">
        <v>32</v>
      </c>
      <c r="B8" s="647" t="s">
        <v>410</v>
      </c>
      <c r="C8" s="647"/>
      <c r="D8" s="647"/>
      <c r="E8" s="647"/>
      <c r="F8" s="647"/>
      <c r="G8" s="647"/>
      <c r="H8" s="647"/>
      <c r="I8" s="176">
        <v>4.4000000000000004</v>
      </c>
      <c r="J8" s="177" t="s">
        <v>409</v>
      </c>
      <c r="K8" s="176"/>
      <c r="L8" s="178"/>
      <c r="M8" s="173"/>
      <c r="N8" s="173"/>
      <c r="O8" s="173"/>
      <c r="P8" s="173"/>
      <c r="Q8" s="173"/>
      <c r="R8" s="173"/>
      <c r="S8" s="173"/>
      <c r="T8" s="173"/>
      <c r="U8" s="173"/>
      <c r="V8" s="173"/>
      <c r="W8" s="173"/>
      <c r="X8" s="174"/>
      <c r="Y8" s="451"/>
      <c r="AA8" s="2">
        <v>4.4000000000000004</v>
      </c>
    </row>
    <row r="9" spans="1:27" ht="28.5">
      <c r="A9" s="175" t="s">
        <v>34</v>
      </c>
      <c r="B9" s="179" t="s">
        <v>411</v>
      </c>
      <c r="C9" s="180"/>
      <c r="D9" s="180"/>
      <c r="E9" s="180"/>
      <c r="F9" s="180"/>
      <c r="G9" s="180"/>
      <c r="H9" s="181"/>
      <c r="I9" s="176">
        <v>4.4000000000000004</v>
      </c>
      <c r="J9" s="177" t="s">
        <v>409</v>
      </c>
      <c r="K9" s="176"/>
      <c r="L9" s="173"/>
      <c r="M9" s="178"/>
      <c r="N9" s="173"/>
      <c r="O9" s="173"/>
      <c r="P9" s="173"/>
      <c r="Q9" s="173"/>
      <c r="R9" s="173"/>
      <c r="S9" s="173"/>
      <c r="T9" s="173"/>
      <c r="U9" s="173"/>
      <c r="V9" s="173"/>
      <c r="W9" s="173"/>
      <c r="X9" s="174"/>
      <c r="Y9" s="451"/>
      <c r="AA9" s="2">
        <v>4.4000000000000004</v>
      </c>
    </row>
    <row r="10" spans="1:27" s="14" customFormat="1" ht="31.5" customHeight="1">
      <c r="A10" s="175" t="s">
        <v>36</v>
      </c>
      <c r="B10" s="648" t="s">
        <v>412</v>
      </c>
      <c r="C10" s="649"/>
      <c r="D10" s="649"/>
      <c r="E10" s="649"/>
      <c r="F10" s="649"/>
      <c r="G10" s="649"/>
      <c r="H10" s="650"/>
      <c r="I10" s="176">
        <v>4.4000000000000004</v>
      </c>
      <c r="J10" s="133" t="s">
        <v>409</v>
      </c>
      <c r="K10" s="182"/>
      <c r="L10" s="162"/>
      <c r="M10" s="183"/>
      <c r="N10" s="183"/>
      <c r="O10" s="162"/>
      <c r="P10" s="162"/>
      <c r="Q10" s="162"/>
      <c r="R10" s="162"/>
      <c r="S10" s="162"/>
      <c r="T10" s="162"/>
      <c r="U10" s="162"/>
      <c r="V10" s="162"/>
      <c r="W10" s="162"/>
      <c r="X10" s="13"/>
      <c r="Y10" s="451"/>
    </row>
    <row r="11" spans="1:27" s="14" customFormat="1" ht="26.25" customHeight="1">
      <c r="A11" s="184">
        <v>2</v>
      </c>
      <c r="B11" s="955" t="s">
        <v>413</v>
      </c>
      <c r="C11" s="956"/>
      <c r="D11" s="956"/>
      <c r="E11" s="956"/>
      <c r="F11" s="956"/>
      <c r="G11" s="956"/>
      <c r="H11" s="957"/>
      <c r="I11" s="185"/>
      <c r="J11" s="186" t="s">
        <v>409</v>
      </c>
      <c r="K11" s="187"/>
      <c r="L11" s="162"/>
      <c r="M11" s="162"/>
      <c r="N11" s="162"/>
      <c r="O11" s="162"/>
      <c r="P11" s="162"/>
      <c r="Q11" s="162"/>
      <c r="R11" s="162"/>
      <c r="S11" s="162"/>
      <c r="T11" s="162"/>
      <c r="U11" s="162"/>
      <c r="V11" s="162"/>
      <c r="W11" s="162"/>
      <c r="X11" s="18"/>
      <c r="Y11" s="451"/>
    </row>
    <row r="12" spans="1:27" s="14" customFormat="1" ht="29.25" customHeight="1">
      <c r="A12" s="175" t="s">
        <v>89</v>
      </c>
      <c r="B12" s="946" t="s">
        <v>414</v>
      </c>
      <c r="C12" s="947"/>
      <c r="D12" s="947"/>
      <c r="E12" s="947"/>
      <c r="F12" s="947"/>
      <c r="G12" s="947"/>
      <c r="H12" s="948"/>
      <c r="I12" s="176">
        <v>4.4000000000000004</v>
      </c>
      <c r="J12" s="133" t="s">
        <v>409</v>
      </c>
      <c r="K12" s="182"/>
      <c r="L12" s="162"/>
      <c r="M12" s="183"/>
      <c r="N12" s="183"/>
      <c r="O12" s="162"/>
      <c r="P12" s="162"/>
      <c r="Q12" s="162"/>
      <c r="R12" s="162"/>
      <c r="S12" s="162"/>
      <c r="T12" s="162"/>
      <c r="U12" s="162"/>
      <c r="V12" s="162"/>
      <c r="W12" s="162"/>
      <c r="X12" s="18"/>
      <c r="Y12" s="451"/>
      <c r="AA12" s="14">
        <v>4.4000000000000004</v>
      </c>
    </row>
    <row r="13" spans="1:27" s="14" customFormat="1" ht="45">
      <c r="A13" s="175" t="s">
        <v>91</v>
      </c>
      <c r="B13" s="946" t="s">
        <v>415</v>
      </c>
      <c r="C13" s="947"/>
      <c r="D13" s="947"/>
      <c r="E13" s="947"/>
      <c r="F13" s="947"/>
      <c r="G13" s="947"/>
      <c r="H13" s="948"/>
      <c r="I13" s="176">
        <v>4.4000000000000004</v>
      </c>
      <c r="J13" s="133" t="s">
        <v>409</v>
      </c>
      <c r="K13" s="182"/>
      <c r="L13" s="162"/>
      <c r="M13" s="183"/>
      <c r="N13" s="183"/>
      <c r="O13" s="162"/>
      <c r="P13" s="162"/>
      <c r="Q13" s="162"/>
      <c r="R13" s="162"/>
      <c r="S13" s="162"/>
      <c r="T13" s="162"/>
      <c r="U13" s="162"/>
      <c r="V13" s="162"/>
      <c r="W13" s="162"/>
      <c r="X13" s="18"/>
      <c r="Y13" s="451"/>
      <c r="AA13" s="14">
        <v>4.4000000000000004</v>
      </c>
    </row>
    <row r="14" spans="1:27" s="14" customFormat="1" ht="28.5">
      <c r="A14" s="175" t="s">
        <v>110</v>
      </c>
      <c r="B14" s="946" t="s">
        <v>416</v>
      </c>
      <c r="C14" s="947"/>
      <c r="D14" s="947"/>
      <c r="E14" s="947"/>
      <c r="F14" s="947"/>
      <c r="G14" s="947"/>
      <c r="H14" s="948"/>
      <c r="I14" s="176">
        <v>4.4000000000000004</v>
      </c>
      <c r="J14" s="177" t="s">
        <v>409</v>
      </c>
      <c r="K14" s="188"/>
      <c r="L14" s="162"/>
      <c r="M14" s="162"/>
      <c r="N14" s="162"/>
      <c r="O14" s="162"/>
      <c r="P14" s="162"/>
      <c r="Q14" s="162"/>
      <c r="R14" s="162"/>
      <c r="S14" s="162"/>
      <c r="T14" s="162"/>
      <c r="U14" s="162"/>
      <c r="V14" s="162"/>
      <c r="W14" s="162"/>
      <c r="X14" s="18"/>
      <c r="Y14" s="451"/>
    </row>
    <row r="15" spans="1:27" s="14" customFormat="1" ht="45">
      <c r="A15" s="175" t="s">
        <v>417</v>
      </c>
      <c r="B15" s="647" t="s">
        <v>418</v>
      </c>
      <c r="C15" s="647"/>
      <c r="D15" s="647"/>
      <c r="E15" s="647"/>
      <c r="F15" s="647"/>
      <c r="G15" s="647"/>
      <c r="H15" s="647"/>
      <c r="I15" s="176">
        <v>4.4000000000000004</v>
      </c>
      <c r="J15" s="133" t="s">
        <v>409</v>
      </c>
      <c r="K15" s="182"/>
      <c r="L15" s="162"/>
      <c r="M15" s="162"/>
      <c r="N15" s="162"/>
      <c r="O15" s="183"/>
      <c r="P15" s="183"/>
      <c r="Q15" s="162"/>
      <c r="R15" s="162"/>
      <c r="S15" s="162"/>
      <c r="T15" s="162"/>
      <c r="U15" s="162"/>
      <c r="V15" s="162"/>
      <c r="W15" s="162"/>
      <c r="X15" s="18"/>
      <c r="Y15" s="451"/>
    </row>
    <row r="16" spans="1:27" s="14" customFormat="1" ht="45">
      <c r="A16" s="175" t="s">
        <v>419</v>
      </c>
      <c r="B16" s="647" t="s">
        <v>420</v>
      </c>
      <c r="C16" s="647"/>
      <c r="D16" s="647"/>
      <c r="E16" s="647"/>
      <c r="F16" s="647"/>
      <c r="G16" s="647"/>
      <c r="H16" s="647"/>
      <c r="I16" s="176">
        <v>4.4000000000000004</v>
      </c>
      <c r="J16" s="133" t="s">
        <v>409</v>
      </c>
      <c r="K16" s="182"/>
      <c r="L16" s="162"/>
      <c r="M16" s="162"/>
      <c r="N16" s="162"/>
      <c r="O16" s="162"/>
      <c r="P16" s="183"/>
      <c r="Q16" s="183"/>
      <c r="R16" s="162"/>
      <c r="S16" s="162"/>
      <c r="T16" s="162"/>
      <c r="U16" s="162"/>
      <c r="V16" s="162"/>
      <c r="W16" s="162"/>
      <c r="X16" s="18"/>
      <c r="Y16" s="451"/>
    </row>
    <row r="17" spans="1:25" s="14" customFormat="1" ht="45">
      <c r="A17" s="175" t="s">
        <v>421</v>
      </c>
      <c r="B17" s="648" t="s">
        <v>422</v>
      </c>
      <c r="C17" s="649"/>
      <c r="D17" s="649"/>
      <c r="E17" s="649"/>
      <c r="F17" s="649"/>
      <c r="G17" s="649"/>
      <c r="H17" s="650"/>
      <c r="I17" s="176">
        <v>4.4000000000000004</v>
      </c>
      <c r="J17" s="133" t="s">
        <v>409</v>
      </c>
      <c r="K17" s="182"/>
      <c r="L17" s="162"/>
      <c r="M17" s="162"/>
      <c r="N17" s="162"/>
      <c r="O17" s="162"/>
      <c r="P17" s="183"/>
      <c r="Q17" s="183"/>
      <c r="R17" s="162"/>
      <c r="S17" s="162"/>
      <c r="T17" s="162"/>
      <c r="U17" s="162"/>
      <c r="V17" s="162"/>
      <c r="W17" s="162"/>
      <c r="X17" s="18"/>
      <c r="Y17" s="451"/>
    </row>
    <row r="18" spans="1:25" s="14" customFormat="1" ht="45">
      <c r="A18" s="175" t="s">
        <v>423</v>
      </c>
      <c r="B18" s="648" t="s">
        <v>424</v>
      </c>
      <c r="C18" s="649"/>
      <c r="D18" s="649"/>
      <c r="E18" s="649"/>
      <c r="F18" s="649"/>
      <c r="G18" s="649"/>
      <c r="H18" s="650"/>
      <c r="I18" s="176">
        <v>4.4000000000000004</v>
      </c>
      <c r="J18" s="133" t="s">
        <v>409</v>
      </c>
      <c r="K18" s="182"/>
      <c r="L18" s="162"/>
      <c r="M18" s="162"/>
      <c r="N18" s="162"/>
      <c r="O18" s="162"/>
      <c r="P18" s="183"/>
      <c r="Q18" s="183"/>
      <c r="R18" s="162"/>
      <c r="S18" s="162"/>
      <c r="T18" s="162"/>
      <c r="U18" s="162"/>
      <c r="V18" s="162"/>
      <c r="W18" s="162"/>
      <c r="X18" s="18"/>
      <c r="Y18" s="451"/>
    </row>
    <row r="19" spans="1:25" s="14" customFormat="1" ht="25.5" customHeight="1">
      <c r="A19" s="7" t="s">
        <v>68</v>
      </c>
      <c r="B19" s="949" t="s">
        <v>425</v>
      </c>
      <c r="C19" s="950"/>
      <c r="D19" s="950"/>
      <c r="E19" s="950"/>
      <c r="F19" s="950"/>
      <c r="G19" s="950"/>
      <c r="H19" s="951"/>
      <c r="I19" s="185"/>
      <c r="J19" s="186" t="s">
        <v>409</v>
      </c>
      <c r="K19" s="189"/>
      <c r="L19" s="162"/>
      <c r="M19" s="162"/>
      <c r="N19" s="162"/>
      <c r="O19" s="162"/>
      <c r="P19" s="162"/>
      <c r="Q19" s="162"/>
      <c r="R19" s="162"/>
      <c r="S19" s="162"/>
      <c r="T19" s="162"/>
      <c r="U19" s="162"/>
      <c r="V19" s="162"/>
      <c r="W19" s="162"/>
      <c r="X19" s="18"/>
      <c r="Y19" s="451"/>
    </row>
    <row r="20" spans="1:25" s="14" customFormat="1" ht="24" customHeight="1">
      <c r="A20" s="175" t="s">
        <v>94</v>
      </c>
      <c r="B20" s="952" t="s">
        <v>426</v>
      </c>
      <c r="C20" s="953"/>
      <c r="D20" s="953"/>
      <c r="E20" s="953"/>
      <c r="F20" s="953"/>
      <c r="G20" s="953"/>
      <c r="H20" s="190"/>
      <c r="I20" s="176">
        <v>4.5999999999999996</v>
      </c>
      <c r="J20" s="133" t="s">
        <v>409</v>
      </c>
      <c r="K20" s="182"/>
      <c r="L20" s="162"/>
      <c r="M20" s="162"/>
      <c r="N20" s="162"/>
      <c r="O20" s="162"/>
      <c r="P20" s="191"/>
      <c r="Q20" s="191"/>
      <c r="R20" s="162"/>
      <c r="S20" s="162"/>
      <c r="T20" s="162"/>
      <c r="U20" s="162"/>
      <c r="V20" s="162"/>
      <c r="W20" s="162"/>
      <c r="X20" s="18"/>
      <c r="Y20" s="451"/>
    </row>
    <row r="21" spans="1:25" s="14" customFormat="1" ht="29.25" customHeight="1">
      <c r="A21" s="175" t="s">
        <v>96</v>
      </c>
      <c r="B21" s="952" t="s">
        <v>427</v>
      </c>
      <c r="C21" s="953"/>
      <c r="D21" s="953"/>
      <c r="E21" s="953"/>
      <c r="F21" s="953"/>
      <c r="G21" s="953"/>
      <c r="H21" s="190"/>
      <c r="I21" s="176">
        <v>4.5999999999999996</v>
      </c>
      <c r="J21" s="133" t="s">
        <v>409</v>
      </c>
      <c r="K21" s="182"/>
      <c r="L21" s="162"/>
      <c r="M21" s="162"/>
      <c r="N21" s="162"/>
      <c r="O21" s="162"/>
      <c r="P21" s="162"/>
      <c r="Q21" s="191"/>
      <c r="R21" s="191"/>
      <c r="S21" s="162"/>
      <c r="T21" s="162"/>
      <c r="U21" s="162"/>
      <c r="V21" s="162"/>
      <c r="W21" s="162"/>
      <c r="X21" s="18"/>
      <c r="Y21" s="451"/>
    </row>
    <row r="22" spans="1:25" s="14" customFormat="1" ht="45" customHeight="1">
      <c r="A22" s="175" t="s">
        <v>98</v>
      </c>
      <c r="B22" s="952" t="s">
        <v>428</v>
      </c>
      <c r="C22" s="953"/>
      <c r="D22" s="953"/>
      <c r="E22" s="953"/>
      <c r="F22" s="953"/>
      <c r="G22" s="953"/>
      <c r="H22" s="190"/>
      <c r="I22" s="176">
        <v>4.5999999999999996</v>
      </c>
      <c r="J22" s="133" t="s">
        <v>409</v>
      </c>
      <c r="K22" s="182"/>
      <c r="L22" s="162"/>
      <c r="M22" s="162"/>
      <c r="N22" s="162"/>
      <c r="O22" s="162"/>
      <c r="P22" s="162"/>
      <c r="Q22" s="191"/>
      <c r="R22" s="191"/>
      <c r="S22" s="162"/>
      <c r="T22" s="162"/>
      <c r="U22" s="162"/>
      <c r="V22" s="162"/>
      <c r="W22" s="162"/>
      <c r="X22" s="18"/>
      <c r="Y22" s="451"/>
    </row>
    <row r="23" spans="1:25" s="14" customFormat="1" ht="24.75" customHeight="1">
      <c r="A23" s="175" t="s">
        <v>100</v>
      </c>
      <c r="B23" s="648" t="s">
        <v>429</v>
      </c>
      <c r="C23" s="649"/>
      <c r="D23" s="649"/>
      <c r="E23" s="649"/>
      <c r="F23" s="649"/>
      <c r="G23" s="649"/>
      <c r="H23" s="190"/>
      <c r="I23" s="176">
        <v>4.5999999999999996</v>
      </c>
      <c r="J23" s="133" t="s">
        <v>409</v>
      </c>
      <c r="K23" s="182"/>
      <c r="L23" s="162"/>
      <c r="M23" s="162"/>
      <c r="N23" s="162"/>
      <c r="O23" s="162"/>
      <c r="P23" s="162"/>
      <c r="Q23" s="191"/>
      <c r="R23" s="191"/>
      <c r="S23" s="162"/>
      <c r="T23" s="162"/>
      <c r="U23" s="162"/>
      <c r="V23" s="162"/>
      <c r="W23" s="162"/>
      <c r="X23" s="18"/>
      <c r="Y23" s="451"/>
    </row>
    <row r="24" spans="1:25" s="14" customFormat="1" ht="45">
      <c r="A24" s="7" t="s">
        <v>70</v>
      </c>
      <c r="B24" s="954" t="s">
        <v>430</v>
      </c>
      <c r="C24" s="954"/>
      <c r="D24" s="954"/>
      <c r="E24" s="954"/>
      <c r="F24" s="954"/>
      <c r="G24" s="954"/>
      <c r="H24" s="954"/>
      <c r="I24" s="192"/>
      <c r="J24" s="186" t="s">
        <v>409</v>
      </c>
      <c r="K24" s="189"/>
      <c r="L24" s="162"/>
      <c r="M24" s="162"/>
      <c r="N24" s="162"/>
      <c r="O24" s="162"/>
      <c r="P24" s="162"/>
      <c r="Q24" s="162"/>
      <c r="R24" s="162"/>
      <c r="S24" s="162"/>
      <c r="T24" s="162"/>
      <c r="U24" s="162"/>
      <c r="V24" s="162"/>
      <c r="W24" s="162"/>
      <c r="X24" s="18"/>
      <c r="Y24" s="451"/>
    </row>
    <row r="25" spans="1:25" s="14" customFormat="1" ht="42" customHeight="1">
      <c r="A25" s="175" t="s">
        <v>114</v>
      </c>
      <c r="B25" s="647" t="s">
        <v>431</v>
      </c>
      <c r="C25" s="647"/>
      <c r="D25" s="647"/>
      <c r="E25" s="647"/>
      <c r="F25" s="647"/>
      <c r="G25" s="647"/>
      <c r="H25" s="647"/>
      <c r="I25" s="176">
        <v>9.4</v>
      </c>
      <c r="J25" s="133" t="s">
        <v>432</v>
      </c>
      <c r="K25" s="182"/>
      <c r="L25" s="162"/>
      <c r="M25" s="162"/>
      <c r="N25" s="162"/>
      <c r="O25" s="162"/>
      <c r="P25" s="162"/>
      <c r="Q25" s="162"/>
      <c r="R25" s="162"/>
      <c r="S25" s="191"/>
      <c r="T25" s="191"/>
      <c r="U25" s="162"/>
      <c r="V25" s="162"/>
      <c r="W25" s="162"/>
      <c r="X25" s="18"/>
      <c r="Y25" s="451"/>
    </row>
    <row r="26" spans="1:25" s="14" customFormat="1" ht="45">
      <c r="A26" s="175" t="s">
        <v>115</v>
      </c>
      <c r="B26" s="647" t="s">
        <v>433</v>
      </c>
      <c r="C26" s="647"/>
      <c r="D26" s="647"/>
      <c r="E26" s="647"/>
      <c r="F26" s="647"/>
      <c r="G26" s="647"/>
      <c r="H26" s="647"/>
      <c r="I26" s="176">
        <v>9.4</v>
      </c>
      <c r="J26" s="133" t="s">
        <v>432</v>
      </c>
      <c r="K26" s="182"/>
      <c r="L26" s="162"/>
      <c r="M26" s="162"/>
      <c r="N26" s="162"/>
      <c r="O26" s="162"/>
      <c r="P26" s="162"/>
      <c r="Q26" s="162"/>
      <c r="R26" s="162"/>
      <c r="S26" s="191"/>
      <c r="T26" s="191"/>
      <c r="U26" s="162"/>
      <c r="V26" s="162"/>
      <c r="W26" s="162"/>
      <c r="X26" s="18"/>
      <c r="Y26" s="451"/>
    </row>
    <row r="27" spans="1:25" s="14" customFormat="1" ht="45">
      <c r="A27" s="175" t="s">
        <v>117</v>
      </c>
      <c r="B27" s="647" t="s">
        <v>434</v>
      </c>
      <c r="C27" s="647"/>
      <c r="D27" s="647"/>
      <c r="E27" s="647"/>
      <c r="F27" s="647"/>
      <c r="G27" s="647"/>
      <c r="H27" s="647"/>
      <c r="I27" s="176">
        <v>9.4</v>
      </c>
      <c r="J27" s="133" t="s">
        <v>432</v>
      </c>
      <c r="K27" s="182"/>
      <c r="L27" s="162"/>
      <c r="M27" s="162"/>
      <c r="N27" s="162"/>
      <c r="O27" s="162"/>
      <c r="P27" s="162"/>
      <c r="Q27" s="162"/>
      <c r="R27" s="162"/>
      <c r="S27" s="191"/>
      <c r="T27" s="191"/>
      <c r="U27" s="162"/>
      <c r="V27" s="162"/>
      <c r="W27" s="162"/>
      <c r="X27" s="18"/>
      <c r="Y27" s="451"/>
    </row>
    <row r="28" spans="1:25" s="14" customFormat="1" ht="45">
      <c r="A28" s="175" t="s">
        <v>119</v>
      </c>
      <c r="B28" s="647" t="s">
        <v>435</v>
      </c>
      <c r="C28" s="647"/>
      <c r="D28" s="647"/>
      <c r="E28" s="647"/>
      <c r="F28" s="647"/>
      <c r="G28" s="647"/>
      <c r="H28" s="647"/>
      <c r="I28" s="176">
        <v>9.4</v>
      </c>
      <c r="J28" s="133" t="s">
        <v>432</v>
      </c>
      <c r="K28" s="182"/>
      <c r="L28" s="162"/>
      <c r="M28" s="162"/>
      <c r="N28" s="162"/>
      <c r="O28" s="162"/>
      <c r="P28" s="162"/>
      <c r="Q28" s="162"/>
      <c r="R28" s="162"/>
      <c r="S28" s="191"/>
      <c r="T28" s="191"/>
      <c r="U28" s="162"/>
      <c r="V28" s="162"/>
      <c r="W28" s="162"/>
      <c r="X28" s="18"/>
      <c r="Y28" s="451"/>
    </row>
    <row r="29" spans="1:25" ht="57.75" customHeight="1">
      <c r="A29" s="488" t="s">
        <v>42</v>
      </c>
      <c r="B29" s="489"/>
      <c r="C29" s="489"/>
      <c r="D29" s="489"/>
      <c r="E29" s="490"/>
      <c r="F29" s="472" t="s">
        <v>43</v>
      </c>
      <c r="G29" s="472"/>
      <c r="H29" s="472"/>
      <c r="I29" s="472"/>
      <c r="J29" s="472"/>
      <c r="K29" s="472" t="s">
        <v>44</v>
      </c>
      <c r="L29" s="472"/>
      <c r="M29" s="472"/>
      <c r="N29" s="472"/>
      <c r="O29" s="491" t="s">
        <v>45</v>
      </c>
      <c r="P29" s="492"/>
      <c r="Q29" s="492"/>
      <c r="R29" s="492"/>
      <c r="S29" s="492"/>
      <c r="T29" s="492"/>
      <c r="U29" s="492"/>
      <c r="V29" s="492"/>
      <c r="W29" s="493"/>
      <c r="X29" s="5"/>
      <c r="Y29" s="451"/>
    </row>
    <row r="30" spans="1:25" s="20" customFormat="1" ht="28.5">
      <c r="A30" s="494"/>
      <c r="B30" s="495"/>
      <c r="C30" s="495"/>
      <c r="D30" s="495"/>
      <c r="E30" s="496"/>
      <c r="F30" s="503"/>
      <c r="G30" s="504"/>
      <c r="H30" s="504"/>
      <c r="I30" s="504"/>
      <c r="J30" s="505"/>
      <c r="K30" s="486" t="s">
        <v>47</v>
      </c>
      <c r="L30" s="486"/>
      <c r="M30" s="486"/>
      <c r="N30" s="486"/>
      <c r="O30" s="477"/>
      <c r="P30" s="478"/>
      <c r="Q30" s="478"/>
      <c r="R30" s="478"/>
      <c r="S30" s="478"/>
      <c r="T30" s="478"/>
      <c r="U30" s="478"/>
      <c r="V30" s="478"/>
      <c r="W30" s="512"/>
      <c r="X30" s="479"/>
    </row>
    <row r="31" spans="1:25" s="20" customFormat="1" ht="28.5">
      <c r="A31" s="497"/>
      <c r="B31" s="498"/>
      <c r="C31" s="498"/>
      <c r="D31" s="498"/>
      <c r="E31" s="499"/>
      <c r="F31" s="506"/>
      <c r="G31" s="507"/>
      <c r="H31" s="507"/>
      <c r="I31" s="507"/>
      <c r="J31" s="508"/>
      <c r="K31" s="486"/>
      <c r="L31" s="486"/>
      <c r="M31" s="486"/>
      <c r="N31" s="486"/>
      <c r="O31" s="480"/>
      <c r="P31" s="481"/>
      <c r="Q31" s="481"/>
      <c r="R31" s="481"/>
      <c r="S31" s="481"/>
      <c r="T31" s="481"/>
      <c r="U31" s="481"/>
      <c r="V31" s="481"/>
      <c r="W31" s="513"/>
      <c r="X31" s="482"/>
    </row>
    <row r="32" spans="1:25" s="20" customFormat="1" ht="28.5">
      <c r="A32" s="497"/>
      <c r="B32" s="498"/>
      <c r="C32" s="498"/>
      <c r="D32" s="498"/>
      <c r="E32" s="499"/>
      <c r="F32" s="506"/>
      <c r="G32" s="507"/>
      <c r="H32" s="507"/>
      <c r="I32" s="507"/>
      <c r="J32" s="508"/>
      <c r="K32" s="486" t="s">
        <v>48</v>
      </c>
      <c r="L32" s="486"/>
      <c r="M32" s="486"/>
      <c r="N32" s="486"/>
      <c r="O32" s="480"/>
      <c r="P32" s="481"/>
      <c r="Q32" s="481"/>
      <c r="R32" s="481"/>
      <c r="S32" s="481"/>
      <c r="T32" s="481"/>
      <c r="U32" s="481"/>
      <c r="V32" s="481"/>
      <c r="W32" s="513"/>
      <c r="X32" s="482"/>
    </row>
    <row r="33" spans="1:24" s="20" customFormat="1" ht="29.25" thickBot="1">
      <c r="A33" s="500"/>
      <c r="B33" s="501"/>
      <c r="C33" s="501"/>
      <c r="D33" s="501"/>
      <c r="E33" s="502"/>
      <c r="F33" s="509"/>
      <c r="G33" s="510"/>
      <c r="H33" s="510"/>
      <c r="I33" s="510"/>
      <c r="J33" s="511"/>
      <c r="K33" s="487"/>
      <c r="L33" s="487"/>
      <c r="M33" s="487"/>
      <c r="N33" s="487"/>
      <c r="O33" s="483"/>
      <c r="P33" s="484"/>
      <c r="Q33" s="484"/>
      <c r="R33" s="484"/>
      <c r="S33" s="484"/>
      <c r="T33" s="484"/>
      <c r="U33" s="484"/>
      <c r="V33" s="484"/>
      <c r="W33" s="514"/>
      <c r="X33" s="485"/>
    </row>
  </sheetData>
  <mergeCells count="49">
    <mergeCell ref="L5:W5"/>
    <mergeCell ref="X5:X6"/>
    <mergeCell ref="A1:W1"/>
    <mergeCell ref="Y1:Y29"/>
    <mergeCell ref="A2:F2"/>
    <mergeCell ref="G2:H2"/>
    <mergeCell ref="I2:X3"/>
    <mergeCell ref="A3:F4"/>
    <mergeCell ref="G3:H3"/>
    <mergeCell ref="G4:H4"/>
    <mergeCell ref="I4:X4"/>
    <mergeCell ref="A5:A6"/>
    <mergeCell ref="B13:H13"/>
    <mergeCell ref="B5:H6"/>
    <mergeCell ref="I5:I6"/>
    <mergeCell ref="J5:J6"/>
    <mergeCell ref="K5:K6"/>
    <mergeCell ref="B7:H7"/>
    <mergeCell ref="B8:H8"/>
    <mergeCell ref="B10:H10"/>
    <mergeCell ref="B11:H11"/>
    <mergeCell ref="B12:H12"/>
    <mergeCell ref="B25:H25"/>
    <mergeCell ref="B14:H14"/>
    <mergeCell ref="B15:H15"/>
    <mergeCell ref="B16:H16"/>
    <mergeCell ref="B17:H17"/>
    <mergeCell ref="B18:H18"/>
    <mergeCell ref="B19:H19"/>
    <mergeCell ref="B20:G20"/>
    <mergeCell ref="B21:G21"/>
    <mergeCell ref="B22:G22"/>
    <mergeCell ref="B23:G23"/>
    <mergeCell ref="B24:H24"/>
    <mergeCell ref="B26:H26"/>
    <mergeCell ref="B27:H27"/>
    <mergeCell ref="B28:H28"/>
    <mergeCell ref="A29:E29"/>
    <mergeCell ref="F29:J29"/>
    <mergeCell ref="X30:X33"/>
    <mergeCell ref="K32:K33"/>
    <mergeCell ref="L32:N33"/>
    <mergeCell ref="O29:W29"/>
    <mergeCell ref="A30:E33"/>
    <mergeCell ref="F30:J33"/>
    <mergeCell ref="K30:K31"/>
    <mergeCell ref="L30:N31"/>
    <mergeCell ref="O30:W33"/>
    <mergeCell ref="K29:N29"/>
  </mergeCells>
  <printOptions horizontalCentered="1" verticalCentered="1"/>
  <pageMargins left="0" right="0" top="0" bottom="0" header="0" footer="0"/>
  <pageSetup scale="40" orientation="landscape"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9580-FF76-43EE-B1FB-B255F854EBA6}">
  <dimension ref="A1:AD19"/>
  <sheetViews>
    <sheetView rightToLeft="1" zoomScale="90" zoomScaleNormal="90" zoomScaleSheetLayoutView="80" workbookViewId="0">
      <selection activeCell="AD8" sqref="AD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7.42578125" style="21" customWidth="1"/>
    <col min="6" max="6" width="1.7109375" style="21" customWidth="1"/>
    <col min="7" max="7" width="14.42578125" style="21" hidden="1" customWidth="1"/>
    <col min="8" max="8" width="17.28515625" style="21" customWidth="1"/>
    <col min="9" max="9" width="18.7109375" style="21" customWidth="1"/>
    <col min="10" max="10" width="32.7109375" style="21" customWidth="1"/>
    <col min="11" max="11" width="21.42578125" style="21" customWidth="1"/>
    <col min="12" max="13" width="4.7109375" style="21" customWidth="1"/>
    <col min="14" max="14" width="4.42578125" style="21" customWidth="1"/>
    <col min="15" max="23" width="4.7109375" style="21" customWidth="1"/>
    <col min="24" max="24" width="4.42578125" style="21" bestFit="1" customWidth="1"/>
    <col min="25" max="25" width="7.140625" style="21" customWidth="1"/>
    <col min="26" max="26" width="32.1406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392</v>
      </c>
      <c r="B3" s="456"/>
      <c r="C3" s="456"/>
      <c r="D3" s="456"/>
      <c r="E3" s="456"/>
      <c r="F3" s="456"/>
      <c r="G3" s="457" t="s">
        <v>3</v>
      </c>
      <c r="H3" s="457"/>
      <c r="I3" s="458" t="s">
        <v>393</v>
      </c>
      <c r="J3" s="458"/>
      <c r="K3" s="458"/>
      <c r="L3" s="458"/>
      <c r="M3" s="458"/>
      <c r="N3" s="458"/>
      <c r="O3" s="458"/>
      <c r="P3" s="458"/>
      <c r="Q3" s="458"/>
      <c r="R3" s="458"/>
      <c r="S3" s="458"/>
      <c r="T3" s="458"/>
      <c r="U3" s="458"/>
      <c r="V3" s="458"/>
      <c r="W3" s="458"/>
      <c r="X3" s="458"/>
      <c r="Y3" s="458"/>
      <c r="Z3" s="459"/>
      <c r="AA3" s="451"/>
    </row>
    <row r="4" spans="1:30" s="3" customFormat="1" ht="28.5" customHeight="1">
      <c r="A4" s="460" t="s">
        <v>394</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395</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45">
      <c r="A8" s="7" t="s">
        <v>28</v>
      </c>
      <c r="B8" s="647" t="s">
        <v>396</v>
      </c>
      <c r="C8" s="647"/>
      <c r="D8" s="647"/>
      <c r="E8" s="647"/>
      <c r="F8" s="647"/>
      <c r="G8" s="647"/>
      <c r="H8" s="647"/>
      <c r="I8" s="169">
        <v>16.600000000000001</v>
      </c>
      <c r="J8" s="133" t="s">
        <v>397</v>
      </c>
      <c r="K8" s="133">
        <v>1</v>
      </c>
      <c r="L8" s="30"/>
      <c r="M8" s="30"/>
      <c r="N8" s="170"/>
      <c r="O8" s="30"/>
      <c r="P8" s="30"/>
      <c r="Q8" s="30"/>
      <c r="R8" s="30"/>
      <c r="S8" s="30"/>
      <c r="T8" s="30"/>
      <c r="U8" s="30"/>
      <c r="V8" s="30"/>
      <c r="W8" s="30"/>
      <c r="X8" s="475"/>
      <c r="Y8" s="475"/>
      <c r="Z8" s="476"/>
      <c r="AA8" s="451"/>
      <c r="AD8" s="14">
        <v>16.600000000000001</v>
      </c>
    </row>
    <row r="9" spans="1:30" s="14" customFormat="1" ht="45">
      <c r="A9" s="7" t="s">
        <v>66</v>
      </c>
      <c r="B9" s="647" t="s">
        <v>398</v>
      </c>
      <c r="C9" s="647"/>
      <c r="D9" s="647"/>
      <c r="E9" s="647"/>
      <c r="F9" s="647"/>
      <c r="G9" s="647"/>
      <c r="H9" s="647"/>
      <c r="I9" s="169">
        <v>16.600000000000001</v>
      </c>
      <c r="J9" s="133" t="s">
        <v>397</v>
      </c>
      <c r="K9" s="133">
        <v>2</v>
      </c>
      <c r="L9" s="30"/>
      <c r="M9" s="30"/>
      <c r="N9" s="30"/>
      <c r="O9" s="170"/>
      <c r="P9" s="30"/>
      <c r="Q9" s="30"/>
      <c r="R9" s="30"/>
      <c r="S9" s="30"/>
      <c r="T9" s="30"/>
      <c r="U9" s="30"/>
      <c r="V9" s="30"/>
      <c r="W9" s="30"/>
      <c r="X9" s="475"/>
      <c r="Y9" s="475"/>
      <c r="Z9" s="476"/>
      <c r="AA9" s="451"/>
    </row>
    <row r="10" spans="1:30" s="14" customFormat="1" ht="45">
      <c r="A10" s="7" t="s">
        <v>68</v>
      </c>
      <c r="B10" s="647" t="s">
        <v>399</v>
      </c>
      <c r="C10" s="647"/>
      <c r="D10" s="647"/>
      <c r="E10" s="647"/>
      <c r="F10" s="647"/>
      <c r="G10" s="647"/>
      <c r="H10" s="647"/>
      <c r="I10" s="169">
        <v>16.600000000000001</v>
      </c>
      <c r="J10" s="133" t="s">
        <v>397</v>
      </c>
      <c r="K10" s="133">
        <v>3</v>
      </c>
      <c r="L10" s="30"/>
      <c r="M10" s="30"/>
      <c r="N10" s="30"/>
      <c r="O10" s="30"/>
      <c r="P10" s="170"/>
      <c r="Q10" s="170"/>
      <c r="R10" s="30"/>
      <c r="S10" s="30"/>
      <c r="T10" s="30"/>
      <c r="U10" s="30"/>
      <c r="V10" s="30"/>
      <c r="W10" s="30"/>
      <c r="X10" s="468"/>
      <c r="Y10" s="468"/>
      <c r="Z10" s="469"/>
      <c r="AA10" s="451"/>
    </row>
    <row r="11" spans="1:30" s="14" customFormat="1" ht="45">
      <c r="A11" s="7" t="s">
        <v>70</v>
      </c>
      <c r="B11" s="648" t="s">
        <v>400</v>
      </c>
      <c r="C11" s="649"/>
      <c r="D11" s="649"/>
      <c r="E11" s="649"/>
      <c r="F11" s="649"/>
      <c r="G11" s="649"/>
      <c r="H11" s="650"/>
      <c r="I11" s="169">
        <v>16.600000000000001</v>
      </c>
      <c r="J11" s="133" t="s">
        <v>397</v>
      </c>
      <c r="K11" s="133">
        <v>4</v>
      </c>
      <c r="L11" s="30"/>
      <c r="M11" s="30"/>
      <c r="N11" s="30"/>
      <c r="O11" s="30"/>
      <c r="P11" s="30"/>
      <c r="Q11" s="30"/>
      <c r="R11" s="170"/>
      <c r="S11" s="30"/>
      <c r="T11" s="30"/>
      <c r="U11" s="30"/>
      <c r="V11" s="30"/>
      <c r="W11" s="30"/>
      <c r="X11" s="468"/>
      <c r="Y11" s="468"/>
      <c r="Z11" s="469"/>
      <c r="AA11" s="451"/>
    </row>
    <row r="12" spans="1:30" s="14" customFormat="1" ht="39.75" customHeight="1">
      <c r="A12" s="7" t="s">
        <v>153</v>
      </c>
      <c r="B12" s="648" t="s">
        <v>401</v>
      </c>
      <c r="C12" s="649"/>
      <c r="D12" s="649"/>
      <c r="E12" s="649"/>
      <c r="F12" s="649"/>
      <c r="G12" s="649"/>
      <c r="H12" s="650"/>
      <c r="I12" s="169">
        <v>16.600000000000001</v>
      </c>
      <c r="J12" s="133" t="s">
        <v>397</v>
      </c>
      <c r="K12" s="133">
        <v>5</v>
      </c>
      <c r="L12" s="30"/>
      <c r="M12" s="30"/>
      <c r="N12" s="30"/>
      <c r="O12" s="30"/>
      <c r="P12" s="30"/>
      <c r="Q12" s="30"/>
      <c r="R12" s="170"/>
      <c r="S12" s="30"/>
      <c r="T12" s="30"/>
      <c r="U12" s="30"/>
      <c r="V12" s="30"/>
      <c r="W12" s="30"/>
      <c r="X12" s="475"/>
      <c r="Y12" s="475"/>
      <c r="Z12" s="476"/>
      <c r="AA12" s="451"/>
    </row>
    <row r="13" spans="1:30" s="14" customFormat="1" ht="41.25" customHeight="1">
      <c r="A13" s="7" t="s">
        <v>155</v>
      </c>
      <c r="B13" s="647" t="s">
        <v>402</v>
      </c>
      <c r="C13" s="647"/>
      <c r="D13" s="647"/>
      <c r="E13" s="647"/>
      <c r="F13" s="647"/>
      <c r="G13" s="647"/>
      <c r="H13" s="647"/>
      <c r="I13" s="169">
        <v>16.600000000000001</v>
      </c>
      <c r="J13" s="133" t="s">
        <v>397</v>
      </c>
      <c r="K13" s="133">
        <v>6</v>
      </c>
      <c r="L13" s="30"/>
      <c r="M13" s="30"/>
      <c r="N13" s="30"/>
      <c r="O13" s="30"/>
      <c r="P13" s="30"/>
      <c r="Q13" s="30"/>
      <c r="R13" s="30"/>
      <c r="S13" s="170"/>
      <c r="T13" s="170"/>
      <c r="U13" s="30"/>
      <c r="V13" s="30"/>
      <c r="W13" s="30"/>
      <c r="X13" s="468"/>
      <c r="Y13" s="468"/>
      <c r="Z13" s="469"/>
      <c r="AA13" s="451"/>
    </row>
    <row r="14" spans="1:30"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30"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30"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2">
    <mergeCell ref="A1:Y1"/>
    <mergeCell ref="AA1:AA14"/>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B11:H11"/>
    <mergeCell ref="X11:Z11"/>
    <mergeCell ref="B12:H12"/>
    <mergeCell ref="X12:Z12"/>
    <mergeCell ref="B13:H13"/>
    <mergeCell ref="X13:Z13"/>
    <mergeCell ref="X15:Z18"/>
    <mergeCell ref="K17:K18"/>
    <mergeCell ref="L17:N18"/>
    <mergeCell ref="A14:E14"/>
    <mergeCell ref="F14:J14"/>
    <mergeCell ref="K14:N14"/>
    <mergeCell ref="O14:W14"/>
    <mergeCell ref="X14:Z14"/>
    <mergeCell ref="A15:E18"/>
    <mergeCell ref="F15:J18"/>
    <mergeCell ref="K15:K16"/>
    <mergeCell ref="L15:N16"/>
    <mergeCell ref="O15:W18"/>
  </mergeCells>
  <printOptions horizontalCentered="1" verticalCentered="1"/>
  <pageMargins left="0" right="0" top="0" bottom="0" header="0" footer="0"/>
  <pageSetup scale="40" orientation="landscape"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BBDD-9B88-4073-9332-561908793685}">
  <dimension ref="A1:AA18"/>
  <sheetViews>
    <sheetView rightToLeft="1" zoomScale="90" zoomScaleNormal="90" zoomScaleSheetLayoutView="70" workbookViewId="0">
      <selection activeCell="AI7" sqref="AI7"/>
    </sheetView>
  </sheetViews>
  <sheetFormatPr defaultColWidth="9.140625" defaultRowHeight="18"/>
  <cols>
    <col min="1" max="1" width="6.7109375" style="21" customWidth="1"/>
    <col min="2" max="2" width="9.140625" style="21"/>
    <col min="3" max="3" width="8.42578125" style="21" customWidth="1"/>
    <col min="4" max="4" width="17.5703125" style="21" customWidth="1"/>
    <col min="5" max="5" width="22.7109375" style="21" customWidth="1"/>
    <col min="6" max="6" width="8.5703125" style="21" customWidth="1"/>
    <col min="7" max="7" width="1.140625" style="21" customWidth="1"/>
    <col min="8" max="8" width="29"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33"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378</v>
      </c>
      <c r="B3" s="456"/>
      <c r="C3" s="456"/>
      <c r="D3" s="456"/>
      <c r="E3" s="456"/>
      <c r="F3" s="456"/>
      <c r="G3" s="457" t="s">
        <v>3</v>
      </c>
      <c r="H3" s="457"/>
      <c r="I3" s="458" t="s">
        <v>379</v>
      </c>
      <c r="J3" s="458"/>
      <c r="K3" s="458"/>
      <c r="L3" s="458"/>
      <c r="M3" s="458"/>
      <c r="N3" s="458"/>
      <c r="O3" s="458"/>
      <c r="P3" s="458"/>
      <c r="Q3" s="458"/>
      <c r="R3" s="458"/>
      <c r="S3" s="458"/>
      <c r="T3" s="458"/>
      <c r="U3" s="458"/>
      <c r="V3" s="458"/>
      <c r="W3" s="458"/>
      <c r="X3" s="458"/>
      <c r="Y3" s="458"/>
      <c r="Z3" s="459"/>
      <c r="AA3" s="451"/>
    </row>
    <row r="4" spans="1:27" s="3" customFormat="1" ht="28.5" customHeight="1">
      <c r="A4" s="460" t="s">
        <v>380</v>
      </c>
      <c r="B4" s="461"/>
      <c r="C4" s="461"/>
      <c r="D4" s="461"/>
      <c r="E4" s="461"/>
      <c r="F4" s="462"/>
      <c r="G4" s="457" t="s">
        <v>381</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382</v>
      </c>
      <c r="H5" s="456"/>
      <c r="I5" s="456" t="s">
        <v>383</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24">
      <c r="A8" s="7" t="s">
        <v>28</v>
      </c>
      <c r="B8" s="647" t="s">
        <v>384</v>
      </c>
      <c r="C8" s="647"/>
      <c r="D8" s="647"/>
      <c r="E8" s="647"/>
      <c r="F8" s="647"/>
      <c r="G8" s="647"/>
      <c r="H8" s="647"/>
      <c r="I8" s="132">
        <v>20</v>
      </c>
      <c r="J8" s="133" t="s">
        <v>385</v>
      </c>
      <c r="K8" s="10"/>
      <c r="L8" s="30"/>
      <c r="M8" s="30"/>
      <c r="N8" s="30"/>
      <c r="O8" s="30"/>
      <c r="P8" s="30"/>
      <c r="Q8" s="30"/>
      <c r="R8" s="30"/>
      <c r="S8" s="30"/>
      <c r="T8" s="168"/>
      <c r="U8" s="30"/>
      <c r="V8" s="30"/>
      <c r="W8" s="30"/>
      <c r="X8" s="475"/>
      <c r="Y8" s="475"/>
      <c r="Z8" s="476"/>
      <c r="AA8" s="451"/>
    </row>
    <row r="9" spans="1:27" s="14" customFormat="1" ht="24">
      <c r="A9" s="7" t="s">
        <v>66</v>
      </c>
      <c r="B9" s="647" t="s">
        <v>386</v>
      </c>
      <c r="C9" s="647"/>
      <c r="D9" s="647"/>
      <c r="E9" s="647"/>
      <c r="F9" s="647"/>
      <c r="G9" s="647"/>
      <c r="H9" s="647"/>
      <c r="I9" s="132">
        <v>20</v>
      </c>
      <c r="J9" s="133" t="s">
        <v>385</v>
      </c>
      <c r="K9" s="10"/>
      <c r="L9" s="30"/>
      <c r="M9" s="30"/>
      <c r="N9" s="30"/>
      <c r="O9" s="30"/>
      <c r="P9" s="30"/>
      <c r="Q9" s="30"/>
      <c r="R9" s="30"/>
      <c r="S9" s="30"/>
      <c r="T9" s="30"/>
      <c r="U9" s="168"/>
      <c r="V9" s="30"/>
      <c r="W9" s="30"/>
      <c r="X9" s="475"/>
      <c r="Y9" s="475"/>
      <c r="Z9" s="476"/>
      <c r="AA9" s="451"/>
    </row>
    <row r="10" spans="1:27" s="14" customFormat="1" ht="24">
      <c r="A10" s="7" t="s">
        <v>68</v>
      </c>
      <c r="B10" s="647" t="s">
        <v>387</v>
      </c>
      <c r="C10" s="647"/>
      <c r="D10" s="647"/>
      <c r="E10" s="647"/>
      <c r="F10" s="647"/>
      <c r="G10" s="647"/>
      <c r="H10" s="647"/>
      <c r="I10" s="132">
        <v>30</v>
      </c>
      <c r="J10" s="133" t="s">
        <v>388</v>
      </c>
      <c r="K10" s="10"/>
      <c r="L10" s="30"/>
      <c r="M10" s="30"/>
      <c r="N10" s="30"/>
      <c r="O10" s="30"/>
      <c r="P10" s="30"/>
      <c r="Q10" s="30"/>
      <c r="R10" s="30"/>
      <c r="S10" s="30"/>
      <c r="T10" s="30"/>
      <c r="U10" s="30"/>
      <c r="V10" s="168"/>
      <c r="W10" s="168"/>
      <c r="X10" s="468"/>
      <c r="Y10" s="468"/>
      <c r="Z10" s="469"/>
      <c r="AA10" s="451"/>
    </row>
    <row r="11" spans="1:27" s="14" customFormat="1" ht="45">
      <c r="A11" s="7" t="s">
        <v>70</v>
      </c>
      <c r="B11" s="647" t="s">
        <v>389</v>
      </c>
      <c r="C11" s="647"/>
      <c r="D11" s="647"/>
      <c r="E11" s="647"/>
      <c r="F11" s="647"/>
      <c r="G11" s="647"/>
      <c r="H11" s="647"/>
      <c r="I11" s="132">
        <v>10</v>
      </c>
      <c r="J11" s="133" t="s">
        <v>390</v>
      </c>
      <c r="K11" s="10"/>
      <c r="L11" s="30"/>
      <c r="M11" s="30"/>
      <c r="N11" s="30"/>
      <c r="O11" s="30"/>
      <c r="P11" s="30"/>
      <c r="Q11" s="30"/>
      <c r="R11" s="30"/>
      <c r="S11" s="30"/>
      <c r="T11" s="30"/>
      <c r="U11" s="30"/>
      <c r="V11" s="168"/>
      <c r="W11" s="168"/>
      <c r="X11" s="468"/>
      <c r="Y11" s="468"/>
      <c r="Z11" s="469"/>
      <c r="AA11" s="451"/>
    </row>
    <row r="12" spans="1:27" s="14" customFormat="1" ht="24">
      <c r="A12" s="7" t="s">
        <v>153</v>
      </c>
      <c r="B12" s="647" t="s">
        <v>391</v>
      </c>
      <c r="C12" s="647"/>
      <c r="D12" s="647"/>
      <c r="E12" s="647"/>
      <c r="F12" s="647"/>
      <c r="G12" s="647"/>
      <c r="H12" s="647"/>
      <c r="I12" s="132">
        <v>20</v>
      </c>
      <c r="J12" s="133" t="s">
        <v>388</v>
      </c>
      <c r="K12" s="10"/>
      <c r="L12" s="30"/>
      <c r="M12" s="30"/>
      <c r="N12" s="30"/>
      <c r="O12" s="30"/>
      <c r="P12" s="30"/>
      <c r="Q12" s="30"/>
      <c r="R12" s="30"/>
      <c r="S12" s="30"/>
      <c r="T12" s="30"/>
      <c r="U12" s="30"/>
      <c r="V12" s="168"/>
      <c r="W12" s="168"/>
      <c r="X12" s="475"/>
      <c r="Y12" s="475"/>
      <c r="Z12" s="476"/>
      <c r="AA12" s="451"/>
    </row>
    <row r="13" spans="1:27" ht="32.2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27"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7"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7"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X11:Z11"/>
    <mergeCell ref="B12:H12"/>
    <mergeCell ref="X12:Z12"/>
    <mergeCell ref="A13:E13"/>
    <mergeCell ref="F13:J13"/>
    <mergeCell ref="K13:N13"/>
    <mergeCell ref="O13:W13"/>
    <mergeCell ref="X13:Z13"/>
  </mergeCells>
  <printOptions horizontalCentered="1" verticalCentered="1"/>
  <pageMargins left="0" right="0" top="0" bottom="0" header="0" footer="0"/>
  <pageSetup scale="40" orientation="landscape"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8658-2A7B-4A8A-A553-1A5F2671945A}">
  <dimension ref="A1:AC17"/>
  <sheetViews>
    <sheetView rightToLeft="1" zoomScale="70" zoomScaleNormal="70" zoomScaleSheetLayoutView="90" workbookViewId="0">
      <selection activeCell="AC9" sqref="AC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31.7109375"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369</v>
      </c>
      <c r="B3" s="456"/>
      <c r="C3" s="456"/>
      <c r="D3" s="456"/>
      <c r="E3" s="456"/>
      <c r="F3" s="456"/>
      <c r="G3" s="457" t="s">
        <v>3</v>
      </c>
      <c r="H3" s="457"/>
      <c r="I3" s="458" t="s">
        <v>370</v>
      </c>
      <c r="J3" s="458"/>
      <c r="K3" s="458"/>
      <c r="L3" s="458"/>
      <c r="M3" s="458"/>
      <c r="N3" s="458"/>
      <c r="O3" s="458"/>
      <c r="P3" s="458"/>
      <c r="Q3" s="458"/>
      <c r="R3" s="458"/>
      <c r="S3" s="458"/>
      <c r="T3" s="458"/>
      <c r="U3" s="458"/>
      <c r="V3" s="458"/>
      <c r="W3" s="458"/>
      <c r="X3" s="458"/>
      <c r="Y3" s="458"/>
      <c r="Z3" s="459"/>
      <c r="AA3" s="451"/>
    </row>
    <row r="4" spans="1:29" s="3" customFormat="1" ht="28.5" customHeight="1">
      <c r="A4" s="460" t="s">
        <v>371</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372</v>
      </c>
      <c r="C8" s="647"/>
      <c r="D8" s="647"/>
      <c r="E8" s="647"/>
      <c r="F8" s="647"/>
      <c r="G8" s="647"/>
      <c r="H8" s="647"/>
      <c r="I8" s="132">
        <v>20</v>
      </c>
      <c r="J8" s="133" t="s">
        <v>373</v>
      </c>
      <c r="K8" s="10"/>
      <c r="L8" s="161"/>
      <c r="M8" s="161"/>
      <c r="N8" s="161"/>
      <c r="O8" s="161"/>
      <c r="P8" s="161"/>
      <c r="Q8" s="30"/>
      <c r="R8" s="30"/>
      <c r="S8" s="30"/>
      <c r="T8" s="30"/>
      <c r="U8" s="30"/>
      <c r="V8" s="30"/>
      <c r="W8" s="30"/>
      <c r="X8" s="475"/>
      <c r="Y8" s="475"/>
      <c r="Z8" s="476"/>
      <c r="AA8" s="451"/>
      <c r="AC8" s="14">
        <f>(20/5)*4</f>
        <v>16</v>
      </c>
    </row>
    <row r="9" spans="1:29" s="14" customFormat="1" ht="37.5">
      <c r="A9" s="7" t="s">
        <v>66</v>
      </c>
      <c r="B9" s="647" t="s">
        <v>374</v>
      </c>
      <c r="C9" s="647"/>
      <c r="D9" s="647"/>
      <c r="E9" s="647"/>
      <c r="F9" s="647"/>
      <c r="G9" s="647"/>
      <c r="H9" s="647"/>
      <c r="I9" s="132">
        <v>30</v>
      </c>
      <c r="J9" s="167" t="s">
        <v>375</v>
      </c>
      <c r="K9" s="10"/>
      <c r="L9" s="30"/>
      <c r="M9" s="30"/>
      <c r="N9" s="30"/>
      <c r="O9" s="161"/>
      <c r="P9" s="161"/>
      <c r="Q9" s="161"/>
      <c r="R9" s="161"/>
      <c r="S9" s="30"/>
      <c r="T9" s="30"/>
      <c r="U9" s="30"/>
      <c r="V9" s="30"/>
      <c r="W9" s="30"/>
      <c r="X9" s="475"/>
      <c r="Y9" s="475"/>
      <c r="Z9" s="476"/>
      <c r="AA9" s="451"/>
    </row>
    <row r="10" spans="1:29" s="14" customFormat="1" ht="24">
      <c r="A10" s="7" t="s">
        <v>68</v>
      </c>
      <c r="B10" s="647" t="s">
        <v>376</v>
      </c>
      <c r="C10" s="647"/>
      <c r="D10" s="647"/>
      <c r="E10" s="647"/>
      <c r="F10" s="647"/>
      <c r="G10" s="647"/>
      <c r="H10" s="647"/>
      <c r="I10" s="132">
        <v>20</v>
      </c>
      <c r="J10" s="133" t="s">
        <v>323</v>
      </c>
      <c r="K10" s="10"/>
      <c r="L10" s="30"/>
      <c r="M10" s="30"/>
      <c r="N10" s="30"/>
      <c r="O10" s="30"/>
      <c r="P10" s="30"/>
      <c r="Q10" s="30"/>
      <c r="R10" s="161"/>
      <c r="S10" s="161"/>
      <c r="T10" s="30"/>
      <c r="U10" s="30"/>
      <c r="V10" s="30"/>
      <c r="W10" s="30"/>
      <c r="X10" s="468"/>
      <c r="Y10" s="468"/>
      <c r="Z10" s="469"/>
      <c r="AA10" s="451"/>
    </row>
    <row r="11" spans="1:29" s="14" customFormat="1" ht="24">
      <c r="A11" s="7" t="s">
        <v>70</v>
      </c>
      <c r="B11" s="647" t="s">
        <v>377</v>
      </c>
      <c r="C11" s="647"/>
      <c r="D11" s="647"/>
      <c r="E11" s="647"/>
      <c r="F11" s="647"/>
      <c r="G11" s="647"/>
      <c r="H11" s="647"/>
      <c r="I11" s="132">
        <v>30</v>
      </c>
      <c r="J11" s="133" t="s">
        <v>275</v>
      </c>
      <c r="K11" s="10"/>
      <c r="L11" s="30"/>
      <c r="M11" s="30"/>
      <c r="N11" s="30"/>
      <c r="O11" s="162"/>
      <c r="P11" s="162"/>
      <c r="Q11" s="162"/>
      <c r="R11" s="161"/>
      <c r="S11" s="161"/>
      <c r="T11" s="161"/>
      <c r="U11" s="161"/>
      <c r="V11" s="161"/>
      <c r="W11" s="161"/>
      <c r="X11" s="468"/>
      <c r="Y11" s="468"/>
      <c r="Z11" s="469"/>
      <c r="AA11" s="451"/>
    </row>
    <row r="12" spans="1:29" ht="57.75" customHeight="1">
      <c r="A12" s="488" t="s">
        <v>42</v>
      </c>
      <c r="B12" s="489"/>
      <c r="C12" s="489"/>
      <c r="D12" s="489"/>
      <c r="E12" s="490"/>
      <c r="F12" s="472" t="s">
        <v>43</v>
      </c>
      <c r="G12" s="472"/>
      <c r="H12" s="472"/>
      <c r="I12" s="472"/>
      <c r="J12" s="472"/>
      <c r="K12" s="472" t="s">
        <v>44</v>
      </c>
      <c r="L12" s="472"/>
      <c r="M12" s="472"/>
      <c r="N12" s="472"/>
      <c r="O12" s="491" t="s">
        <v>45</v>
      </c>
      <c r="P12" s="492"/>
      <c r="Q12" s="492"/>
      <c r="R12" s="492"/>
      <c r="S12" s="492"/>
      <c r="T12" s="492"/>
      <c r="U12" s="492"/>
      <c r="V12" s="492"/>
      <c r="W12" s="493"/>
      <c r="X12" s="472" t="s">
        <v>46</v>
      </c>
      <c r="Y12" s="472"/>
      <c r="Z12" s="472"/>
      <c r="AA12" s="451"/>
    </row>
    <row r="13" spans="1:29" s="20" customFormat="1" ht="28.5">
      <c r="A13" s="494"/>
      <c r="B13" s="495"/>
      <c r="C13" s="495"/>
      <c r="D13" s="495"/>
      <c r="E13" s="496"/>
      <c r="F13" s="503"/>
      <c r="G13" s="504"/>
      <c r="H13" s="504"/>
      <c r="I13" s="504"/>
      <c r="J13" s="505"/>
      <c r="K13" s="486" t="s">
        <v>47</v>
      </c>
      <c r="L13" s="486"/>
      <c r="M13" s="486"/>
      <c r="N13" s="486"/>
      <c r="O13" s="477"/>
      <c r="P13" s="478"/>
      <c r="Q13" s="478"/>
      <c r="R13" s="478"/>
      <c r="S13" s="478"/>
      <c r="T13" s="478"/>
      <c r="U13" s="478"/>
      <c r="V13" s="478"/>
      <c r="W13" s="512"/>
      <c r="X13" s="477"/>
      <c r="Y13" s="478"/>
      <c r="Z13" s="479"/>
    </row>
    <row r="14" spans="1:29" s="20" customFormat="1" ht="28.5">
      <c r="A14" s="497"/>
      <c r="B14" s="498"/>
      <c r="C14" s="498"/>
      <c r="D14" s="498"/>
      <c r="E14" s="499"/>
      <c r="F14" s="506"/>
      <c r="G14" s="507"/>
      <c r="H14" s="507"/>
      <c r="I14" s="507"/>
      <c r="J14" s="508"/>
      <c r="K14" s="486"/>
      <c r="L14" s="486"/>
      <c r="M14" s="486"/>
      <c r="N14" s="486"/>
      <c r="O14" s="480"/>
      <c r="P14" s="481"/>
      <c r="Q14" s="481"/>
      <c r="R14" s="481"/>
      <c r="S14" s="481"/>
      <c r="T14" s="481"/>
      <c r="U14" s="481"/>
      <c r="V14" s="481"/>
      <c r="W14" s="513"/>
      <c r="X14" s="480"/>
      <c r="Y14" s="481"/>
      <c r="Z14" s="482"/>
    </row>
    <row r="15" spans="1:29" s="20" customFormat="1" ht="28.5">
      <c r="A15" s="497"/>
      <c r="B15" s="498"/>
      <c r="C15" s="498"/>
      <c r="D15" s="498"/>
      <c r="E15" s="499"/>
      <c r="F15" s="506"/>
      <c r="G15" s="507"/>
      <c r="H15" s="507"/>
      <c r="I15" s="507"/>
      <c r="J15" s="508"/>
      <c r="K15" s="486" t="s">
        <v>48</v>
      </c>
      <c r="L15" s="486"/>
      <c r="M15" s="486"/>
      <c r="N15" s="486"/>
      <c r="O15" s="480"/>
      <c r="P15" s="481"/>
      <c r="Q15" s="481"/>
      <c r="R15" s="481"/>
      <c r="S15" s="481"/>
      <c r="T15" s="481"/>
      <c r="U15" s="481"/>
      <c r="V15" s="481"/>
      <c r="W15" s="513"/>
      <c r="X15" s="480"/>
      <c r="Y15" s="481"/>
      <c r="Z15" s="482"/>
    </row>
    <row r="16" spans="1:29" s="20" customFormat="1" ht="29.25" thickBot="1">
      <c r="A16" s="500"/>
      <c r="B16" s="501"/>
      <c r="C16" s="501"/>
      <c r="D16" s="501"/>
      <c r="E16" s="502"/>
      <c r="F16" s="509"/>
      <c r="G16" s="510"/>
      <c r="H16" s="510"/>
      <c r="I16" s="510"/>
      <c r="J16" s="511"/>
      <c r="K16" s="487"/>
      <c r="L16" s="487"/>
      <c r="M16" s="487"/>
      <c r="N16" s="487"/>
      <c r="O16" s="483"/>
      <c r="P16" s="484"/>
      <c r="Q16" s="484"/>
      <c r="R16" s="484"/>
      <c r="S16" s="484"/>
      <c r="T16" s="484"/>
      <c r="U16" s="484"/>
      <c r="V16" s="484"/>
      <c r="W16" s="514"/>
      <c r="X16" s="483"/>
      <c r="Y16" s="484"/>
      <c r="Z16" s="485"/>
    </row>
    <row r="17" ht="18.75" thickTop="1"/>
  </sheetData>
  <mergeCells count="38">
    <mergeCell ref="O13:W16"/>
    <mergeCell ref="A1:Y1"/>
    <mergeCell ref="AA1:AA12"/>
    <mergeCell ref="A2:Z2"/>
    <mergeCell ref="A3:F3"/>
    <mergeCell ref="G3:H3"/>
    <mergeCell ref="I3:Z4"/>
    <mergeCell ref="A4:F5"/>
    <mergeCell ref="G4:H4"/>
    <mergeCell ref="G5:H5"/>
    <mergeCell ref="I5:Z5"/>
    <mergeCell ref="B10:H10"/>
    <mergeCell ref="X10:Z10"/>
    <mergeCell ref="A6:A7"/>
    <mergeCell ref="B6:H7"/>
    <mergeCell ref="I6:I7"/>
    <mergeCell ref="K6:K7"/>
    <mergeCell ref="L6:W6"/>
    <mergeCell ref="X6:Z7"/>
    <mergeCell ref="B8:H8"/>
    <mergeCell ref="X8:Z8"/>
    <mergeCell ref="J6:J7"/>
    <mergeCell ref="B9:H9"/>
    <mergeCell ref="X9:Z9"/>
    <mergeCell ref="X13:Z16"/>
    <mergeCell ref="K15:K16"/>
    <mergeCell ref="L15:N16"/>
    <mergeCell ref="B11:H11"/>
    <mergeCell ref="X11:Z11"/>
    <mergeCell ref="A12:E12"/>
    <mergeCell ref="F12:J12"/>
    <mergeCell ref="K12:N12"/>
    <mergeCell ref="O12:W12"/>
    <mergeCell ref="X12:Z12"/>
    <mergeCell ref="A13:E16"/>
    <mergeCell ref="F13:J16"/>
    <mergeCell ref="K13:K14"/>
    <mergeCell ref="L13:N14"/>
  </mergeCells>
  <printOptions horizontalCentered="1" verticalCentered="1"/>
  <pageMargins left="0.25" right="0.25" top="0.75" bottom="0.75" header="0.3" footer="0.3"/>
  <pageSetup scale="39"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3DB6-4677-4E04-AC1D-7152C8BB624B}">
  <dimension ref="A1:AC19"/>
  <sheetViews>
    <sheetView rightToLeft="1" zoomScale="70" zoomScaleNormal="70" zoomScaleSheetLayoutView="70" workbookViewId="0">
      <selection activeCell="AC14" sqref="AC14"/>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9"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360</v>
      </c>
      <c r="B3" s="456"/>
      <c r="C3" s="456"/>
      <c r="D3" s="456"/>
      <c r="E3" s="456"/>
      <c r="F3" s="456"/>
      <c r="G3" s="457" t="s">
        <v>3</v>
      </c>
      <c r="H3" s="457"/>
      <c r="I3" s="458" t="s">
        <v>349</v>
      </c>
      <c r="J3" s="458"/>
      <c r="K3" s="458"/>
      <c r="L3" s="458"/>
      <c r="M3" s="458"/>
      <c r="N3" s="458"/>
      <c r="O3" s="458"/>
      <c r="P3" s="458"/>
      <c r="Q3" s="458"/>
      <c r="R3" s="458"/>
      <c r="S3" s="458"/>
      <c r="T3" s="458"/>
      <c r="U3" s="458"/>
      <c r="V3" s="458"/>
      <c r="W3" s="458"/>
      <c r="X3" s="458"/>
      <c r="Y3" s="458"/>
      <c r="Z3" s="459"/>
      <c r="AA3" s="451"/>
    </row>
    <row r="4" spans="1:29" s="3" customFormat="1" ht="28.5" customHeight="1">
      <c r="A4" s="460" t="s">
        <v>321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361</v>
      </c>
      <c r="C8" s="647"/>
      <c r="D8" s="647"/>
      <c r="E8" s="647"/>
      <c r="F8" s="647"/>
      <c r="G8" s="647"/>
      <c r="H8" s="647"/>
      <c r="I8" s="132">
        <v>10</v>
      </c>
      <c r="J8" s="133" t="s">
        <v>323</v>
      </c>
      <c r="K8" s="10"/>
      <c r="L8" s="161"/>
      <c r="M8" s="161"/>
      <c r="N8" s="161"/>
      <c r="O8" s="161"/>
      <c r="P8" s="161"/>
      <c r="Q8" s="161"/>
      <c r="R8" s="161"/>
      <c r="S8" s="161"/>
      <c r="T8" s="161"/>
      <c r="U8" s="161"/>
      <c r="V8" s="161"/>
      <c r="W8" s="161"/>
      <c r="X8" s="475"/>
      <c r="Y8" s="475"/>
      <c r="Z8" s="476"/>
      <c r="AA8" s="451"/>
      <c r="AC8" s="14">
        <v>10</v>
      </c>
    </row>
    <row r="9" spans="1:29" s="14" customFormat="1" ht="24">
      <c r="A9" s="7" t="s">
        <v>66</v>
      </c>
      <c r="B9" s="647" t="s">
        <v>362</v>
      </c>
      <c r="C9" s="647"/>
      <c r="D9" s="647"/>
      <c r="E9" s="647"/>
      <c r="F9" s="647"/>
      <c r="G9" s="647"/>
      <c r="H9" s="647"/>
      <c r="I9" s="132">
        <v>10</v>
      </c>
      <c r="J9" s="133" t="s">
        <v>323</v>
      </c>
      <c r="K9" s="10"/>
      <c r="L9" s="161"/>
      <c r="M9" s="161"/>
      <c r="N9" s="161"/>
      <c r="O9" s="161"/>
      <c r="P9" s="161"/>
      <c r="Q9" s="161"/>
      <c r="R9" s="161"/>
      <c r="S9" s="161"/>
      <c r="T9" s="161"/>
      <c r="U9" s="161"/>
      <c r="V9" s="161"/>
      <c r="W9" s="161"/>
      <c r="X9" s="475"/>
      <c r="Y9" s="475"/>
      <c r="Z9" s="476"/>
      <c r="AA9" s="451"/>
      <c r="AC9" s="14">
        <v>10</v>
      </c>
    </row>
    <row r="10" spans="1:29" s="14" customFormat="1" ht="24">
      <c r="A10" s="7" t="s">
        <v>68</v>
      </c>
      <c r="B10" s="647" t="s">
        <v>363</v>
      </c>
      <c r="C10" s="647"/>
      <c r="D10" s="647"/>
      <c r="E10" s="647"/>
      <c r="F10" s="647"/>
      <c r="G10" s="647"/>
      <c r="H10" s="647"/>
      <c r="I10" s="132">
        <v>10</v>
      </c>
      <c r="J10" s="133" t="s">
        <v>323</v>
      </c>
      <c r="K10" s="10"/>
      <c r="L10" s="161"/>
      <c r="M10" s="161"/>
      <c r="N10" s="161"/>
      <c r="O10" s="161"/>
      <c r="P10" s="161"/>
      <c r="Q10" s="161"/>
      <c r="R10" s="161"/>
      <c r="S10" s="161"/>
      <c r="T10" s="161"/>
      <c r="U10" s="161"/>
      <c r="V10" s="161"/>
      <c r="W10" s="161"/>
      <c r="X10" s="468"/>
      <c r="Y10" s="468"/>
      <c r="Z10" s="469"/>
      <c r="AA10" s="451"/>
      <c r="AC10" s="14">
        <v>10</v>
      </c>
    </row>
    <row r="11" spans="1:29" s="14" customFormat="1" ht="24">
      <c r="A11" s="7" t="s">
        <v>70</v>
      </c>
      <c r="B11" s="647" t="s">
        <v>364</v>
      </c>
      <c r="C11" s="647"/>
      <c r="D11" s="647"/>
      <c r="E11" s="647"/>
      <c r="F11" s="647"/>
      <c r="G11" s="647"/>
      <c r="H11" s="647"/>
      <c r="I11" s="132">
        <v>30</v>
      </c>
      <c r="J11" s="167" t="s">
        <v>365</v>
      </c>
      <c r="K11" s="10"/>
      <c r="L11" s="162"/>
      <c r="M11" s="162"/>
      <c r="N11" s="162"/>
      <c r="O11" s="161"/>
      <c r="P11" s="161"/>
      <c r="Q11" s="161"/>
      <c r="R11" s="161"/>
      <c r="S11" s="161"/>
      <c r="T11" s="161"/>
      <c r="U11" s="161"/>
      <c r="V11" s="161"/>
      <c r="W11" s="161"/>
      <c r="X11" s="17"/>
      <c r="Y11" s="17"/>
      <c r="Z11" s="18"/>
      <c r="AA11" s="451"/>
    </row>
    <row r="12" spans="1:29" s="14" customFormat="1" ht="37.5">
      <c r="A12" s="7" t="s">
        <v>153</v>
      </c>
      <c r="B12" s="647" t="s">
        <v>366</v>
      </c>
      <c r="C12" s="647"/>
      <c r="D12" s="647"/>
      <c r="E12" s="647"/>
      <c r="F12" s="647"/>
      <c r="G12" s="647"/>
      <c r="H12" s="647"/>
      <c r="I12" s="132">
        <v>20</v>
      </c>
      <c r="J12" s="167" t="s">
        <v>367</v>
      </c>
      <c r="K12" s="10"/>
      <c r="L12" s="162"/>
      <c r="M12" s="162"/>
      <c r="N12" s="162"/>
      <c r="O12" s="161"/>
      <c r="P12" s="161"/>
      <c r="Q12" s="161"/>
      <c r="R12" s="161"/>
      <c r="S12" s="161"/>
      <c r="T12" s="161"/>
      <c r="U12" s="161"/>
      <c r="V12" s="161"/>
      <c r="W12" s="161"/>
      <c r="X12" s="17"/>
      <c r="Y12" s="17"/>
      <c r="Z12" s="18"/>
      <c r="AA12" s="451"/>
    </row>
    <row r="13" spans="1:29" s="14" customFormat="1" ht="24">
      <c r="A13" s="7" t="s">
        <v>155</v>
      </c>
      <c r="B13" s="647" t="s">
        <v>368</v>
      </c>
      <c r="C13" s="647"/>
      <c r="D13" s="647"/>
      <c r="E13" s="647"/>
      <c r="F13" s="647"/>
      <c r="G13" s="647"/>
      <c r="H13" s="647"/>
      <c r="I13" s="132">
        <v>20</v>
      </c>
      <c r="J13" s="133" t="s">
        <v>323</v>
      </c>
      <c r="K13" s="10"/>
      <c r="L13" s="161"/>
      <c r="M13" s="161"/>
      <c r="N13" s="161"/>
      <c r="O13" s="161"/>
      <c r="P13" s="161"/>
      <c r="Q13" s="161"/>
      <c r="R13" s="161"/>
      <c r="S13" s="161"/>
      <c r="T13" s="161"/>
      <c r="U13" s="161"/>
      <c r="V13" s="161"/>
      <c r="W13" s="161"/>
      <c r="X13" s="468"/>
      <c r="Y13" s="468"/>
      <c r="Z13" s="469"/>
      <c r="AA13" s="451"/>
      <c r="AC13" s="14">
        <f>(20/12)*3</f>
        <v>5</v>
      </c>
    </row>
    <row r="14" spans="1:29"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29"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29"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0">
    <mergeCell ref="A1:Y1"/>
    <mergeCell ref="AA1:AA14"/>
    <mergeCell ref="A2:Z2"/>
    <mergeCell ref="A3:F3"/>
    <mergeCell ref="G3:H3"/>
    <mergeCell ref="I3:Z4"/>
    <mergeCell ref="A4:F5"/>
    <mergeCell ref="G4:H4"/>
    <mergeCell ref="G5:H5"/>
    <mergeCell ref="I5:Z5"/>
    <mergeCell ref="B10:H10"/>
    <mergeCell ref="X10:Z10"/>
    <mergeCell ref="A6:A7"/>
    <mergeCell ref="B6:H7"/>
    <mergeCell ref="I6:I7"/>
    <mergeCell ref="J6:J7"/>
    <mergeCell ref="A15:E18"/>
    <mergeCell ref="F15:J18"/>
    <mergeCell ref="K6:K7"/>
    <mergeCell ref="L6:W6"/>
    <mergeCell ref="X6:Z7"/>
    <mergeCell ref="B8:H8"/>
    <mergeCell ref="X8:Z8"/>
    <mergeCell ref="K15:K16"/>
    <mergeCell ref="L15:N16"/>
    <mergeCell ref="O15:W18"/>
    <mergeCell ref="B9:H9"/>
    <mergeCell ref="X9:Z9"/>
    <mergeCell ref="X15:Z18"/>
    <mergeCell ref="K17:K18"/>
    <mergeCell ref="L17:N18"/>
    <mergeCell ref="B11:H11"/>
    <mergeCell ref="B12:H12"/>
    <mergeCell ref="B13:H13"/>
    <mergeCell ref="X13:Z13"/>
    <mergeCell ref="A14:E14"/>
    <mergeCell ref="F14:J14"/>
    <mergeCell ref="K14:N14"/>
    <mergeCell ref="O14:W14"/>
    <mergeCell ref="X14:Z14"/>
  </mergeCells>
  <printOptions horizontalCentered="1" verticalCentered="1"/>
  <pageMargins left="0.25" right="0.25" top="0.75" bottom="0.75" header="0.3" footer="0.3"/>
  <pageSetup scale="40" orientation="landscape"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0BD1C-7595-4F52-9832-500B20A97F20}">
  <dimension ref="A1:AC16"/>
  <sheetViews>
    <sheetView rightToLeft="1" zoomScale="70" zoomScaleNormal="70" zoomScaleSheetLayoutView="9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354</v>
      </c>
      <c r="B3" s="456"/>
      <c r="C3" s="456"/>
      <c r="D3" s="456"/>
      <c r="E3" s="456"/>
      <c r="F3" s="456"/>
      <c r="G3" s="457" t="s">
        <v>3</v>
      </c>
      <c r="H3" s="457"/>
      <c r="I3" s="458" t="s">
        <v>349</v>
      </c>
      <c r="J3" s="458"/>
      <c r="K3" s="458"/>
      <c r="L3" s="458"/>
      <c r="M3" s="458"/>
      <c r="N3" s="458"/>
      <c r="O3" s="458"/>
      <c r="P3" s="458"/>
      <c r="Q3" s="458"/>
      <c r="R3" s="458"/>
      <c r="S3" s="458"/>
      <c r="T3" s="458"/>
      <c r="U3" s="458"/>
      <c r="V3" s="458"/>
      <c r="W3" s="458"/>
      <c r="X3" s="458"/>
      <c r="Y3" s="458"/>
      <c r="Z3" s="459"/>
      <c r="AA3" s="451"/>
    </row>
    <row r="4" spans="1:29" s="3" customFormat="1" ht="28.5" customHeight="1">
      <c r="A4" s="460" t="s">
        <v>321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v>
      </c>
      <c r="H5" s="456"/>
      <c r="I5" s="456" t="s">
        <v>355</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36">
      <c r="A8" s="7" t="s">
        <v>28</v>
      </c>
      <c r="B8" s="647" t="s">
        <v>356</v>
      </c>
      <c r="C8" s="647"/>
      <c r="D8" s="647"/>
      <c r="E8" s="647"/>
      <c r="F8" s="647"/>
      <c r="G8" s="647"/>
      <c r="H8" s="647"/>
      <c r="I8" s="132">
        <v>40</v>
      </c>
      <c r="J8" s="166" t="s">
        <v>357</v>
      </c>
      <c r="K8" s="10"/>
      <c r="L8" s="161"/>
      <c r="M8" s="161"/>
      <c r="N8" s="161"/>
      <c r="O8" s="30"/>
      <c r="P8" s="30"/>
      <c r="Q8" s="30"/>
      <c r="R8" s="30"/>
      <c r="S8" s="30"/>
      <c r="T8" s="30"/>
      <c r="U8" s="30"/>
      <c r="V8" s="30"/>
      <c r="W8" s="30"/>
      <c r="X8" s="475"/>
      <c r="Y8" s="475"/>
      <c r="Z8" s="476"/>
      <c r="AA8" s="451"/>
      <c r="AC8" s="14">
        <v>40</v>
      </c>
    </row>
    <row r="9" spans="1:29" s="14" customFormat="1" ht="36">
      <c r="A9" s="7" t="s">
        <v>66</v>
      </c>
      <c r="B9" s="647" t="s">
        <v>358</v>
      </c>
      <c r="C9" s="647"/>
      <c r="D9" s="647"/>
      <c r="E9" s="647"/>
      <c r="F9" s="647"/>
      <c r="G9" s="647"/>
      <c r="H9" s="647"/>
      <c r="I9" s="132">
        <v>40</v>
      </c>
      <c r="J9" s="166" t="s">
        <v>357</v>
      </c>
      <c r="K9" s="10"/>
      <c r="L9" s="161"/>
      <c r="M9" s="161"/>
      <c r="N9" s="161"/>
      <c r="O9" s="161"/>
      <c r="P9" s="161"/>
      <c r="Q9" s="161"/>
      <c r="R9" s="30"/>
      <c r="S9" s="30"/>
      <c r="T9" s="30"/>
      <c r="U9" s="30"/>
      <c r="V9" s="30"/>
      <c r="W9" s="30"/>
      <c r="X9" s="475"/>
      <c r="Y9" s="475"/>
      <c r="Z9" s="476"/>
      <c r="AA9" s="451"/>
      <c r="AC9" s="14">
        <v>20</v>
      </c>
    </row>
    <row r="10" spans="1:29" s="14" customFormat="1" ht="36">
      <c r="A10" s="7" t="s">
        <v>68</v>
      </c>
      <c r="B10" s="647" t="s">
        <v>359</v>
      </c>
      <c r="C10" s="647"/>
      <c r="D10" s="647"/>
      <c r="E10" s="647"/>
      <c r="F10" s="647"/>
      <c r="G10" s="647"/>
      <c r="H10" s="647"/>
      <c r="I10" s="132">
        <v>20</v>
      </c>
      <c r="J10" s="166" t="s">
        <v>357</v>
      </c>
      <c r="K10" s="10"/>
      <c r="L10" s="162"/>
      <c r="M10" s="162"/>
      <c r="N10" s="162"/>
      <c r="O10" s="162"/>
      <c r="P10" s="161"/>
      <c r="Q10" s="161"/>
      <c r="R10" s="161"/>
      <c r="S10" s="161"/>
      <c r="T10" s="161"/>
      <c r="U10" s="30"/>
      <c r="V10" s="30"/>
      <c r="W10" s="30"/>
      <c r="X10" s="468"/>
      <c r="Y10" s="468"/>
      <c r="Z10" s="469"/>
      <c r="AA10" s="451"/>
    </row>
    <row r="11" spans="1:29" ht="57.75" customHeight="1">
      <c r="A11" s="488" t="s">
        <v>42</v>
      </c>
      <c r="B11" s="489"/>
      <c r="C11" s="489"/>
      <c r="D11" s="489"/>
      <c r="E11" s="490"/>
      <c r="F11" s="472" t="s">
        <v>43</v>
      </c>
      <c r="G11" s="472"/>
      <c r="H11" s="472"/>
      <c r="I11" s="472"/>
      <c r="J11" s="472"/>
      <c r="K11" s="472" t="s">
        <v>44</v>
      </c>
      <c r="L11" s="472"/>
      <c r="M11" s="472"/>
      <c r="N11" s="472"/>
      <c r="O11" s="491" t="s">
        <v>45</v>
      </c>
      <c r="P11" s="492"/>
      <c r="Q11" s="492"/>
      <c r="R11" s="492"/>
      <c r="S11" s="492"/>
      <c r="T11" s="492"/>
      <c r="U11" s="492"/>
      <c r="V11" s="492"/>
      <c r="W11" s="493"/>
      <c r="X11" s="472" t="s">
        <v>46</v>
      </c>
      <c r="Y11" s="472"/>
      <c r="Z11" s="472"/>
      <c r="AA11" s="451"/>
    </row>
    <row r="12" spans="1:29" s="20" customFormat="1" ht="28.5">
      <c r="A12" s="494"/>
      <c r="B12" s="495"/>
      <c r="C12" s="495"/>
      <c r="D12" s="495"/>
      <c r="E12" s="496"/>
      <c r="F12" s="503"/>
      <c r="G12" s="504"/>
      <c r="H12" s="504"/>
      <c r="I12" s="504"/>
      <c r="J12" s="505"/>
      <c r="K12" s="486" t="s">
        <v>47</v>
      </c>
      <c r="L12" s="486"/>
      <c r="M12" s="486"/>
      <c r="N12" s="486"/>
      <c r="O12" s="477"/>
      <c r="P12" s="478"/>
      <c r="Q12" s="478"/>
      <c r="R12" s="478"/>
      <c r="S12" s="478"/>
      <c r="T12" s="478"/>
      <c r="U12" s="478"/>
      <c r="V12" s="478"/>
      <c r="W12" s="512"/>
      <c r="X12" s="477"/>
      <c r="Y12" s="478"/>
      <c r="Z12" s="479"/>
    </row>
    <row r="13" spans="1:29" s="20" customFormat="1" ht="28.5">
      <c r="A13" s="497"/>
      <c r="B13" s="498"/>
      <c r="C13" s="498"/>
      <c r="D13" s="498"/>
      <c r="E13" s="499"/>
      <c r="F13" s="506"/>
      <c r="G13" s="507"/>
      <c r="H13" s="507"/>
      <c r="I13" s="507"/>
      <c r="J13" s="508"/>
      <c r="K13" s="486"/>
      <c r="L13" s="486"/>
      <c r="M13" s="486"/>
      <c r="N13" s="486"/>
      <c r="O13" s="480"/>
      <c r="P13" s="481"/>
      <c r="Q13" s="481"/>
      <c r="R13" s="481"/>
      <c r="S13" s="481"/>
      <c r="T13" s="481"/>
      <c r="U13" s="481"/>
      <c r="V13" s="481"/>
      <c r="W13" s="513"/>
      <c r="X13" s="480"/>
      <c r="Y13" s="481"/>
      <c r="Z13" s="482"/>
    </row>
    <row r="14" spans="1:29" s="20" customFormat="1" ht="28.5">
      <c r="A14" s="497"/>
      <c r="B14" s="498"/>
      <c r="C14" s="498"/>
      <c r="D14" s="498"/>
      <c r="E14" s="499"/>
      <c r="F14" s="506"/>
      <c r="G14" s="507"/>
      <c r="H14" s="507"/>
      <c r="I14" s="507"/>
      <c r="J14" s="508"/>
      <c r="K14" s="486" t="s">
        <v>48</v>
      </c>
      <c r="L14" s="486"/>
      <c r="M14" s="486"/>
      <c r="N14" s="486"/>
      <c r="O14" s="480"/>
      <c r="P14" s="481"/>
      <c r="Q14" s="481"/>
      <c r="R14" s="481"/>
      <c r="S14" s="481"/>
      <c r="T14" s="481"/>
      <c r="U14" s="481"/>
      <c r="V14" s="481"/>
      <c r="W14" s="513"/>
      <c r="X14" s="480"/>
      <c r="Y14" s="481"/>
      <c r="Z14" s="482"/>
    </row>
    <row r="15" spans="1:29" s="20" customFormat="1" ht="29.25" thickBot="1">
      <c r="A15" s="500"/>
      <c r="B15" s="501"/>
      <c r="C15" s="501"/>
      <c r="D15" s="501"/>
      <c r="E15" s="502"/>
      <c r="F15" s="509"/>
      <c r="G15" s="510"/>
      <c r="H15" s="510"/>
      <c r="I15" s="510"/>
      <c r="J15" s="511"/>
      <c r="K15" s="487"/>
      <c r="L15" s="487"/>
      <c r="M15" s="487"/>
      <c r="N15" s="487"/>
      <c r="O15" s="483"/>
      <c r="P15" s="484"/>
      <c r="Q15" s="484"/>
      <c r="R15" s="484"/>
      <c r="S15" s="484"/>
      <c r="T15" s="484"/>
      <c r="U15" s="484"/>
      <c r="V15" s="484"/>
      <c r="W15" s="514"/>
      <c r="X15" s="483"/>
      <c r="Y15" s="484"/>
      <c r="Z15" s="485"/>
    </row>
    <row r="16" spans="1:29" ht="18.75" thickTop="1"/>
  </sheetData>
  <mergeCells count="36">
    <mergeCell ref="A1:Y1"/>
    <mergeCell ref="AA1:AA1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X12:Z15"/>
    <mergeCell ref="K14:K15"/>
    <mergeCell ref="L14:N15"/>
    <mergeCell ref="A11:E11"/>
    <mergeCell ref="F11:J11"/>
    <mergeCell ref="K11:N11"/>
    <mergeCell ref="O11:W11"/>
    <mergeCell ref="X11:Z11"/>
    <mergeCell ref="A12:E15"/>
    <mergeCell ref="F12:J15"/>
    <mergeCell ref="K12:K13"/>
    <mergeCell ref="L12:N13"/>
    <mergeCell ref="O12:W15"/>
  </mergeCells>
  <printOptions horizontalCentered="1" verticalCentered="1"/>
  <pageMargins left="0.25" right="0.25" top="0.75" bottom="0.75" header="0.3" footer="0.3"/>
  <pageSetup scale="40" orientation="landscape"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389DE-B984-48FA-A225-2B08D6DB3817}">
  <sheetPr>
    <pageSetUpPr fitToPage="1"/>
  </sheetPr>
  <dimension ref="A1:AC16"/>
  <sheetViews>
    <sheetView rightToLeft="1" zoomScale="70" zoomScaleNormal="70" zoomScaleSheetLayoutView="9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348</v>
      </c>
      <c r="B3" s="456"/>
      <c r="C3" s="456"/>
      <c r="D3" s="456"/>
      <c r="E3" s="456"/>
      <c r="F3" s="456"/>
      <c r="G3" s="457" t="s">
        <v>3</v>
      </c>
      <c r="H3" s="457"/>
      <c r="I3" s="458" t="s">
        <v>349</v>
      </c>
      <c r="J3" s="458"/>
      <c r="K3" s="458"/>
      <c r="L3" s="458"/>
      <c r="M3" s="458"/>
      <c r="N3" s="458"/>
      <c r="O3" s="458"/>
      <c r="P3" s="458"/>
      <c r="Q3" s="458"/>
      <c r="R3" s="458"/>
      <c r="S3" s="458"/>
      <c r="T3" s="458"/>
      <c r="U3" s="458"/>
      <c r="V3" s="458"/>
      <c r="W3" s="458"/>
      <c r="X3" s="458"/>
      <c r="Y3" s="458"/>
      <c r="Z3" s="459"/>
      <c r="AA3" s="451"/>
    </row>
    <row r="4" spans="1:29" s="3" customFormat="1" ht="28.5" customHeight="1">
      <c r="A4" s="460" t="s">
        <v>321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350</v>
      </c>
      <c r="C8" s="647"/>
      <c r="D8" s="647"/>
      <c r="E8" s="647"/>
      <c r="F8" s="647"/>
      <c r="G8" s="647"/>
      <c r="H8" s="647"/>
      <c r="I8" s="132">
        <v>40</v>
      </c>
      <c r="J8" s="133" t="s">
        <v>323</v>
      </c>
      <c r="K8" s="10"/>
      <c r="L8" s="161"/>
      <c r="M8" s="161"/>
      <c r="N8" s="161"/>
      <c r="O8" s="30"/>
      <c r="P8" s="30"/>
      <c r="Q8" s="30"/>
      <c r="R8" s="30"/>
      <c r="S8" s="30"/>
      <c r="T8" s="30"/>
      <c r="U8" s="30"/>
      <c r="V8" s="30"/>
      <c r="W8" s="30"/>
      <c r="X8" s="475"/>
      <c r="Y8" s="475"/>
      <c r="Z8" s="476"/>
      <c r="AA8" s="451"/>
      <c r="AC8" s="14">
        <v>40</v>
      </c>
    </row>
    <row r="9" spans="1:29" s="14" customFormat="1" ht="24">
      <c r="A9" s="7" t="s">
        <v>66</v>
      </c>
      <c r="B9" s="647" t="s">
        <v>351</v>
      </c>
      <c r="C9" s="647"/>
      <c r="D9" s="647"/>
      <c r="E9" s="647"/>
      <c r="F9" s="647"/>
      <c r="G9" s="647"/>
      <c r="H9" s="647"/>
      <c r="I9" s="132">
        <v>30</v>
      </c>
      <c r="J9" s="133" t="s">
        <v>323</v>
      </c>
      <c r="K9" s="10"/>
      <c r="L9" s="161"/>
      <c r="M9" s="161"/>
      <c r="N9" s="161"/>
      <c r="O9" s="161"/>
      <c r="P9" s="161"/>
      <c r="Q9" s="161"/>
      <c r="R9" s="30"/>
      <c r="S9" s="30"/>
      <c r="T9" s="30"/>
      <c r="U9" s="30"/>
      <c r="V9" s="30"/>
      <c r="W9" s="30"/>
      <c r="X9" s="475"/>
      <c r="Y9" s="475"/>
      <c r="Z9" s="476"/>
      <c r="AA9" s="451"/>
      <c r="AC9" s="14">
        <v>15</v>
      </c>
    </row>
    <row r="10" spans="1:29" s="14" customFormat="1" ht="24">
      <c r="A10" s="7" t="s">
        <v>68</v>
      </c>
      <c r="B10" s="647" t="s">
        <v>352</v>
      </c>
      <c r="C10" s="647"/>
      <c r="D10" s="647"/>
      <c r="E10" s="647"/>
      <c r="F10" s="647"/>
      <c r="G10" s="647"/>
      <c r="H10" s="647"/>
      <c r="I10" s="132">
        <v>30</v>
      </c>
      <c r="J10" s="133" t="s">
        <v>353</v>
      </c>
      <c r="K10" s="10"/>
      <c r="L10" s="30"/>
      <c r="M10" s="30"/>
      <c r="N10" s="30"/>
      <c r="O10" s="161"/>
      <c r="P10" s="161"/>
      <c r="Q10" s="161"/>
      <c r="R10" s="161"/>
      <c r="S10" s="161"/>
      <c r="T10" s="161"/>
      <c r="U10" s="161"/>
      <c r="V10" s="161"/>
      <c r="W10" s="161"/>
      <c r="X10" s="468"/>
      <c r="Y10" s="468"/>
      <c r="Z10" s="469"/>
      <c r="AA10" s="451"/>
    </row>
    <row r="11" spans="1:29" ht="57.75" customHeight="1">
      <c r="A11" s="488" t="s">
        <v>42</v>
      </c>
      <c r="B11" s="489"/>
      <c r="C11" s="489"/>
      <c r="D11" s="489"/>
      <c r="E11" s="490"/>
      <c r="F11" s="472" t="s">
        <v>43</v>
      </c>
      <c r="G11" s="472"/>
      <c r="H11" s="472"/>
      <c r="I11" s="472"/>
      <c r="J11" s="472"/>
      <c r="K11" s="472" t="s">
        <v>44</v>
      </c>
      <c r="L11" s="472"/>
      <c r="M11" s="472"/>
      <c r="N11" s="472"/>
      <c r="O11" s="491" t="s">
        <v>45</v>
      </c>
      <c r="P11" s="492"/>
      <c r="Q11" s="492"/>
      <c r="R11" s="492"/>
      <c r="S11" s="492"/>
      <c r="T11" s="492"/>
      <c r="U11" s="492"/>
      <c r="V11" s="492"/>
      <c r="W11" s="493"/>
      <c r="X11" s="472" t="s">
        <v>46</v>
      </c>
      <c r="Y11" s="472"/>
      <c r="Z11" s="472"/>
      <c r="AA11" s="451"/>
    </row>
    <row r="12" spans="1:29" s="20" customFormat="1" ht="28.5">
      <c r="A12" s="494"/>
      <c r="B12" s="495"/>
      <c r="C12" s="495"/>
      <c r="D12" s="495"/>
      <c r="E12" s="496"/>
      <c r="F12" s="503"/>
      <c r="G12" s="504"/>
      <c r="H12" s="504"/>
      <c r="I12" s="504"/>
      <c r="J12" s="505"/>
      <c r="K12" s="486" t="s">
        <v>47</v>
      </c>
      <c r="L12" s="486"/>
      <c r="M12" s="486"/>
      <c r="N12" s="486"/>
      <c r="O12" s="477"/>
      <c r="P12" s="478"/>
      <c r="Q12" s="478"/>
      <c r="R12" s="478"/>
      <c r="S12" s="478"/>
      <c r="T12" s="478"/>
      <c r="U12" s="478"/>
      <c r="V12" s="478"/>
      <c r="W12" s="512"/>
      <c r="X12" s="477"/>
      <c r="Y12" s="478"/>
      <c r="Z12" s="479"/>
    </row>
    <row r="13" spans="1:29" s="20" customFormat="1" ht="28.5">
      <c r="A13" s="497"/>
      <c r="B13" s="498"/>
      <c r="C13" s="498"/>
      <c r="D13" s="498"/>
      <c r="E13" s="499"/>
      <c r="F13" s="506"/>
      <c r="G13" s="507"/>
      <c r="H13" s="507"/>
      <c r="I13" s="507"/>
      <c r="J13" s="508"/>
      <c r="K13" s="486"/>
      <c r="L13" s="486"/>
      <c r="M13" s="486"/>
      <c r="N13" s="486"/>
      <c r="O13" s="480"/>
      <c r="P13" s="481"/>
      <c r="Q13" s="481"/>
      <c r="R13" s="481"/>
      <c r="S13" s="481"/>
      <c r="T13" s="481"/>
      <c r="U13" s="481"/>
      <c r="V13" s="481"/>
      <c r="W13" s="513"/>
      <c r="X13" s="480"/>
      <c r="Y13" s="481"/>
      <c r="Z13" s="482"/>
    </row>
    <row r="14" spans="1:29" s="20" customFormat="1" ht="28.5">
      <c r="A14" s="497"/>
      <c r="B14" s="498"/>
      <c r="C14" s="498"/>
      <c r="D14" s="498"/>
      <c r="E14" s="499"/>
      <c r="F14" s="506"/>
      <c r="G14" s="507"/>
      <c r="H14" s="507"/>
      <c r="I14" s="507"/>
      <c r="J14" s="508"/>
      <c r="K14" s="486" t="s">
        <v>48</v>
      </c>
      <c r="L14" s="486"/>
      <c r="M14" s="486"/>
      <c r="N14" s="486"/>
      <c r="O14" s="480"/>
      <c r="P14" s="481"/>
      <c r="Q14" s="481"/>
      <c r="R14" s="481"/>
      <c r="S14" s="481"/>
      <c r="T14" s="481"/>
      <c r="U14" s="481"/>
      <c r="V14" s="481"/>
      <c r="W14" s="513"/>
      <c r="X14" s="480"/>
      <c r="Y14" s="481"/>
      <c r="Z14" s="482"/>
    </row>
    <row r="15" spans="1:29" s="20" customFormat="1" ht="29.25" thickBot="1">
      <c r="A15" s="500"/>
      <c r="B15" s="501"/>
      <c r="C15" s="501"/>
      <c r="D15" s="501"/>
      <c r="E15" s="502"/>
      <c r="F15" s="509"/>
      <c r="G15" s="510"/>
      <c r="H15" s="510"/>
      <c r="I15" s="510"/>
      <c r="J15" s="511"/>
      <c r="K15" s="487"/>
      <c r="L15" s="487"/>
      <c r="M15" s="487"/>
      <c r="N15" s="487"/>
      <c r="O15" s="483"/>
      <c r="P15" s="484"/>
      <c r="Q15" s="484"/>
      <c r="R15" s="484"/>
      <c r="S15" s="484"/>
      <c r="T15" s="484"/>
      <c r="U15" s="484"/>
      <c r="V15" s="484"/>
      <c r="W15" s="514"/>
      <c r="X15" s="483"/>
      <c r="Y15" s="484"/>
      <c r="Z15" s="485"/>
    </row>
    <row r="16" spans="1:29" ht="18.75" thickTop="1"/>
  </sheetData>
  <mergeCells count="36">
    <mergeCell ref="A1:Y1"/>
    <mergeCell ref="AA1:AA1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X12:Z15"/>
    <mergeCell ref="K14:K15"/>
    <mergeCell ref="L14:N15"/>
    <mergeCell ref="A11:E11"/>
    <mergeCell ref="F11:J11"/>
    <mergeCell ref="K11:N11"/>
    <mergeCell ref="O11:W11"/>
    <mergeCell ref="X11:Z11"/>
    <mergeCell ref="A12:E15"/>
    <mergeCell ref="F12:J15"/>
    <mergeCell ref="K12:K13"/>
    <mergeCell ref="L12:N13"/>
    <mergeCell ref="O12:W15"/>
  </mergeCells>
  <printOptions horizontalCentered="1" verticalCentered="1"/>
  <pageMargins left="0" right="0" top="0" bottom="0" header="0" footer="0"/>
  <pageSetup scale="40"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6650-8302-494F-A156-C4636A8FA006}">
  <dimension ref="A1:AD18"/>
  <sheetViews>
    <sheetView rightToLeft="1" zoomScale="70" zoomScaleNormal="70" zoomScaleSheetLayoutView="70" workbookViewId="0">
      <selection activeCell="AD9" sqref="AD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339</v>
      </c>
      <c r="B3" s="456"/>
      <c r="C3" s="456"/>
      <c r="D3" s="456"/>
      <c r="E3" s="456"/>
      <c r="F3" s="456"/>
      <c r="G3" s="457" t="s">
        <v>3</v>
      </c>
      <c r="H3" s="457"/>
      <c r="I3" s="458" t="s">
        <v>340</v>
      </c>
      <c r="J3" s="458"/>
      <c r="K3" s="458"/>
      <c r="L3" s="458"/>
      <c r="M3" s="458"/>
      <c r="N3" s="458"/>
      <c r="O3" s="458"/>
      <c r="P3" s="458"/>
      <c r="Q3" s="458"/>
      <c r="R3" s="458"/>
      <c r="S3" s="458"/>
      <c r="T3" s="458"/>
      <c r="U3" s="458"/>
      <c r="V3" s="458"/>
      <c r="W3" s="458"/>
      <c r="X3" s="458"/>
      <c r="Y3" s="458"/>
      <c r="Z3" s="459"/>
      <c r="AA3" s="451"/>
    </row>
    <row r="4" spans="1:30" s="3" customFormat="1" ht="28.5" customHeight="1">
      <c r="A4" s="460" t="s">
        <v>321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24">
      <c r="A8" s="7" t="s">
        <v>28</v>
      </c>
      <c r="B8" s="647" t="s">
        <v>341</v>
      </c>
      <c r="C8" s="647"/>
      <c r="D8" s="647"/>
      <c r="E8" s="647"/>
      <c r="F8" s="647"/>
      <c r="G8" s="647"/>
      <c r="H8" s="647"/>
      <c r="I8" s="132">
        <v>20</v>
      </c>
      <c r="J8" s="133" t="s">
        <v>323</v>
      </c>
      <c r="K8" s="10"/>
      <c r="L8" s="161"/>
      <c r="M8" s="161"/>
      <c r="N8" s="161"/>
      <c r="O8" s="161"/>
      <c r="P8" s="161"/>
      <c r="Q8" s="161"/>
      <c r="R8" s="161"/>
      <c r="S8" s="161"/>
      <c r="T8" s="161"/>
      <c r="U8" s="161"/>
      <c r="V8" s="161"/>
      <c r="W8" s="161"/>
      <c r="X8" s="475"/>
      <c r="Y8" s="475"/>
      <c r="Z8" s="476"/>
      <c r="AA8" s="451"/>
      <c r="AD8" s="14">
        <f>(20/12)*3</f>
        <v>5</v>
      </c>
    </row>
    <row r="9" spans="1:30" s="14" customFormat="1" ht="24">
      <c r="A9" s="7" t="s">
        <v>66</v>
      </c>
      <c r="B9" s="647" t="s">
        <v>342</v>
      </c>
      <c r="C9" s="647"/>
      <c r="D9" s="647"/>
      <c r="E9" s="647"/>
      <c r="F9" s="647"/>
      <c r="G9" s="647"/>
      <c r="H9" s="647"/>
      <c r="I9" s="132">
        <v>20</v>
      </c>
      <c r="J9" s="133" t="s">
        <v>323</v>
      </c>
      <c r="K9" s="10"/>
      <c r="L9" s="161"/>
      <c r="M9" s="161"/>
      <c r="N9" s="161"/>
      <c r="O9" s="161"/>
      <c r="P9" s="161"/>
      <c r="Q9" s="161"/>
      <c r="R9" s="161"/>
      <c r="S9" s="161"/>
      <c r="T9" s="161"/>
      <c r="U9" s="161"/>
      <c r="V9" s="161"/>
      <c r="W9" s="161"/>
      <c r="X9" s="475"/>
      <c r="Y9" s="475"/>
      <c r="Z9" s="476"/>
      <c r="AA9" s="451"/>
      <c r="AD9" s="14">
        <f>(20/12)*3</f>
        <v>5</v>
      </c>
    </row>
    <row r="10" spans="1:30" s="14" customFormat="1" ht="24">
      <c r="A10" s="7" t="s">
        <v>68</v>
      </c>
      <c r="B10" s="647" t="s">
        <v>343</v>
      </c>
      <c r="C10" s="647"/>
      <c r="D10" s="647"/>
      <c r="E10" s="647"/>
      <c r="F10" s="647"/>
      <c r="G10" s="647"/>
      <c r="H10" s="647"/>
      <c r="I10" s="132">
        <v>10</v>
      </c>
      <c r="J10" s="133" t="s">
        <v>344</v>
      </c>
      <c r="K10" s="10"/>
      <c r="L10" s="162"/>
      <c r="M10" s="162"/>
      <c r="N10" s="162"/>
      <c r="O10" s="161"/>
      <c r="P10" s="161"/>
      <c r="Q10" s="161"/>
      <c r="R10" s="162"/>
      <c r="S10" s="162"/>
      <c r="T10" s="162"/>
      <c r="U10" s="162"/>
      <c r="V10" s="162"/>
      <c r="W10" s="162"/>
      <c r="X10" s="468"/>
      <c r="Y10" s="468"/>
      <c r="Z10" s="469"/>
      <c r="AA10" s="451"/>
    </row>
    <row r="11" spans="1:30" s="14" customFormat="1" ht="24">
      <c r="A11" s="7" t="s">
        <v>70</v>
      </c>
      <c r="B11" s="647" t="s">
        <v>345</v>
      </c>
      <c r="C11" s="647"/>
      <c r="D11" s="647"/>
      <c r="E11" s="647"/>
      <c r="F11" s="647"/>
      <c r="G11" s="647"/>
      <c r="H11" s="647"/>
      <c r="I11" s="132">
        <v>20</v>
      </c>
      <c r="J11" s="133" t="s">
        <v>323</v>
      </c>
      <c r="K11" s="10"/>
      <c r="L11" s="30"/>
      <c r="M11" s="30"/>
      <c r="N11" s="30"/>
      <c r="O11" s="161"/>
      <c r="P11" s="161"/>
      <c r="Q11" s="161"/>
      <c r="R11" s="161"/>
      <c r="S11" s="161"/>
      <c r="T11" s="161"/>
      <c r="U11" s="30"/>
      <c r="V11" s="30"/>
      <c r="W11" s="30"/>
      <c r="X11" s="468"/>
      <c r="Y11" s="468"/>
      <c r="Z11" s="469"/>
      <c r="AA11" s="451"/>
    </row>
    <row r="12" spans="1:30" s="14" customFormat="1" ht="45">
      <c r="A12" s="7" t="s">
        <v>153</v>
      </c>
      <c r="B12" s="647" t="s">
        <v>346</v>
      </c>
      <c r="C12" s="647"/>
      <c r="D12" s="647"/>
      <c r="E12" s="647"/>
      <c r="F12" s="647"/>
      <c r="G12" s="647"/>
      <c r="H12" s="647"/>
      <c r="I12" s="132">
        <v>30</v>
      </c>
      <c r="J12" s="133" t="s">
        <v>347</v>
      </c>
      <c r="K12" s="10"/>
      <c r="L12" s="30"/>
      <c r="M12" s="30"/>
      <c r="N12" s="30"/>
      <c r="O12" s="30"/>
      <c r="P12" s="30"/>
      <c r="Q12" s="30"/>
      <c r="R12" s="161"/>
      <c r="S12" s="161"/>
      <c r="T12" s="161"/>
      <c r="U12" s="161"/>
      <c r="V12" s="161"/>
      <c r="W12" s="161"/>
      <c r="X12" s="475"/>
      <c r="Y12" s="475"/>
      <c r="Z12" s="476"/>
      <c r="AA12" s="451"/>
    </row>
    <row r="13" spans="1:30"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30"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30"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30"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40">
    <mergeCell ref="A1:Y1"/>
    <mergeCell ref="AA1:AA13"/>
    <mergeCell ref="A2:Z2"/>
    <mergeCell ref="A3:F3"/>
    <mergeCell ref="G3:H3"/>
    <mergeCell ref="I3:Z4"/>
    <mergeCell ref="A4:F5"/>
    <mergeCell ref="G4:H4"/>
    <mergeCell ref="G5:H5"/>
    <mergeCell ref="I5:Z5"/>
    <mergeCell ref="B10:H10"/>
    <mergeCell ref="X10:Z10"/>
    <mergeCell ref="A6:A7"/>
    <mergeCell ref="B6:H7"/>
    <mergeCell ref="I6:I7"/>
    <mergeCell ref="J6:J7"/>
    <mergeCell ref="A14:E17"/>
    <mergeCell ref="F14:J17"/>
    <mergeCell ref="K6:K7"/>
    <mergeCell ref="L6:W6"/>
    <mergeCell ref="X6:Z7"/>
    <mergeCell ref="B8:H8"/>
    <mergeCell ref="X8:Z8"/>
    <mergeCell ref="K14:K15"/>
    <mergeCell ref="L14:N15"/>
    <mergeCell ref="O14:W17"/>
    <mergeCell ref="B9:H9"/>
    <mergeCell ref="X9:Z9"/>
    <mergeCell ref="X14:Z17"/>
    <mergeCell ref="K16:K17"/>
    <mergeCell ref="L16:N17"/>
    <mergeCell ref="B11:H11"/>
    <mergeCell ref="X11:Z11"/>
    <mergeCell ref="B12:H12"/>
    <mergeCell ref="X12:Z12"/>
    <mergeCell ref="A13:E13"/>
    <mergeCell ref="F13:J13"/>
    <mergeCell ref="K13:N13"/>
    <mergeCell ref="O13:W13"/>
    <mergeCell ref="X13:Z13"/>
  </mergeCells>
  <printOptions horizontalCentered="1" verticalCentered="1"/>
  <pageMargins left="0.25" right="0.25" top="0.75" bottom="0.75" header="0.3" footer="0.3"/>
  <pageSetup scale="40" orientation="landscape"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FC0BB-16BB-46CC-95CE-521EE25B162F}">
  <dimension ref="A1:AC17"/>
  <sheetViews>
    <sheetView rightToLeft="1" zoomScale="70" zoomScaleNormal="70" zoomScaleSheetLayoutView="85" workbookViewId="0">
      <selection activeCell="AC11" sqref="AC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334</v>
      </c>
      <c r="B3" s="456"/>
      <c r="C3" s="456"/>
      <c r="D3" s="456"/>
      <c r="E3" s="456"/>
      <c r="F3" s="456"/>
      <c r="G3" s="457" t="s">
        <v>3</v>
      </c>
      <c r="H3" s="457"/>
      <c r="I3" s="458" t="s">
        <v>335</v>
      </c>
      <c r="J3" s="458"/>
      <c r="K3" s="458"/>
      <c r="L3" s="458"/>
      <c r="M3" s="458"/>
      <c r="N3" s="458"/>
      <c r="O3" s="458"/>
      <c r="P3" s="458"/>
      <c r="Q3" s="458"/>
      <c r="R3" s="458"/>
      <c r="S3" s="458"/>
      <c r="T3" s="458"/>
      <c r="U3" s="458"/>
      <c r="V3" s="458"/>
      <c r="W3" s="458"/>
      <c r="X3" s="458"/>
      <c r="Y3" s="458"/>
      <c r="Z3" s="459"/>
      <c r="AA3" s="451"/>
    </row>
    <row r="4" spans="1:29" s="3" customFormat="1" ht="28.5" customHeight="1">
      <c r="A4" s="460" t="s">
        <v>321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322</v>
      </c>
      <c r="C8" s="647"/>
      <c r="D8" s="647"/>
      <c r="E8" s="647"/>
      <c r="F8" s="647"/>
      <c r="G8" s="647"/>
      <c r="H8" s="647"/>
      <c r="I8" s="132">
        <v>20</v>
      </c>
      <c r="J8" s="133" t="s">
        <v>323</v>
      </c>
      <c r="K8" s="10"/>
      <c r="L8" s="161"/>
      <c r="M8" s="161"/>
      <c r="N8" s="161"/>
      <c r="O8" s="30"/>
      <c r="P8" s="30"/>
      <c r="Q8" s="30"/>
      <c r="R8" s="30"/>
      <c r="S8" s="30"/>
      <c r="T8" s="30"/>
      <c r="U8" s="30"/>
      <c r="V8" s="30"/>
      <c r="W8" s="30"/>
      <c r="X8" s="475"/>
      <c r="Y8" s="475"/>
      <c r="Z8" s="476"/>
      <c r="AA8" s="451"/>
      <c r="AC8" s="14">
        <v>20</v>
      </c>
    </row>
    <row r="9" spans="1:29" s="14" customFormat="1" ht="24">
      <c r="A9" s="7" t="s">
        <v>66</v>
      </c>
      <c r="B9" s="648" t="s">
        <v>336</v>
      </c>
      <c r="C9" s="649"/>
      <c r="D9" s="649"/>
      <c r="E9" s="649"/>
      <c r="F9" s="649"/>
      <c r="G9" s="649"/>
      <c r="H9" s="650"/>
      <c r="I9" s="132">
        <v>20</v>
      </c>
      <c r="J9" s="133" t="s">
        <v>323</v>
      </c>
      <c r="K9" s="10"/>
      <c r="L9" s="30"/>
      <c r="M9" s="30"/>
      <c r="N9" s="30"/>
      <c r="O9" s="161"/>
      <c r="P9" s="161"/>
      <c r="Q9" s="161"/>
      <c r="R9" s="161"/>
      <c r="S9" s="161"/>
      <c r="T9" s="161"/>
      <c r="U9" s="30"/>
      <c r="V9" s="30"/>
      <c r="W9" s="30"/>
      <c r="X9" s="733"/>
      <c r="Y9" s="734"/>
      <c r="Z9" s="735"/>
      <c r="AA9" s="451"/>
    </row>
    <row r="10" spans="1:29" s="14" customFormat="1" ht="24">
      <c r="A10" s="7" t="s">
        <v>68</v>
      </c>
      <c r="B10" s="648" t="s">
        <v>337</v>
      </c>
      <c r="C10" s="649"/>
      <c r="D10" s="649"/>
      <c r="E10" s="649"/>
      <c r="F10" s="649"/>
      <c r="G10" s="649"/>
      <c r="H10" s="650"/>
      <c r="I10" s="132">
        <v>10</v>
      </c>
      <c r="J10" s="133" t="s">
        <v>323</v>
      </c>
      <c r="K10" s="10"/>
      <c r="L10" s="161"/>
      <c r="M10" s="161"/>
      <c r="N10" s="161"/>
      <c r="O10" s="161"/>
      <c r="P10" s="161"/>
      <c r="Q10" s="161"/>
      <c r="R10" s="30"/>
      <c r="S10" s="30"/>
      <c r="T10" s="30"/>
      <c r="U10" s="30"/>
      <c r="V10" s="30"/>
      <c r="W10" s="30"/>
      <c r="X10" s="163"/>
      <c r="Y10" s="164"/>
      <c r="Z10" s="165"/>
      <c r="AA10" s="451"/>
      <c r="AC10" s="14">
        <v>5</v>
      </c>
    </row>
    <row r="11" spans="1:29" s="14" customFormat="1" ht="24">
      <c r="A11" s="7" t="s">
        <v>70</v>
      </c>
      <c r="B11" s="648" t="s">
        <v>338</v>
      </c>
      <c r="C11" s="649"/>
      <c r="D11" s="649"/>
      <c r="E11" s="649"/>
      <c r="F11" s="649"/>
      <c r="G11" s="649"/>
      <c r="H11" s="650"/>
      <c r="I11" s="132">
        <v>20</v>
      </c>
      <c r="J11" s="133" t="s">
        <v>323</v>
      </c>
      <c r="K11" s="10"/>
      <c r="L11" s="30"/>
      <c r="M11" s="30"/>
      <c r="N11" s="30"/>
      <c r="O11" s="30"/>
      <c r="P11" s="30"/>
      <c r="Q11" s="30"/>
      <c r="R11" s="161"/>
      <c r="S11" s="161"/>
      <c r="T11" s="161"/>
      <c r="U11" s="161"/>
      <c r="V11" s="161"/>
      <c r="W11" s="161"/>
      <c r="X11" s="733"/>
      <c r="Y11" s="734"/>
      <c r="Z11" s="735"/>
      <c r="AA11" s="451"/>
    </row>
    <row r="12" spans="1:29" ht="57.75" customHeight="1">
      <c r="A12" s="488" t="s">
        <v>42</v>
      </c>
      <c r="B12" s="489"/>
      <c r="C12" s="489"/>
      <c r="D12" s="489"/>
      <c r="E12" s="490"/>
      <c r="F12" s="472" t="s">
        <v>43</v>
      </c>
      <c r="G12" s="472"/>
      <c r="H12" s="472"/>
      <c r="I12" s="472"/>
      <c r="J12" s="472"/>
      <c r="K12" s="472" t="s">
        <v>44</v>
      </c>
      <c r="L12" s="472"/>
      <c r="M12" s="472"/>
      <c r="N12" s="472"/>
      <c r="O12" s="491" t="s">
        <v>45</v>
      </c>
      <c r="P12" s="492"/>
      <c r="Q12" s="492"/>
      <c r="R12" s="492"/>
      <c r="S12" s="492"/>
      <c r="T12" s="492"/>
      <c r="U12" s="492"/>
      <c r="V12" s="492"/>
      <c r="W12" s="493"/>
      <c r="X12" s="472" t="s">
        <v>46</v>
      </c>
      <c r="Y12" s="472"/>
      <c r="Z12" s="472"/>
      <c r="AA12" s="451"/>
    </row>
    <row r="13" spans="1:29" s="20" customFormat="1" ht="28.5">
      <c r="A13" s="494"/>
      <c r="B13" s="495"/>
      <c r="C13" s="495"/>
      <c r="D13" s="495"/>
      <c r="E13" s="496"/>
      <c r="F13" s="503"/>
      <c r="G13" s="504"/>
      <c r="H13" s="504"/>
      <c r="I13" s="504"/>
      <c r="J13" s="505"/>
      <c r="K13" s="486" t="s">
        <v>47</v>
      </c>
      <c r="L13" s="486"/>
      <c r="M13" s="486"/>
      <c r="N13" s="486"/>
      <c r="O13" s="477"/>
      <c r="P13" s="478"/>
      <c r="Q13" s="478"/>
      <c r="R13" s="478"/>
      <c r="S13" s="478"/>
      <c r="T13" s="478"/>
      <c r="U13" s="478"/>
      <c r="V13" s="478"/>
      <c r="W13" s="512"/>
      <c r="X13" s="477"/>
      <c r="Y13" s="478"/>
      <c r="Z13" s="479"/>
    </row>
    <row r="14" spans="1:29" s="20" customFormat="1" ht="28.5">
      <c r="A14" s="497"/>
      <c r="B14" s="498"/>
      <c r="C14" s="498"/>
      <c r="D14" s="498"/>
      <c r="E14" s="499"/>
      <c r="F14" s="506"/>
      <c r="G14" s="507"/>
      <c r="H14" s="507"/>
      <c r="I14" s="507"/>
      <c r="J14" s="508"/>
      <c r="K14" s="486"/>
      <c r="L14" s="486"/>
      <c r="M14" s="486"/>
      <c r="N14" s="486"/>
      <c r="O14" s="480"/>
      <c r="P14" s="481"/>
      <c r="Q14" s="481"/>
      <c r="R14" s="481"/>
      <c r="S14" s="481"/>
      <c r="T14" s="481"/>
      <c r="U14" s="481"/>
      <c r="V14" s="481"/>
      <c r="W14" s="513"/>
      <c r="X14" s="480"/>
      <c r="Y14" s="481"/>
      <c r="Z14" s="482"/>
    </row>
    <row r="15" spans="1:29" s="20" customFormat="1" ht="28.5">
      <c r="A15" s="497"/>
      <c r="B15" s="498"/>
      <c r="C15" s="498"/>
      <c r="D15" s="498"/>
      <c r="E15" s="499"/>
      <c r="F15" s="506"/>
      <c r="G15" s="507"/>
      <c r="H15" s="507"/>
      <c r="I15" s="507"/>
      <c r="J15" s="508"/>
      <c r="K15" s="486" t="s">
        <v>48</v>
      </c>
      <c r="L15" s="486"/>
      <c r="M15" s="486"/>
      <c r="N15" s="486"/>
      <c r="O15" s="480"/>
      <c r="P15" s="481"/>
      <c r="Q15" s="481"/>
      <c r="R15" s="481"/>
      <c r="S15" s="481"/>
      <c r="T15" s="481"/>
      <c r="U15" s="481"/>
      <c r="V15" s="481"/>
      <c r="W15" s="513"/>
      <c r="X15" s="480"/>
      <c r="Y15" s="481"/>
      <c r="Z15" s="482"/>
    </row>
    <row r="16" spans="1:29" s="20" customFormat="1" ht="29.25" thickBot="1">
      <c r="A16" s="500"/>
      <c r="B16" s="501"/>
      <c r="C16" s="501"/>
      <c r="D16" s="501"/>
      <c r="E16" s="502"/>
      <c r="F16" s="509"/>
      <c r="G16" s="510"/>
      <c r="H16" s="510"/>
      <c r="I16" s="510"/>
      <c r="J16" s="511"/>
      <c r="K16" s="487"/>
      <c r="L16" s="487"/>
      <c r="M16" s="487"/>
      <c r="N16" s="487"/>
      <c r="O16" s="483"/>
      <c r="P16" s="484"/>
      <c r="Q16" s="484"/>
      <c r="R16" s="484"/>
      <c r="S16" s="484"/>
      <c r="T16" s="484"/>
      <c r="U16" s="484"/>
      <c r="V16" s="484"/>
      <c r="W16" s="514"/>
      <c r="X16" s="483"/>
      <c r="Y16" s="484"/>
      <c r="Z16" s="485"/>
    </row>
    <row r="17" ht="18.75" thickTop="1"/>
  </sheetData>
  <mergeCells count="37">
    <mergeCell ref="A1:Y1"/>
    <mergeCell ref="AA1:AA12"/>
    <mergeCell ref="A2:Z2"/>
    <mergeCell ref="A3:F3"/>
    <mergeCell ref="G3:H3"/>
    <mergeCell ref="I3:Z4"/>
    <mergeCell ref="A4:F5"/>
    <mergeCell ref="G4:H4"/>
    <mergeCell ref="G5:H5"/>
    <mergeCell ref="I5:Z5"/>
    <mergeCell ref="B10:H10"/>
    <mergeCell ref="A6:A7"/>
    <mergeCell ref="B6:H7"/>
    <mergeCell ref="I6:I7"/>
    <mergeCell ref="J6:J7"/>
    <mergeCell ref="X6:Z7"/>
    <mergeCell ref="B8:H8"/>
    <mergeCell ref="X8:Z8"/>
    <mergeCell ref="B9:H9"/>
    <mergeCell ref="X9:Z9"/>
    <mergeCell ref="K6:K7"/>
    <mergeCell ref="L6:W6"/>
    <mergeCell ref="X13:Z16"/>
    <mergeCell ref="K15:K16"/>
    <mergeCell ref="L15:N16"/>
    <mergeCell ref="B11:H11"/>
    <mergeCell ref="X11:Z11"/>
    <mergeCell ref="A12:E12"/>
    <mergeCell ref="F12:J12"/>
    <mergeCell ref="K12:N12"/>
    <mergeCell ref="O12:W12"/>
    <mergeCell ref="X12:Z12"/>
    <mergeCell ref="A13:E16"/>
    <mergeCell ref="F13:J16"/>
    <mergeCell ref="K13:K14"/>
    <mergeCell ref="L13:N14"/>
    <mergeCell ref="O13:W16"/>
  </mergeCells>
  <printOptions horizontalCentered="1" verticalCentered="1"/>
  <pageMargins left="0" right="0" top="0" bottom="0" header="0" footer="0"/>
  <pageSetup scale="40" orientation="landscape"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D8153-128F-438A-BC24-3782827CD12A}">
  <dimension ref="A1:AC18"/>
  <sheetViews>
    <sheetView rightToLeft="1" zoomScale="70" zoomScaleNormal="70" zoomScaleSheetLayoutView="90" workbookViewId="0">
      <selection activeCell="AC9" sqref="AC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326</v>
      </c>
      <c r="B3" s="456"/>
      <c r="C3" s="456"/>
      <c r="D3" s="456"/>
      <c r="E3" s="456"/>
      <c r="F3" s="456"/>
      <c r="G3" s="457" t="s">
        <v>3</v>
      </c>
      <c r="H3" s="457"/>
      <c r="I3" s="458" t="s">
        <v>327</v>
      </c>
      <c r="J3" s="458"/>
      <c r="K3" s="458"/>
      <c r="L3" s="458"/>
      <c r="M3" s="458"/>
      <c r="N3" s="458"/>
      <c r="O3" s="458"/>
      <c r="P3" s="458"/>
      <c r="Q3" s="458"/>
      <c r="R3" s="458"/>
      <c r="S3" s="458"/>
      <c r="T3" s="458"/>
      <c r="U3" s="458"/>
      <c r="V3" s="458"/>
      <c r="W3" s="458"/>
      <c r="X3" s="458"/>
      <c r="Y3" s="458"/>
      <c r="Z3" s="459"/>
      <c r="AA3" s="451"/>
    </row>
    <row r="4" spans="1:29" s="3" customFormat="1" ht="28.5" customHeight="1">
      <c r="A4" s="460" t="s">
        <v>321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328</v>
      </c>
      <c r="C8" s="647"/>
      <c r="D8" s="647"/>
      <c r="E8" s="647"/>
      <c r="F8" s="647"/>
      <c r="G8" s="647"/>
      <c r="H8" s="647"/>
      <c r="I8" s="132">
        <v>10</v>
      </c>
      <c r="J8" s="133" t="s">
        <v>323</v>
      </c>
      <c r="K8" s="10"/>
      <c r="L8" s="161"/>
      <c r="M8" s="161"/>
      <c r="N8" s="161"/>
      <c r="O8" s="30"/>
      <c r="P8" s="30"/>
      <c r="Q8" s="30"/>
      <c r="R8" s="30"/>
      <c r="S8" s="30"/>
      <c r="T8" s="30"/>
      <c r="U8" s="30"/>
      <c r="V8" s="30"/>
      <c r="W8" s="30"/>
      <c r="X8" s="475"/>
      <c r="Y8" s="475"/>
      <c r="Z8" s="476"/>
      <c r="AA8" s="451"/>
      <c r="AC8" s="14">
        <v>10</v>
      </c>
    </row>
    <row r="9" spans="1:29" s="14" customFormat="1" ht="24">
      <c r="A9" s="7" t="s">
        <v>66</v>
      </c>
      <c r="B9" s="647" t="s">
        <v>329</v>
      </c>
      <c r="C9" s="647"/>
      <c r="D9" s="647"/>
      <c r="E9" s="647"/>
      <c r="F9" s="647"/>
      <c r="G9" s="647"/>
      <c r="H9" s="647"/>
      <c r="I9" s="132">
        <v>20</v>
      </c>
      <c r="J9" s="133" t="s">
        <v>323</v>
      </c>
      <c r="K9" s="10"/>
      <c r="L9" s="30"/>
      <c r="M9" s="30"/>
      <c r="N9" s="30"/>
      <c r="O9" s="161"/>
      <c r="P9" s="161"/>
      <c r="Q9" s="161"/>
      <c r="R9" s="161"/>
      <c r="S9" s="161"/>
      <c r="T9" s="161"/>
      <c r="U9" s="161"/>
      <c r="V9" s="161"/>
      <c r="W9" s="161"/>
      <c r="X9" s="475"/>
      <c r="Y9" s="475"/>
      <c r="Z9" s="476"/>
      <c r="AA9" s="451"/>
    </row>
    <row r="10" spans="1:29" s="14" customFormat="1" ht="24">
      <c r="A10" s="7" t="s">
        <v>68</v>
      </c>
      <c r="B10" s="648" t="s">
        <v>330</v>
      </c>
      <c r="C10" s="649"/>
      <c r="D10" s="649"/>
      <c r="E10" s="649"/>
      <c r="F10" s="649"/>
      <c r="G10" s="649"/>
      <c r="H10" s="650"/>
      <c r="I10" s="132">
        <v>30</v>
      </c>
      <c r="J10" s="133" t="s">
        <v>275</v>
      </c>
      <c r="K10" s="10"/>
      <c r="L10" s="30"/>
      <c r="M10" s="30"/>
      <c r="N10" s="30"/>
      <c r="O10" s="161"/>
      <c r="P10" s="161"/>
      <c r="Q10" s="161"/>
      <c r="R10" s="161"/>
      <c r="S10" s="161"/>
      <c r="T10" s="161"/>
      <c r="U10" s="161"/>
      <c r="V10" s="161"/>
      <c r="W10" s="161"/>
      <c r="X10" s="733"/>
      <c r="Y10" s="734"/>
      <c r="Z10" s="735"/>
      <c r="AA10" s="451"/>
    </row>
    <row r="11" spans="1:29" s="14" customFormat="1" ht="24">
      <c r="A11" s="7" t="s">
        <v>70</v>
      </c>
      <c r="B11" s="952" t="s">
        <v>331</v>
      </c>
      <c r="C11" s="953"/>
      <c r="D11" s="953"/>
      <c r="E11" s="953"/>
      <c r="F11" s="953"/>
      <c r="G11" s="953"/>
      <c r="H11" s="958"/>
      <c r="I11" s="132">
        <v>20</v>
      </c>
      <c r="J11" s="133" t="s">
        <v>332</v>
      </c>
      <c r="K11" s="10"/>
      <c r="L11" s="30"/>
      <c r="M11" s="30"/>
      <c r="N11" s="30"/>
      <c r="O11" s="161"/>
      <c r="P11" s="161"/>
      <c r="Q11" s="161"/>
      <c r="R11" s="161"/>
      <c r="S11" s="161"/>
      <c r="T11" s="161"/>
      <c r="U11" s="161"/>
      <c r="V11" s="161"/>
      <c r="W11" s="161"/>
      <c r="X11" s="163"/>
      <c r="Y11" s="164"/>
      <c r="Z11" s="165"/>
      <c r="AA11" s="451"/>
    </row>
    <row r="12" spans="1:29" s="14" customFormat="1" ht="24">
      <c r="A12" s="7" t="s">
        <v>153</v>
      </c>
      <c r="B12" s="648" t="s">
        <v>333</v>
      </c>
      <c r="C12" s="649"/>
      <c r="D12" s="649"/>
      <c r="E12" s="649"/>
      <c r="F12" s="649"/>
      <c r="G12" s="649"/>
      <c r="H12" s="650"/>
      <c r="I12" s="132">
        <v>20</v>
      </c>
      <c r="J12" s="133" t="s">
        <v>332</v>
      </c>
      <c r="K12" s="10"/>
      <c r="L12" s="30"/>
      <c r="M12" s="30"/>
      <c r="N12" s="30"/>
      <c r="O12" s="161"/>
      <c r="P12" s="161"/>
      <c r="Q12" s="161"/>
      <c r="R12" s="161"/>
      <c r="S12" s="161"/>
      <c r="T12" s="161"/>
      <c r="U12" s="161"/>
      <c r="V12" s="161"/>
      <c r="W12" s="161"/>
      <c r="X12" s="733"/>
      <c r="Y12" s="734"/>
      <c r="Z12" s="735"/>
      <c r="AA12" s="451"/>
    </row>
    <row r="13" spans="1:29" ht="57.75" customHeight="1">
      <c r="A13" s="488" t="s">
        <v>42</v>
      </c>
      <c r="B13" s="489"/>
      <c r="C13" s="489"/>
      <c r="D13" s="489"/>
      <c r="E13" s="490"/>
      <c r="F13" s="472" t="s">
        <v>43</v>
      </c>
      <c r="G13" s="472"/>
      <c r="H13" s="472"/>
      <c r="I13" s="472"/>
      <c r="J13" s="472"/>
      <c r="K13" s="472" t="s">
        <v>44</v>
      </c>
      <c r="L13" s="472"/>
      <c r="M13" s="472"/>
      <c r="N13" s="472"/>
      <c r="O13" s="491" t="s">
        <v>45</v>
      </c>
      <c r="P13" s="492"/>
      <c r="Q13" s="492"/>
      <c r="R13" s="492"/>
      <c r="S13" s="492"/>
      <c r="T13" s="492"/>
      <c r="U13" s="492"/>
      <c r="V13" s="492"/>
      <c r="W13" s="493"/>
      <c r="X13" s="472" t="s">
        <v>46</v>
      </c>
      <c r="Y13" s="472"/>
      <c r="Z13" s="472"/>
      <c r="AA13" s="451"/>
    </row>
    <row r="14" spans="1:29" s="20" customFormat="1" ht="28.5">
      <c r="A14" s="494"/>
      <c r="B14" s="495"/>
      <c r="C14" s="495"/>
      <c r="D14" s="495"/>
      <c r="E14" s="496"/>
      <c r="F14" s="503"/>
      <c r="G14" s="504"/>
      <c r="H14" s="504"/>
      <c r="I14" s="504"/>
      <c r="J14" s="505"/>
      <c r="K14" s="486" t="s">
        <v>47</v>
      </c>
      <c r="L14" s="486"/>
      <c r="M14" s="486"/>
      <c r="N14" s="486"/>
      <c r="O14" s="477"/>
      <c r="P14" s="478"/>
      <c r="Q14" s="478"/>
      <c r="R14" s="478"/>
      <c r="S14" s="478"/>
      <c r="T14" s="478"/>
      <c r="U14" s="478"/>
      <c r="V14" s="478"/>
      <c r="W14" s="512"/>
      <c r="X14" s="477"/>
      <c r="Y14" s="478"/>
      <c r="Z14" s="479"/>
    </row>
    <row r="15" spans="1:29" s="20" customFormat="1" ht="28.5">
      <c r="A15" s="497"/>
      <c r="B15" s="498"/>
      <c r="C15" s="498"/>
      <c r="D15" s="498"/>
      <c r="E15" s="499"/>
      <c r="F15" s="506"/>
      <c r="G15" s="507"/>
      <c r="H15" s="507"/>
      <c r="I15" s="507"/>
      <c r="J15" s="508"/>
      <c r="K15" s="486"/>
      <c r="L15" s="486"/>
      <c r="M15" s="486"/>
      <c r="N15" s="486"/>
      <c r="O15" s="480"/>
      <c r="P15" s="481"/>
      <c r="Q15" s="481"/>
      <c r="R15" s="481"/>
      <c r="S15" s="481"/>
      <c r="T15" s="481"/>
      <c r="U15" s="481"/>
      <c r="V15" s="481"/>
      <c r="W15" s="513"/>
      <c r="X15" s="480"/>
      <c r="Y15" s="481"/>
      <c r="Z15" s="482"/>
    </row>
    <row r="16" spans="1:29" s="20" customFormat="1" ht="28.5">
      <c r="A16" s="497"/>
      <c r="B16" s="498"/>
      <c r="C16" s="498"/>
      <c r="D16" s="498"/>
      <c r="E16" s="499"/>
      <c r="F16" s="506"/>
      <c r="G16" s="507"/>
      <c r="H16" s="507"/>
      <c r="I16" s="507"/>
      <c r="J16" s="508"/>
      <c r="K16" s="486" t="s">
        <v>48</v>
      </c>
      <c r="L16" s="486"/>
      <c r="M16" s="486"/>
      <c r="N16" s="486"/>
      <c r="O16" s="480"/>
      <c r="P16" s="481"/>
      <c r="Q16" s="481"/>
      <c r="R16" s="481"/>
      <c r="S16" s="481"/>
      <c r="T16" s="481"/>
      <c r="U16" s="481"/>
      <c r="V16" s="481"/>
      <c r="W16" s="513"/>
      <c r="X16" s="480"/>
      <c r="Y16" s="481"/>
      <c r="Z16" s="482"/>
    </row>
    <row r="17" spans="1:26" s="20" customFormat="1" ht="29.25" thickBot="1">
      <c r="A17" s="500"/>
      <c r="B17" s="501"/>
      <c r="C17" s="501"/>
      <c r="D17" s="501"/>
      <c r="E17" s="502"/>
      <c r="F17" s="509"/>
      <c r="G17" s="510"/>
      <c r="H17" s="510"/>
      <c r="I17" s="510"/>
      <c r="J17" s="511"/>
      <c r="K17" s="487"/>
      <c r="L17" s="487"/>
      <c r="M17" s="487"/>
      <c r="N17" s="487"/>
      <c r="O17" s="483"/>
      <c r="P17" s="484"/>
      <c r="Q17" s="484"/>
      <c r="R17" s="484"/>
      <c r="S17" s="484"/>
      <c r="T17" s="484"/>
      <c r="U17" s="484"/>
      <c r="V17" s="484"/>
      <c r="W17" s="514"/>
      <c r="X17" s="483"/>
      <c r="Y17" s="484"/>
      <c r="Z17" s="485"/>
    </row>
    <row r="18" spans="1:26" ht="18.75" thickTop="1"/>
  </sheetData>
  <mergeCells count="39">
    <mergeCell ref="I6:I7"/>
    <mergeCell ref="J6:J7"/>
    <mergeCell ref="F14:J17"/>
    <mergeCell ref="K14:K15"/>
    <mergeCell ref="A1:Y1"/>
    <mergeCell ref="X9:Z9"/>
    <mergeCell ref="X14:Z17"/>
    <mergeCell ref="K16:K17"/>
    <mergeCell ref="L16:N17"/>
    <mergeCell ref="B11:H11"/>
    <mergeCell ref="B12:H12"/>
    <mergeCell ref="A14:E17"/>
    <mergeCell ref="X12:Z12"/>
    <mergeCell ref="A13:E13"/>
    <mergeCell ref="F13:J13"/>
    <mergeCell ref="K13:N13"/>
    <mergeCell ref="AA1:AA13"/>
    <mergeCell ref="A2:Z2"/>
    <mergeCell ref="A3:F3"/>
    <mergeCell ref="G3:H3"/>
    <mergeCell ref="I3:Z4"/>
    <mergeCell ref="A4:F5"/>
    <mergeCell ref="G4:H4"/>
    <mergeCell ref="G5:H5"/>
    <mergeCell ref="I5:Z5"/>
    <mergeCell ref="B10:H10"/>
    <mergeCell ref="X10:Z10"/>
    <mergeCell ref="A6:A7"/>
    <mergeCell ref="B6:H7"/>
    <mergeCell ref="B8:H8"/>
    <mergeCell ref="X8:Z8"/>
    <mergeCell ref="B9:H9"/>
    <mergeCell ref="O13:W13"/>
    <mergeCell ref="X13:Z13"/>
    <mergeCell ref="L14:N15"/>
    <mergeCell ref="O14:W17"/>
    <mergeCell ref="K6:K7"/>
    <mergeCell ref="L6:W6"/>
    <mergeCell ref="X6:Z7"/>
  </mergeCells>
  <printOptions horizontalCentered="1" verticalCentered="1"/>
  <pageMargins left="0" right="0" top="0" bottom="0" header="0" footer="0"/>
  <pageSetup scale="40" orientation="landscape"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46D87-9F9B-4AD4-BBD0-4586A28CBCFC}">
  <sheetPr>
    <pageSetUpPr fitToPage="1"/>
  </sheetPr>
  <dimension ref="A1:AC16"/>
  <sheetViews>
    <sheetView rightToLeft="1" zoomScale="70" zoomScaleNormal="70" zoomScaleSheetLayoutView="90" workbookViewId="0">
      <selection activeCell="AC8" sqref="AC8: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319</v>
      </c>
      <c r="B3" s="456"/>
      <c r="C3" s="456"/>
      <c r="D3" s="456"/>
      <c r="E3" s="456"/>
      <c r="F3" s="456"/>
      <c r="G3" s="457" t="s">
        <v>3</v>
      </c>
      <c r="H3" s="457"/>
      <c r="I3" s="458" t="s">
        <v>320</v>
      </c>
      <c r="J3" s="458"/>
      <c r="K3" s="458"/>
      <c r="L3" s="458"/>
      <c r="M3" s="458"/>
      <c r="N3" s="458"/>
      <c r="O3" s="458"/>
      <c r="P3" s="458"/>
      <c r="Q3" s="458"/>
      <c r="R3" s="458"/>
      <c r="S3" s="458"/>
      <c r="T3" s="458"/>
      <c r="U3" s="458"/>
      <c r="V3" s="458"/>
      <c r="W3" s="458"/>
      <c r="X3" s="458"/>
      <c r="Y3" s="458"/>
      <c r="Z3" s="459"/>
      <c r="AA3" s="451"/>
    </row>
    <row r="4" spans="1:29" s="3" customFormat="1" ht="28.5" customHeight="1">
      <c r="A4" s="460" t="s">
        <v>321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322</v>
      </c>
      <c r="C8" s="647"/>
      <c r="D8" s="647"/>
      <c r="E8" s="647"/>
      <c r="F8" s="647"/>
      <c r="G8" s="647"/>
      <c r="H8" s="647"/>
      <c r="I8" s="132">
        <v>20</v>
      </c>
      <c r="J8" s="133" t="s">
        <v>323</v>
      </c>
      <c r="K8" s="10"/>
      <c r="L8" s="161"/>
      <c r="M8" s="161"/>
      <c r="N8" s="161"/>
      <c r="O8" s="30"/>
      <c r="P8" s="30"/>
      <c r="Q8" s="30"/>
      <c r="R8" s="30"/>
      <c r="S8" s="30"/>
      <c r="T8" s="30"/>
      <c r="U8" s="30"/>
      <c r="V8" s="30"/>
      <c r="W8" s="30"/>
      <c r="X8" s="475"/>
      <c r="Y8" s="475"/>
      <c r="Z8" s="476"/>
      <c r="AA8" s="451"/>
      <c r="AC8" s="14">
        <v>20</v>
      </c>
    </row>
    <row r="9" spans="1:29" s="14" customFormat="1" ht="24">
      <c r="A9" s="7" t="s">
        <v>66</v>
      </c>
      <c r="B9" s="647" t="s">
        <v>324</v>
      </c>
      <c r="C9" s="647"/>
      <c r="D9" s="647"/>
      <c r="E9" s="647"/>
      <c r="F9" s="647"/>
      <c r="G9" s="647"/>
      <c r="H9" s="647"/>
      <c r="I9" s="132">
        <v>30</v>
      </c>
      <c r="J9" s="133" t="s">
        <v>235</v>
      </c>
      <c r="K9" s="10"/>
      <c r="L9" s="161"/>
      <c r="M9" s="161"/>
      <c r="N9" s="161"/>
      <c r="O9" s="161"/>
      <c r="P9" s="161"/>
      <c r="Q9" s="161"/>
      <c r="R9" s="162"/>
      <c r="S9" s="162"/>
      <c r="T9" s="162"/>
      <c r="U9" s="162"/>
      <c r="V9" s="162"/>
      <c r="W9" s="162"/>
      <c r="X9" s="475"/>
      <c r="Y9" s="475"/>
      <c r="Z9" s="476"/>
      <c r="AA9" s="451"/>
      <c r="AC9" s="14">
        <v>15</v>
      </c>
    </row>
    <row r="10" spans="1:29" s="14" customFormat="1" ht="24">
      <c r="A10" s="7" t="s">
        <v>68</v>
      </c>
      <c r="B10" s="647" t="s">
        <v>325</v>
      </c>
      <c r="C10" s="647"/>
      <c r="D10" s="647"/>
      <c r="E10" s="647"/>
      <c r="F10" s="647"/>
      <c r="G10" s="647"/>
      <c r="H10" s="647"/>
      <c r="I10" s="132">
        <v>50</v>
      </c>
      <c r="J10" s="133" t="s">
        <v>323</v>
      </c>
      <c r="K10" s="10"/>
      <c r="L10" s="161"/>
      <c r="M10" s="161"/>
      <c r="N10" s="161"/>
      <c r="O10" s="161"/>
      <c r="P10" s="161"/>
      <c r="Q10" s="161"/>
      <c r="R10" s="161"/>
      <c r="S10" s="161"/>
      <c r="T10" s="161"/>
      <c r="U10" s="161"/>
      <c r="V10" s="161"/>
      <c r="W10" s="161"/>
      <c r="X10" s="468"/>
      <c r="Y10" s="468"/>
      <c r="Z10" s="469"/>
      <c r="AA10" s="451"/>
      <c r="AC10" s="14">
        <f>(50/12)*3</f>
        <v>12.5</v>
      </c>
    </row>
    <row r="11" spans="1:29" ht="57.75" customHeight="1">
      <c r="A11" s="488" t="s">
        <v>42</v>
      </c>
      <c r="B11" s="489"/>
      <c r="C11" s="489"/>
      <c r="D11" s="489"/>
      <c r="E11" s="490"/>
      <c r="F11" s="472" t="s">
        <v>43</v>
      </c>
      <c r="G11" s="472"/>
      <c r="H11" s="472"/>
      <c r="I11" s="472"/>
      <c r="J11" s="472"/>
      <c r="K11" s="472" t="s">
        <v>44</v>
      </c>
      <c r="L11" s="472"/>
      <c r="M11" s="472"/>
      <c r="N11" s="472"/>
      <c r="O11" s="491" t="s">
        <v>45</v>
      </c>
      <c r="P11" s="492"/>
      <c r="Q11" s="492"/>
      <c r="R11" s="492"/>
      <c r="S11" s="492"/>
      <c r="T11" s="492"/>
      <c r="U11" s="492"/>
      <c r="V11" s="492"/>
      <c r="W11" s="493"/>
      <c r="X11" s="472" t="s">
        <v>46</v>
      </c>
      <c r="Y11" s="472"/>
      <c r="Z11" s="472"/>
      <c r="AA11" s="451"/>
    </row>
    <row r="12" spans="1:29" s="20" customFormat="1" ht="28.5">
      <c r="A12" s="494"/>
      <c r="B12" s="495"/>
      <c r="C12" s="495"/>
      <c r="D12" s="495"/>
      <c r="E12" s="496"/>
      <c r="F12" s="503"/>
      <c r="G12" s="504"/>
      <c r="H12" s="504"/>
      <c r="I12" s="504"/>
      <c r="J12" s="505"/>
      <c r="K12" s="486" t="s">
        <v>47</v>
      </c>
      <c r="L12" s="486"/>
      <c r="M12" s="486"/>
      <c r="N12" s="486"/>
      <c r="O12" s="477"/>
      <c r="P12" s="478"/>
      <c r="Q12" s="478"/>
      <c r="R12" s="478"/>
      <c r="S12" s="478"/>
      <c r="T12" s="478"/>
      <c r="U12" s="478"/>
      <c r="V12" s="478"/>
      <c r="W12" s="512"/>
      <c r="X12" s="477"/>
      <c r="Y12" s="478"/>
      <c r="Z12" s="479"/>
    </row>
    <row r="13" spans="1:29" s="20" customFormat="1" ht="28.5">
      <c r="A13" s="497"/>
      <c r="B13" s="498"/>
      <c r="C13" s="498"/>
      <c r="D13" s="498"/>
      <c r="E13" s="499"/>
      <c r="F13" s="506"/>
      <c r="G13" s="507"/>
      <c r="H13" s="507"/>
      <c r="I13" s="507"/>
      <c r="J13" s="508"/>
      <c r="K13" s="486"/>
      <c r="L13" s="486"/>
      <c r="M13" s="486"/>
      <c r="N13" s="486"/>
      <c r="O13" s="480"/>
      <c r="P13" s="481"/>
      <c r="Q13" s="481"/>
      <c r="R13" s="481"/>
      <c r="S13" s="481"/>
      <c r="T13" s="481"/>
      <c r="U13" s="481"/>
      <c r="V13" s="481"/>
      <c r="W13" s="513"/>
      <c r="X13" s="480"/>
      <c r="Y13" s="481"/>
      <c r="Z13" s="482"/>
    </row>
    <row r="14" spans="1:29" s="20" customFormat="1" ht="28.5">
      <c r="A14" s="497"/>
      <c r="B14" s="498"/>
      <c r="C14" s="498"/>
      <c r="D14" s="498"/>
      <c r="E14" s="499"/>
      <c r="F14" s="506"/>
      <c r="G14" s="507"/>
      <c r="H14" s="507"/>
      <c r="I14" s="507"/>
      <c r="J14" s="508"/>
      <c r="K14" s="486" t="s">
        <v>48</v>
      </c>
      <c r="L14" s="486"/>
      <c r="M14" s="486"/>
      <c r="N14" s="486"/>
      <c r="O14" s="480"/>
      <c r="P14" s="481"/>
      <c r="Q14" s="481"/>
      <c r="R14" s="481"/>
      <c r="S14" s="481"/>
      <c r="T14" s="481"/>
      <c r="U14" s="481"/>
      <c r="V14" s="481"/>
      <c r="W14" s="513"/>
      <c r="X14" s="480"/>
      <c r="Y14" s="481"/>
      <c r="Z14" s="482"/>
    </row>
    <row r="15" spans="1:29" s="20" customFormat="1" ht="29.25" thickBot="1">
      <c r="A15" s="500"/>
      <c r="B15" s="501"/>
      <c r="C15" s="501"/>
      <c r="D15" s="501"/>
      <c r="E15" s="502"/>
      <c r="F15" s="509"/>
      <c r="G15" s="510"/>
      <c r="H15" s="510"/>
      <c r="I15" s="510"/>
      <c r="J15" s="511"/>
      <c r="K15" s="487"/>
      <c r="L15" s="487"/>
      <c r="M15" s="487"/>
      <c r="N15" s="487"/>
      <c r="O15" s="483"/>
      <c r="P15" s="484"/>
      <c r="Q15" s="484"/>
      <c r="R15" s="484"/>
      <c r="S15" s="484"/>
      <c r="T15" s="484"/>
      <c r="U15" s="484"/>
      <c r="V15" s="484"/>
      <c r="W15" s="514"/>
      <c r="X15" s="483"/>
      <c r="Y15" s="484"/>
      <c r="Z15" s="485"/>
    </row>
    <row r="16" spans="1:29" ht="18.75" thickTop="1"/>
  </sheetData>
  <mergeCells count="36">
    <mergeCell ref="A1:Y1"/>
    <mergeCell ref="AA1:AA11"/>
    <mergeCell ref="A2:Z2"/>
    <mergeCell ref="A3:F3"/>
    <mergeCell ref="G3:H3"/>
    <mergeCell ref="I3:Z4"/>
    <mergeCell ref="A4:F5"/>
    <mergeCell ref="G4:H4"/>
    <mergeCell ref="G5:H5"/>
    <mergeCell ref="I5:Z5"/>
    <mergeCell ref="B10:H10"/>
    <mergeCell ref="X10:Z10"/>
    <mergeCell ref="A6:A7"/>
    <mergeCell ref="B6:H7"/>
    <mergeCell ref="I6:I7"/>
    <mergeCell ref="J6:J7"/>
    <mergeCell ref="K6:K7"/>
    <mergeCell ref="L6:W6"/>
    <mergeCell ref="X6:Z7"/>
    <mergeCell ref="B8:H8"/>
    <mergeCell ref="X8:Z8"/>
    <mergeCell ref="B9:H9"/>
    <mergeCell ref="X9:Z9"/>
    <mergeCell ref="X12:Z15"/>
    <mergeCell ref="K14:K15"/>
    <mergeCell ref="L14:N15"/>
    <mergeCell ref="A11:E11"/>
    <mergeCell ref="F11:J11"/>
    <mergeCell ref="K11:N11"/>
    <mergeCell ref="O11:W11"/>
    <mergeCell ref="X11:Z11"/>
    <mergeCell ref="A12:E15"/>
    <mergeCell ref="F12:J15"/>
    <mergeCell ref="K12:K13"/>
    <mergeCell ref="L12:N13"/>
    <mergeCell ref="O12:W15"/>
  </mergeCells>
  <printOptions horizontalCentered="1" verticalCentered="1"/>
  <pageMargins left="0.25" right="0.25" top="0.75" bottom="0.75" header="0.3" footer="0.3"/>
  <pageSetup scale="40" orientation="landscape"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04B5-016D-434C-9963-C9F62FE240F4}">
  <dimension ref="A1:AA20"/>
  <sheetViews>
    <sheetView rightToLeft="1" zoomScale="60" zoomScaleNormal="60" workbookViewId="0">
      <selection activeCell="AA13" sqref="AA13"/>
    </sheetView>
  </sheetViews>
  <sheetFormatPr defaultColWidth="9.140625" defaultRowHeight="34.5" customHeight="1"/>
  <cols>
    <col min="1" max="4" width="9.140625" style="153"/>
    <col min="5" max="5" width="35.140625" style="153" customWidth="1"/>
    <col min="6" max="6" width="9.140625" style="153"/>
    <col min="7" max="7" width="25.5703125" style="153" customWidth="1"/>
    <col min="8" max="8" width="13.28515625" style="153" customWidth="1"/>
    <col min="9" max="9" width="31.140625" style="153" customWidth="1"/>
    <col min="10" max="10" width="32.5703125" style="153" customWidth="1"/>
    <col min="11" max="22" width="7.5703125" style="153" customWidth="1"/>
    <col min="23" max="23" width="6.28515625" style="153" customWidth="1"/>
    <col min="24" max="24" width="2.7109375" style="153" customWidth="1"/>
    <col min="25" max="25" width="18.140625" style="153" customWidth="1"/>
    <col min="26" max="16384" width="9.140625" style="153"/>
  </cols>
  <sheetData>
    <row r="1" spans="1:27" ht="34.5" customHeight="1" thickBot="1"/>
    <row r="2" spans="1:27" ht="45.75" customHeight="1" thickTop="1">
      <c r="A2" s="959" t="s">
        <v>0</v>
      </c>
      <c r="B2" s="960"/>
      <c r="C2" s="960"/>
      <c r="D2" s="960"/>
      <c r="E2" s="960"/>
      <c r="F2" s="960"/>
      <c r="G2" s="960"/>
      <c r="H2" s="960"/>
      <c r="I2" s="960"/>
      <c r="J2" s="960"/>
      <c r="K2" s="960"/>
      <c r="L2" s="960"/>
      <c r="M2" s="960"/>
      <c r="N2" s="960"/>
      <c r="O2" s="960"/>
      <c r="P2" s="960"/>
      <c r="Q2" s="960"/>
      <c r="R2" s="960"/>
      <c r="S2" s="960"/>
      <c r="T2" s="960"/>
      <c r="U2" s="960"/>
      <c r="V2" s="960"/>
      <c r="W2" s="960"/>
      <c r="X2" s="960"/>
      <c r="Y2" s="961"/>
    </row>
    <row r="3" spans="1:27" ht="34.5" customHeight="1" thickBot="1">
      <c r="A3" s="962"/>
      <c r="B3" s="963"/>
      <c r="C3" s="963"/>
      <c r="D3" s="963"/>
      <c r="E3" s="963"/>
      <c r="F3" s="963"/>
      <c r="G3" s="963"/>
      <c r="H3" s="963"/>
      <c r="I3" s="963"/>
      <c r="J3" s="963"/>
      <c r="K3" s="963"/>
      <c r="L3" s="963"/>
      <c r="M3" s="963"/>
      <c r="N3" s="963"/>
      <c r="O3" s="963"/>
      <c r="P3" s="963"/>
      <c r="Q3" s="963"/>
      <c r="R3" s="963"/>
      <c r="S3" s="963"/>
      <c r="T3" s="963"/>
      <c r="U3" s="963"/>
      <c r="V3" s="963"/>
      <c r="W3" s="963"/>
      <c r="X3" s="963"/>
      <c r="Y3" s="964"/>
    </row>
    <row r="4" spans="1:27" ht="48" customHeight="1" thickTop="1">
      <c r="A4" s="965" t="s">
        <v>307</v>
      </c>
      <c r="B4" s="966"/>
      <c r="C4" s="966"/>
      <c r="D4" s="966"/>
      <c r="E4" s="967"/>
      <c r="F4" s="968" t="s">
        <v>178</v>
      </c>
      <c r="G4" s="969"/>
      <c r="H4" s="970" t="s">
        <v>308</v>
      </c>
      <c r="I4" s="971"/>
      <c r="J4" s="971"/>
      <c r="K4" s="971"/>
      <c r="L4" s="971"/>
      <c r="M4" s="971"/>
      <c r="N4" s="971"/>
      <c r="O4" s="971"/>
      <c r="P4" s="971"/>
      <c r="Q4" s="971"/>
      <c r="R4" s="971"/>
      <c r="S4" s="971"/>
      <c r="T4" s="971"/>
      <c r="U4" s="971"/>
      <c r="V4" s="971"/>
      <c r="W4" s="971"/>
      <c r="X4" s="971"/>
      <c r="Y4" s="972"/>
    </row>
    <row r="5" spans="1:27" ht="34.5" customHeight="1">
      <c r="A5" s="976" t="s">
        <v>280</v>
      </c>
      <c r="B5" s="977"/>
      <c r="C5" s="977"/>
      <c r="D5" s="977"/>
      <c r="E5" s="978"/>
      <c r="F5" s="979" t="s">
        <v>281</v>
      </c>
      <c r="G5" s="980"/>
      <c r="H5" s="973"/>
      <c r="I5" s="974"/>
      <c r="J5" s="974"/>
      <c r="K5" s="974"/>
      <c r="L5" s="974"/>
      <c r="M5" s="974"/>
      <c r="N5" s="974"/>
      <c r="O5" s="974"/>
      <c r="P5" s="974"/>
      <c r="Q5" s="974"/>
      <c r="R5" s="974"/>
      <c r="S5" s="974"/>
      <c r="T5" s="974"/>
      <c r="U5" s="974"/>
      <c r="V5" s="974"/>
      <c r="W5" s="974"/>
      <c r="X5" s="974"/>
      <c r="Y5" s="975"/>
    </row>
    <row r="6" spans="1:27" ht="55.5" customHeight="1" thickBot="1">
      <c r="A6" s="981" t="s">
        <v>309</v>
      </c>
      <c r="B6" s="982"/>
      <c r="C6" s="982"/>
      <c r="D6" s="982"/>
      <c r="E6" s="983"/>
      <c r="F6" s="984" t="s">
        <v>283</v>
      </c>
      <c r="G6" s="984"/>
      <c r="H6" s="985" t="s">
        <v>284</v>
      </c>
      <c r="I6" s="986"/>
      <c r="J6" s="986"/>
      <c r="K6" s="986"/>
      <c r="L6" s="986"/>
      <c r="M6" s="986"/>
      <c r="N6" s="986"/>
      <c r="O6" s="986"/>
      <c r="P6" s="986"/>
      <c r="Q6" s="986"/>
      <c r="R6" s="986"/>
      <c r="S6" s="986"/>
      <c r="T6" s="986"/>
      <c r="U6" s="986"/>
      <c r="V6" s="986"/>
      <c r="W6" s="986"/>
      <c r="X6" s="986"/>
      <c r="Y6" s="987"/>
    </row>
    <row r="7" spans="1:27" ht="34.5" customHeight="1">
      <c r="A7" s="988" t="s">
        <v>9</v>
      </c>
      <c r="B7" s="990" t="s">
        <v>58</v>
      </c>
      <c r="C7" s="991"/>
      <c r="D7" s="991"/>
      <c r="E7" s="991"/>
      <c r="F7" s="991"/>
      <c r="G7" s="992"/>
      <c r="H7" s="996" t="s">
        <v>59</v>
      </c>
      <c r="I7" s="998" t="s">
        <v>60</v>
      </c>
      <c r="J7" s="996" t="s">
        <v>61</v>
      </c>
      <c r="K7" s="999" t="s">
        <v>62</v>
      </c>
      <c r="L7" s="999"/>
      <c r="M7" s="999"/>
      <c r="N7" s="999"/>
      <c r="O7" s="999"/>
      <c r="P7" s="999"/>
      <c r="Q7" s="999"/>
      <c r="R7" s="999"/>
      <c r="S7" s="999"/>
      <c r="T7" s="999"/>
      <c r="U7" s="999"/>
      <c r="V7" s="999"/>
      <c r="W7" s="990" t="s">
        <v>186</v>
      </c>
      <c r="X7" s="991"/>
      <c r="Y7" s="1000"/>
    </row>
    <row r="8" spans="1:27" ht="60" customHeight="1">
      <c r="A8" s="989"/>
      <c r="B8" s="993"/>
      <c r="C8" s="994"/>
      <c r="D8" s="994"/>
      <c r="E8" s="994"/>
      <c r="F8" s="994"/>
      <c r="G8" s="995"/>
      <c r="H8" s="997"/>
      <c r="I8" s="997"/>
      <c r="J8" s="997"/>
      <c r="K8" s="154" t="s">
        <v>187</v>
      </c>
      <c r="L8" s="154" t="s">
        <v>188</v>
      </c>
      <c r="M8" s="154" t="s">
        <v>18</v>
      </c>
      <c r="N8" s="154" t="s">
        <v>189</v>
      </c>
      <c r="O8" s="154" t="s">
        <v>20</v>
      </c>
      <c r="P8" s="154" t="s">
        <v>190</v>
      </c>
      <c r="Q8" s="154" t="s">
        <v>22</v>
      </c>
      <c r="R8" s="154" t="s">
        <v>23</v>
      </c>
      <c r="S8" s="154" t="s">
        <v>24</v>
      </c>
      <c r="T8" s="154" t="s">
        <v>25</v>
      </c>
      <c r="U8" s="154" t="s">
        <v>26</v>
      </c>
      <c r="V8" s="154" t="s">
        <v>27</v>
      </c>
      <c r="W8" s="993"/>
      <c r="X8" s="994"/>
      <c r="Y8" s="1001"/>
    </row>
    <row r="9" spans="1:27" ht="50.1" customHeight="1">
      <c r="A9" s="155" t="s">
        <v>28</v>
      </c>
      <c r="B9" s="1002" t="s">
        <v>310</v>
      </c>
      <c r="C9" s="1003"/>
      <c r="D9" s="1003"/>
      <c r="E9" s="1003"/>
      <c r="F9" s="1003"/>
      <c r="G9" s="1004"/>
      <c r="H9" s="156">
        <v>25</v>
      </c>
      <c r="I9" s="157" t="s">
        <v>288</v>
      </c>
      <c r="J9" s="158"/>
      <c r="K9" s="159"/>
      <c r="L9" s="159"/>
      <c r="M9" s="160"/>
      <c r="N9" s="160"/>
      <c r="O9" s="160"/>
      <c r="P9" s="160"/>
      <c r="Q9" s="159"/>
      <c r="R9" s="159"/>
      <c r="S9" s="160"/>
      <c r="T9" s="160"/>
      <c r="U9" s="160"/>
      <c r="V9" s="160"/>
      <c r="W9" s="1005"/>
      <c r="X9" s="1006"/>
      <c r="Y9" s="1007"/>
      <c r="AA9" s="153">
        <v>12.5</v>
      </c>
    </row>
    <row r="10" spans="1:27" ht="50.1" customHeight="1">
      <c r="A10" s="155" t="s">
        <v>66</v>
      </c>
      <c r="B10" s="1002" t="s">
        <v>311</v>
      </c>
      <c r="C10" s="1003"/>
      <c r="D10" s="1003"/>
      <c r="E10" s="1003"/>
      <c r="F10" s="1003"/>
      <c r="G10" s="1004"/>
      <c r="H10" s="156">
        <v>25</v>
      </c>
      <c r="I10" s="157" t="s">
        <v>288</v>
      </c>
      <c r="J10" s="158"/>
      <c r="K10" s="160"/>
      <c r="L10" s="159"/>
      <c r="M10" s="159"/>
      <c r="N10" s="160"/>
      <c r="O10" s="160"/>
      <c r="P10" s="160"/>
      <c r="Q10" s="160"/>
      <c r="R10" s="159"/>
      <c r="S10" s="159"/>
      <c r="T10" s="160"/>
      <c r="U10" s="160"/>
      <c r="V10" s="160"/>
      <c r="W10" s="1005"/>
      <c r="X10" s="1006"/>
      <c r="Y10" s="1007"/>
      <c r="AA10" s="153">
        <v>12.5</v>
      </c>
    </row>
    <row r="11" spans="1:27" ht="50.1" customHeight="1">
      <c r="A11" s="155" t="s">
        <v>68</v>
      </c>
      <c r="B11" s="1002" t="s">
        <v>312</v>
      </c>
      <c r="C11" s="1003"/>
      <c r="D11" s="1003"/>
      <c r="E11" s="1003"/>
      <c r="F11" s="1003"/>
      <c r="G11" s="1004"/>
      <c r="H11" s="156">
        <v>20</v>
      </c>
      <c r="I11" s="157" t="s">
        <v>301</v>
      </c>
      <c r="J11" s="158"/>
      <c r="K11" s="160"/>
      <c r="L11" s="160"/>
      <c r="M11" s="159"/>
      <c r="N11" s="159"/>
      <c r="O11" s="160"/>
      <c r="P11" s="160"/>
      <c r="Q11" s="160"/>
      <c r="R11" s="160"/>
      <c r="S11" s="159"/>
      <c r="T11" s="159"/>
      <c r="U11" s="160"/>
      <c r="V11" s="160"/>
      <c r="W11" s="1005"/>
      <c r="X11" s="1006"/>
      <c r="Y11" s="1007"/>
      <c r="AA11" s="153">
        <v>5</v>
      </c>
    </row>
    <row r="12" spans="1:27" ht="50.1" customHeight="1">
      <c r="A12" s="155" t="s">
        <v>70</v>
      </c>
      <c r="B12" s="1002" t="s">
        <v>313</v>
      </c>
      <c r="C12" s="1003"/>
      <c r="D12" s="1003"/>
      <c r="E12" s="1003"/>
      <c r="F12" s="1003"/>
      <c r="G12" s="1004"/>
      <c r="H12" s="156">
        <v>10</v>
      </c>
      <c r="I12" s="157" t="s">
        <v>314</v>
      </c>
      <c r="J12" s="158"/>
      <c r="K12" s="160"/>
      <c r="L12" s="160"/>
      <c r="M12" s="159"/>
      <c r="N12" s="159"/>
      <c r="O12" s="160"/>
      <c r="P12" s="160"/>
      <c r="Q12" s="160"/>
      <c r="R12" s="160"/>
      <c r="S12" s="159"/>
      <c r="T12" s="159"/>
      <c r="U12" s="160"/>
      <c r="V12" s="160"/>
      <c r="W12" s="1005"/>
      <c r="X12" s="1006"/>
      <c r="Y12" s="1007"/>
      <c r="AA12" s="153">
        <f>(10/4)*1</f>
        <v>2.5</v>
      </c>
    </row>
    <row r="13" spans="1:27" ht="50.1" customHeight="1">
      <c r="A13" s="155" t="s">
        <v>153</v>
      </c>
      <c r="B13" s="1002" t="s">
        <v>315</v>
      </c>
      <c r="C13" s="1003"/>
      <c r="D13" s="1003"/>
      <c r="E13" s="1003"/>
      <c r="F13" s="1003"/>
      <c r="G13" s="1004"/>
      <c r="H13" s="156">
        <v>10</v>
      </c>
      <c r="I13" s="157" t="s">
        <v>316</v>
      </c>
      <c r="J13" s="158"/>
      <c r="K13" s="160"/>
      <c r="L13" s="160"/>
      <c r="M13" s="160"/>
      <c r="N13" s="160"/>
      <c r="O13" s="159"/>
      <c r="P13" s="160"/>
      <c r="Q13" s="160"/>
      <c r="R13" s="160"/>
      <c r="S13" s="160"/>
      <c r="T13" s="160"/>
      <c r="U13" s="159"/>
      <c r="V13" s="160"/>
      <c r="W13" s="1005"/>
      <c r="X13" s="1006"/>
      <c r="Y13" s="1007"/>
    </row>
    <row r="14" spans="1:27" ht="50.1" customHeight="1">
      <c r="A14" s="155" t="s">
        <v>155</v>
      </c>
      <c r="B14" s="1002" t="s">
        <v>317</v>
      </c>
      <c r="C14" s="1003"/>
      <c r="D14" s="1003"/>
      <c r="E14" s="1003"/>
      <c r="F14" s="1003"/>
      <c r="G14" s="1004"/>
      <c r="H14" s="156">
        <v>10</v>
      </c>
      <c r="I14" s="157" t="s">
        <v>318</v>
      </c>
      <c r="J14" s="158"/>
      <c r="K14" s="160"/>
      <c r="L14" s="160"/>
      <c r="M14" s="160"/>
      <c r="N14" s="160"/>
      <c r="O14" s="160"/>
      <c r="P14" s="159"/>
      <c r="Q14" s="159"/>
      <c r="R14" s="159"/>
      <c r="S14" s="159"/>
      <c r="T14" s="159"/>
      <c r="U14" s="159"/>
      <c r="V14" s="159"/>
      <c r="W14" s="1005"/>
      <c r="X14" s="1006"/>
      <c r="Y14" s="1007"/>
    </row>
    <row r="15" spans="1:27" ht="34.5" customHeight="1">
      <c r="A15" s="1016"/>
      <c r="B15" s="1017"/>
      <c r="C15" s="1017"/>
      <c r="D15" s="1017"/>
      <c r="E15" s="1017"/>
      <c r="F15" s="1017"/>
      <c r="G15" s="1017"/>
      <c r="H15" s="1017"/>
      <c r="I15" s="1017"/>
      <c r="J15" s="1017"/>
      <c r="K15" s="1017"/>
      <c r="L15" s="1017"/>
      <c r="M15" s="1017"/>
      <c r="N15" s="1017"/>
      <c r="O15" s="1017"/>
      <c r="P15" s="1017"/>
      <c r="Q15" s="1017"/>
      <c r="R15" s="1017"/>
      <c r="S15" s="1017"/>
      <c r="T15" s="1017"/>
      <c r="U15" s="1017"/>
      <c r="V15" s="1017"/>
      <c r="W15" s="1017"/>
      <c r="X15" s="1017"/>
      <c r="Y15" s="1018"/>
    </row>
    <row r="16" spans="1:27" ht="34.5" customHeight="1" thickBot="1">
      <c r="A16" s="1019" t="s">
        <v>293</v>
      </c>
      <c r="B16" s="994"/>
      <c r="C16" s="994"/>
      <c r="D16" s="1001"/>
      <c r="E16" s="1023" t="s">
        <v>294</v>
      </c>
      <c r="F16" s="1024"/>
      <c r="G16" s="1024"/>
      <c r="H16" s="1024"/>
      <c r="I16" s="1025"/>
      <c r="J16" s="1023" t="s">
        <v>74</v>
      </c>
      <c r="K16" s="1024"/>
      <c r="L16" s="1024"/>
      <c r="M16" s="1024"/>
      <c r="N16" s="1024"/>
      <c r="O16" s="1025"/>
      <c r="P16" s="1026" t="s">
        <v>75</v>
      </c>
      <c r="Q16" s="1027"/>
      <c r="R16" s="1027"/>
      <c r="S16" s="1027"/>
      <c r="T16" s="1027"/>
      <c r="U16" s="1027"/>
      <c r="V16" s="1028"/>
      <c r="W16" s="1026" t="s">
        <v>295</v>
      </c>
      <c r="X16" s="1027"/>
      <c r="Y16" s="1028"/>
    </row>
    <row r="17" spans="1:25" ht="34.5" customHeight="1" thickTop="1">
      <c r="A17" s="1019"/>
      <c r="B17" s="994"/>
      <c r="C17" s="994"/>
      <c r="D17" s="1001"/>
      <c r="E17" s="1010"/>
      <c r="F17" s="1012"/>
      <c r="G17" s="1010"/>
      <c r="H17" s="1011"/>
      <c r="I17" s="1012"/>
      <c r="J17" s="1008" t="s">
        <v>47</v>
      </c>
      <c r="K17" s="1032" t="s">
        <v>296</v>
      </c>
      <c r="L17" s="1011"/>
      <c r="M17" s="1011"/>
      <c r="N17" s="1011"/>
      <c r="O17" s="1012"/>
      <c r="P17" s="1026"/>
      <c r="Q17" s="1027"/>
      <c r="R17" s="1027"/>
      <c r="S17" s="1027"/>
      <c r="T17" s="1027"/>
      <c r="U17" s="1027"/>
      <c r="V17" s="1028"/>
      <c r="W17" s="1026"/>
      <c r="X17" s="1027"/>
      <c r="Y17" s="1028"/>
    </row>
    <row r="18" spans="1:25" ht="34.5" customHeight="1" thickBot="1">
      <c r="A18" s="1019"/>
      <c r="B18" s="994"/>
      <c r="C18" s="994"/>
      <c r="D18" s="1001"/>
      <c r="E18" s="1029"/>
      <c r="F18" s="1030"/>
      <c r="G18" s="1029"/>
      <c r="H18" s="1031"/>
      <c r="I18" s="1030"/>
      <c r="J18" s="1009"/>
      <c r="K18" s="1013"/>
      <c r="L18" s="1014"/>
      <c r="M18" s="1014"/>
      <c r="N18" s="1014"/>
      <c r="O18" s="1015"/>
      <c r="P18" s="1026"/>
      <c r="Q18" s="1027"/>
      <c r="R18" s="1027"/>
      <c r="S18" s="1027"/>
      <c r="T18" s="1027"/>
      <c r="U18" s="1027"/>
      <c r="V18" s="1028"/>
      <c r="W18" s="1026"/>
      <c r="X18" s="1027"/>
      <c r="Y18" s="1028"/>
    </row>
    <row r="19" spans="1:25" ht="34.5" customHeight="1" thickTop="1">
      <c r="A19" s="1019"/>
      <c r="B19" s="994"/>
      <c r="C19" s="994"/>
      <c r="D19" s="1001"/>
      <c r="E19" s="1029"/>
      <c r="F19" s="1030"/>
      <c r="G19" s="1029"/>
      <c r="H19" s="1031"/>
      <c r="I19" s="1030"/>
      <c r="J19" s="1008" t="s">
        <v>48</v>
      </c>
      <c r="K19" s="1010"/>
      <c r="L19" s="1011"/>
      <c r="M19" s="1011"/>
      <c r="N19" s="1011"/>
      <c r="O19" s="1012"/>
      <c r="P19" s="1026"/>
      <c r="Q19" s="1027"/>
      <c r="R19" s="1027"/>
      <c r="S19" s="1027"/>
      <c r="T19" s="1027"/>
      <c r="U19" s="1027"/>
      <c r="V19" s="1028"/>
      <c r="W19" s="1026"/>
      <c r="X19" s="1027"/>
      <c r="Y19" s="1028"/>
    </row>
    <row r="20" spans="1:25" ht="34.5" customHeight="1" thickBot="1">
      <c r="A20" s="1020"/>
      <c r="B20" s="1021"/>
      <c r="C20" s="1021"/>
      <c r="D20" s="1022"/>
      <c r="E20" s="1013"/>
      <c r="F20" s="1015"/>
      <c r="G20" s="1013"/>
      <c r="H20" s="1014"/>
      <c r="I20" s="1015"/>
      <c r="J20" s="1009"/>
      <c r="K20" s="1013"/>
      <c r="L20" s="1014"/>
      <c r="M20" s="1014"/>
      <c r="N20" s="1014"/>
      <c r="O20" s="1015"/>
      <c r="P20" s="1023"/>
      <c r="Q20" s="1024"/>
      <c r="R20" s="1024"/>
      <c r="S20" s="1024"/>
      <c r="T20" s="1024"/>
      <c r="U20" s="1024"/>
      <c r="V20" s="1025"/>
      <c r="W20" s="1023"/>
      <c r="X20" s="1024"/>
      <c r="Y20" s="1025"/>
    </row>
  </sheetData>
  <mergeCells count="40">
    <mergeCell ref="J19:J20"/>
    <mergeCell ref="K19:O20"/>
    <mergeCell ref="A15:Y15"/>
    <mergeCell ref="A16:D20"/>
    <mergeCell ref="E16:I16"/>
    <mergeCell ref="J16:O16"/>
    <mergeCell ref="P16:V20"/>
    <mergeCell ref="W16:Y20"/>
    <mergeCell ref="E17:F20"/>
    <mergeCell ref="G17:I20"/>
    <mergeCell ref="J17:J18"/>
    <mergeCell ref="K17:O18"/>
    <mergeCell ref="B12:G12"/>
    <mergeCell ref="W12:Y12"/>
    <mergeCell ref="B13:G13"/>
    <mergeCell ref="W13:Y13"/>
    <mergeCell ref="B14:G14"/>
    <mergeCell ref="W14:Y14"/>
    <mergeCell ref="B9:G9"/>
    <mergeCell ref="W9:Y9"/>
    <mergeCell ref="B10:G10"/>
    <mergeCell ref="W10:Y10"/>
    <mergeCell ref="B11:G11"/>
    <mergeCell ref="W11:Y11"/>
    <mergeCell ref="A6:E6"/>
    <mergeCell ref="F6:G6"/>
    <mergeCell ref="H6:Y6"/>
    <mergeCell ref="A7:A8"/>
    <mergeCell ref="B7:G8"/>
    <mergeCell ref="H7:H8"/>
    <mergeCell ref="I7:I8"/>
    <mergeCell ref="J7:J8"/>
    <mergeCell ref="K7:V7"/>
    <mergeCell ref="W7:Y8"/>
    <mergeCell ref="A2:Y3"/>
    <mergeCell ref="A4:E4"/>
    <mergeCell ref="F4:G4"/>
    <mergeCell ref="H4:Y5"/>
    <mergeCell ref="A5:E5"/>
    <mergeCell ref="F5:G5"/>
  </mergeCells>
  <pageMargins left="0.17" right="0.17" top="0.75" bottom="0.75" header="0.3" footer="0.3"/>
  <pageSetup scale="45" orientation="landscape"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19719-09CE-4237-8BDE-8C79BFE46CA7}">
  <dimension ref="A1:AA20"/>
  <sheetViews>
    <sheetView rightToLeft="1" zoomScale="60" zoomScaleNormal="60" workbookViewId="0">
      <selection activeCell="AA11" sqref="AA11"/>
    </sheetView>
  </sheetViews>
  <sheetFormatPr defaultColWidth="9.140625" defaultRowHeight="34.5" customHeight="1"/>
  <cols>
    <col min="1" max="4" width="9.140625" style="153"/>
    <col min="5" max="5" width="35.140625" style="153" customWidth="1"/>
    <col min="6" max="6" width="9.140625" style="153"/>
    <col min="7" max="7" width="25.5703125" style="153" customWidth="1"/>
    <col min="8" max="8" width="13.28515625" style="153" customWidth="1"/>
    <col min="9" max="9" width="31.140625" style="153" customWidth="1"/>
    <col min="10" max="10" width="32.5703125" style="153" customWidth="1"/>
    <col min="11" max="22" width="7.5703125" style="153" customWidth="1"/>
    <col min="23" max="23" width="6.28515625" style="153" customWidth="1"/>
    <col min="24" max="24" width="2.7109375" style="153" customWidth="1"/>
    <col min="25" max="25" width="18.140625" style="153" customWidth="1"/>
    <col min="26" max="16384" width="9.140625" style="153"/>
  </cols>
  <sheetData>
    <row r="1" spans="1:27" ht="34.5" customHeight="1" thickBot="1"/>
    <row r="2" spans="1:27" ht="45.75" customHeight="1" thickTop="1">
      <c r="A2" s="959" t="s">
        <v>0</v>
      </c>
      <c r="B2" s="960"/>
      <c r="C2" s="960"/>
      <c r="D2" s="960"/>
      <c r="E2" s="960"/>
      <c r="F2" s="960"/>
      <c r="G2" s="960"/>
      <c r="H2" s="960"/>
      <c r="I2" s="960"/>
      <c r="J2" s="960"/>
      <c r="K2" s="960"/>
      <c r="L2" s="960"/>
      <c r="M2" s="960"/>
      <c r="N2" s="960"/>
      <c r="O2" s="960"/>
      <c r="P2" s="960"/>
      <c r="Q2" s="960"/>
      <c r="R2" s="960"/>
      <c r="S2" s="960"/>
      <c r="T2" s="960"/>
      <c r="U2" s="960"/>
      <c r="V2" s="960"/>
      <c r="W2" s="960"/>
      <c r="X2" s="960"/>
      <c r="Y2" s="961"/>
    </row>
    <row r="3" spans="1:27" ht="34.5" customHeight="1" thickBot="1">
      <c r="A3" s="962"/>
      <c r="B3" s="963"/>
      <c r="C3" s="963"/>
      <c r="D3" s="963"/>
      <c r="E3" s="963"/>
      <c r="F3" s="963"/>
      <c r="G3" s="963"/>
      <c r="H3" s="963"/>
      <c r="I3" s="963"/>
      <c r="J3" s="963"/>
      <c r="K3" s="963"/>
      <c r="L3" s="963"/>
      <c r="M3" s="963"/>
      <c r="N3" s="963"/>
      <c r="O3" s="963"/>
      <c r="P3" s="963"/>
      <c r="Q3" s="963"/>
      <c r="R3" s="963"/>
      <c r="S3" s="963"/>
      <c r="T3" s="963"/>
      <c r="U3" s="963"/>
      <c r="V3" s="963"/>
      <c r="W3" s="963"/>
      <c r="X3" s="963"/>
      <c r="Y3" s="964"/>
    </row>
    <row r="4" spans="1:27" ht="48" customHeight="1" thickTop="1">
      <c r="A4" s="965" t="s">
        <v>297</v>
      </c>
      <c r="B4" s="966"/>
      <c r="C4" s="966"/>
      <c r="D4" s="966"/>
      <c r="E4" s="967"/>
      <c r="F4" s="968" t="s">
        <v>178</v>
      </c>
      <c r="G4" s="969"/>
      <c r="H4" s="970" t="s">
        <v>298</v>
      </c>
      <c r="I4" s="971"/>
      <c r="J4" s="971"/>
      <c r="K4" s="971"/>
      <c r="L4" s="971"/>
      <c r="M4" s="971"/>
      <c r="N4" s="971"/>
      <c r="O4" s="971"/>
      <c r="P4" s="971"/>
      <c r="Q4" s="971"/>
      <c r="R4" s="971"/>
      <c r="S4" s="971"/>
      <c r="T4" s="971"/>
      <c r="U4" s="971"/>
      <c r="V4" s="971"/>
      <c r="W4" s="971"/>
      <c r="X4" s="971"/>
      <c r="Y4" s="972"/>
    </row>
    <row r="5" spans="1:27" ht="34.5" customHeight="1">
      <c r="A5" s="976" t="s">
        <v>280</v>
      </c>
      <c r="B5" s="977"/>
      <c r="C5" s="977"/>
      <c r="D5" s="977"/>
      <c r="E5" s="978"/>
      <c r="F5" s="979" t="s">
        <v>281</v>
      </c>
      <c r="G5" s="980"/>
      <c r="H5" s="973"/>
      <c r="I5" s="974"/>
      <c r="J5" s="974"/>
      <c r="K5" s="974"/>
      <c r="L5" s="974"/>
      <c r="M5" s="974"/>
      <c r="N5" s="974"/>
      <c r="O5" s="974"/>
      <c r="P5" s="974"/>
      <c r="Q5" s="974"/>
      <c r="R5" s="974"/>
      <c r="S5" s="974"/>
      <c r="T5" s="974"/>
      <c r="U5" s="974"/>
      <c r="V5" s="974"/>
      <c r="W5" s="974"/>
      <c r="X5" s="974"/>
      <c r="Y5" s="975"/>
    </row>
    <row r="6" spans="1:27" ht="55.5" customHeight="1" thickBot="1">
      <c r="A6" s="981" t="s">
        <v>299</v>
      </c>
      <c r="B6" s="982"/>
      <c r="C6" s="982"/>
      <c r="D6" s="982"/>
      <c r="E6" s="983"/>
      <c r="F6" s="984" t="s">
        <v>283</v>
      </c>
      <c r="G6" s="984"/>
      <c r="H6" s="985" t="s">
        <v>284</v>
      </c>
      <c r="I6" s="986"/>
      <c r="J6" s="986"/>
      <c r="K6" s="986"/>
      <c r="L6" s="986"/>
      <c r="M6" s="986"/>
      <c r="N6" s="986"/>
      <c r="O6" s="986"/>
      <c r="P6" s="986"/>
      <c r="Q6" s="986"/>
      <c r="R6" s="986"/>
      <c r="S6" s="986"/>
      <c r="T6" s="986"/>
      <c r="U6" s="986"/>
      <c r="V6" s="986"/>
      <c r="W6" s="986"/>
      <c r="X6" s="986"/>
      <c r="Y6" s="987"/>
    </row>
    <row r="7" spans="1:27" ht="34.5" customHeight="1">
      <c r="A7" s="988" t="s">
        <v>9</v>
      </c>
      <c r="B7" s="990" t="s">
        <v>58</v>
      </c>
      <c r="C7" s="991"/>
      <c r="D7" s="991"/>
      <c r="E7" s="991"/>
      <c r="F7" s="991"/>
      <c r="G7" s="992"/>
      <c r="H7" s="996" t="s">
        <v>59</v>
      </c>
      <c r="I7" s="998" t="s">
        <v>60</v>
      </c>
      <c r="J7" s="996" t="s">
        <v>61</v>
      </c>
      <c r="K7" s="999" t="s">
        <v>62</v>
      </c>
      <c r="L7" s="999"/>
      <c r="M7" s="999"/>
      <c r="N7" s="999"/>
      <c r="O7" s="999"/>
      <c r="P7" s="999"/>
      <c r="Q7" s="999"/>
      <c r="R7" s="999"/>
      <c r="S7" s="999"/>
      <c r="T7" s="999"/>
      <c r="U7" s="999"/>
      <c r="V7" s="999"/>
      <c r="W7" s="990" t="s">
        <v>186</v>
      </c>
      <c r="X7" s="991"/>
      <c r="Y7" s="1000"/>
    </row>
    <row r="8" spans="1:27" ht="60" customHeight="1">
      <c r="A8" s="989"/>
      <c r="B8" s="993"/>
      <c r="C8" s="994"/>
      <c r="D8" s="994"/>
      <c r="E8" s="994"/>
      <c r="F8" s="994"/>
      <c r="G8" s="995"/>
      <c r="H8" s="997"/>
      <c r="I8" s="997"/>
      <c r="J8" s="997"/>
      <c r="K8" s="154" t="s">
        <v>187</v>
      </c>
      <c r="L8" s="154" t="s">
        <v>188</v>
      </c>
      <c r="M8" s="154" t="s">
        <v>18</v>
      </c>
      <c r="N8" s="154" t="s">
        <v>189</v>
      </c>
      <c r="O8" s="154" t="s">
        <v>20</v>
      </c>
      <c r="P8" s="154" t="s">
        <v>190</v>
      </c>
      <c r="Q8" s="154" t="s">
        <v>22</v>
      </c>
      <c r="R8" s="154" t="s">
        <v>23</v>
      </c>
      <c r="S8" s="154" t="s">
        <v>24</v>
      </c>
      <c r="T8" s="154" t="s">
        <v>25</v>
      </c>
      <c r="U8" s="154" t="s">
        <v>26</v>
      </c>
      <c r="V8" s="154" t="s">
        <v>27</v>
      </c>
      <c r="W8" s="993"/>
      <c r="X8" s="994"/>
      <c r="Y8" s="1001"/>
    </row>
    <row r="9" spans="1:27" ht="50.1" customHeight="1">
      <c r="A9" s="155" t="s">
        <v>28</v>
      </c>
      <c r="B9" s="1002" t="s">
        <v>300</v>
      </c>
      <c r="C9" s="1003"/>
      <c r="D9" s="1003"/>
      <c r="E9" s="1003"/>
      <c r="F9" s="1003"/>
      <c r="G9" s="1004"/>
      <c r="H9" s="156">
        <v>20</v>
      </c>
      <c r="I9" s="157" t="s">
        <v>301</v>
      </c>
      <c r="J9" s="158"/>
      <c r="K9" s="159"/>
      <c r="L9" s="159"/>
      <c r="M9" s="160"/>
      <c r="N9" s="160"/>
      <c r="O9" s="160"/>
      <c r="P9" s="160"/>
      <c r="Q9" s="160"/>
      <c r="R9" s="160"/>
      <c r="S9" s="160"/>
      <c r="T9" s="160"/>
      <c r="U9" s="160"/>
      <c r="V9" s="160"/>
      <c r="W9" s="1005"/>
      <c r="X9" s="1006"/>
      <c r="Y9" s="1007"/>
      <c r="AA9" s="153">
        <v>20</v>
      </c>
    </row>
    <row r="10" spans="1:27" ht="50.1" customHeight="1">
      <c r="A10" s="155" t="s">
        <v>66</v>
      </c>
      <c r="B10" s="1002" t="s">
        <v>302</v>
      </c>
      <c r="C10" s="1003"/>
      <c r="D10" s="1003"/>
      <c r="E10" s="1003"/>
      <c r="F10" s="1003"/>
      <c r="G10" s="1004"/>
      <c r="H10" s="156">
        <v>20</v>
      </c>
      <c r="I10" s="157" t="s">
        <v>301</v>
      </c>
      <c r="J10" s="158"/>
      <c r="K10" s="160"/>
      <c r="L10" s="159"/>
      <c r="M10" s="159"/>
      <c r="N10" s="160"/>
      <c r="O10" s="160"/>
      <c r="P10" s="160"/>
      <c r="Q10" s="160"/>
      <c r="R10" s="160"/>
      <c r="S10" s="160"/>
      <c r="T10" s="160"/>
      <c r="U10" s="160"/>
      <c r="V10" s="160"/>
      <c r="W10" s="1005"/>
      <c r="X10" s="1006"/>
      <c r="Y10" s="1007"/>
      <c r="AA10" s="153">
        <v>20</v>
      </c>
    </row>
    <row r="11" spans="1:27" ht="50.1" customHeight="1">
      <c r="A11" s="155" t="s">
        <v>68</v>
      </c>
      <c r="B11" s="1002" t="s">
        <v>303</v>
      </c>
      <c r="C11" s="1003"/>
      <c r="D11" s="1003"/>
      <c r="E11" s="1003"/>
      <c r="F11" s="1003"/>
      <c r="G11" s="1004"/>
      <c r="H11" s="156">
        <v>15</v>
      </c>
      <c r="I11" s="157" t="s">
        <v>301</v>
      </c>
      <c r="J11" s="158"/>
      <c r="K11" s="160"/>
      <c r="L11" s="160"/>
      <c r="M11" s="160"/>
      <c r="N11" s="159"/>
      <c r="O11" s="159"/>
      <c r="P11" s="160"/>
      <c r="Q11" s="160"/>
      <c r="R11" s="160"/>
      <c r="S11" s="160"/>
      <c r="T11" s="160"/>
      <c r="U11" s="160"/>
      <c r="V11" s="160"/>
      <c r="W11" s="1005"/>
      <c r="X11" s="1006"/>
      <c r="Y11" s="1007"/>
    </row>
    <row r="12" spans="1:27" ht="50.1" customHeight="1">
      <c r="A12" s="155" t="s">
        <v>70</v>
      </c>
      <c r="B12" s="1002" t="s">
        <v>304</v>
      </c>
      <c r="C12" s="1003"/>
      <c r="D12" s="1003"/>
      <c r="E12" s="1003"/>
      <c r="F12" s="1003"/>
      <c r="G12" s="1004"/>
      <c r="H12" s="156">
        <v>15</v>
      </c>
      <c r="I12" s="157" t="s">
        <v>301</v>
      </c>
      <c r="J12" s="158"/>
      <c r="K12" s="160"/>
      <c r="L12" s="160"/>
      <c r="M12" s="160"/>
      <c r="N12" s="160"/>
      <c r="O12" s="159"/>
      <c r="P12" s="159"/>
      <c r="Q12" s="160"/>
      <c r="R12" s="160"/>
      <c r="S12" s="160"/>
      <c r="T12" s="160"/>
      <c r="U12" s="160"/>
      <c r="V12" s="160"/>
      <c r="W12" s="1005"/>
      <c r="X12" s="1006"/>
      <c r="Y12" s="1007"/>
    </row>
    <row r="13" spans="1:27" ht="50.1" customHeight="1">
      <c r="A13" s="155" t="s">
        <v>153</v>
      </c>
      <c r="B13" s="1002" t="s">
        <v>305</v>
      </c>
      <c r="C13" s="1003"/>
      <c r="D13" s="1003"/>
      <c r="E13" s="1003"/>
      <c r="F13" s="1003"/>
      <c r="G13" s="1004"/>
      <c r="H13" s="156">
        <v>20</v>
      </c>
      <c r="I13" s="157" t="s">
        <v>306</v>
      </c>
      <c r="J13" s="158"/>
      <c r="K13" s="160"/>
      <c r="L13" s="160"/>
      <c r="M13" s="160"/>
      <c r="N13" s="160"/>
      <c r="O13" s="160"/>
      <c r="P13" s="160"/>
      <c r="Q13" s="159"/>
      <c r="R13" s="159"/>
      <c r="S13" s="159"/>
      <c r="T13" s="159"/>
      <c r="U13" s="159"/>
      <c r="V13" s="159"/>
      <c r="W13" s="1005"/>
      <c r="X13" s="1006"/>
      <c r="Y13" s="1007"/>
    </row>
    <row r="14" spans="1:27" ht="50.1" customHeight="1">
      <c r="A14" s="155" t="s">
        <v>155</v>
      </c>
      <c r="B14" s="1002" t="s">
        <v>292</v>
      </c>
      <c r="C14" s="1003"/>
      <c r="D14" s="1003"/>
      <c r="E14" s="1003"/>
      <c r="F14" s="1003"/>
      <c r="G14" s="1004"/>
      <c r="H14" s="156">
        <v>10</v>
      </c>
      <c r="I14" s="157" t="s">
        <v>288</v>
      </c>
      <c r="J14" s="158"/>
      <c r="K14" s="160"/>
      <c r="L14" s="160"/>
      <c r="M14" s="160"/>
      <c r="N14" s="160"/>
      <c r="O14" s="160"/>
      <c r="P14" s="160"/>
      <c r="Q14" s="159"/>
      <c r="R14" s="159"/>
      <c r="S14" s="159"/>
      <c r="T14" s="159"/>
      <c r="U14" s="159"/>
      <c r="V14" s="159"/>
      <c r="W14" s="1005"/>
      <c r="X14" s="1006"/>
      <c r="Y14" s="1007"/>
    </row>
    <row r="15" spans="1:27" ht="34.5" customHeight="1">
      <c r="A15" s="1016"/>
      <c r="B15" s="1017"/>
      <c r="C15" s="1017"/>
      <c r="D15" s="1017"/>
      <c r="E15" s="1017"/>
      <c r="F15" s="1017"/>
      <c r="G15" s="1017"/>
      <c r="H15" s="1017"/>
      <c r="I15" s="1017"/>
      <c r="J15" s="1017"/>
      <c r="K15" s="1017"/>
      <c r="L15" s="1017"/>
      <c r="M15" s="1017"/>
      <c r="N15" s="1017"/>
      <c r="O15" s="1017"/>
      <c r="P15" s="1017"/>
      <c r="Q15" s="1017"/>
      <c r="R15" s="1017"/>
      <c r="S15" s="1017"/>
      <c r="T15" s="1017"/>
      <c r="U15" s="1017"/>
      <c r="V15" s="1017"/>
      <c r="W15" s="1017"/>
      <c r="X15" s="1017"/>
      <c r="Y15" s="1018"/>
    </row>
    <row r="16" spans="1:27" ht="34.5" customHeight="1" thickBot="1">
      <c r="A16" s="1019" t="s">
        <v>293</v>
      </c>
      <c r="B16" s="994"/>
      <c r="C16" s="994"/>
      <c r="D16" s="1001"/>
      <c r="E16" s="1023" t="s">
        <v>294</v>
      </c>
      <c r="F16" s="1024"/>
      <c r="G16" s="1024"/>
      <c r="H16" s="1024"/>
      <c r="I16" s="1025"/>
      <c r="J16" s="1023" t="s">
        <v>74</v>
      </c>
      <c r="K16" s="1024"/>
      <c r="L16" s="1024"/>
      <c r="M16" s="1024"/>
      <c r="N16" s="1024"/>
      <c r="O16" s="1025"/>
      <c r="P16" s="1026" t="s">
        <v>75</v>
      </c>
      <c r="Q16" s="1027"/>
      <c r="R16" s="1027"/>
      <c r="S16" s="1027"/>
      <c r="T16" s="1027"/>
      <c r="U16" s="1027"/>
      <c r="V16" s="1028"/>
      <c r="W16" s="1026" t="s">
        <v>295</v>
      </c>
      <c r="X16" s="1027"/>
      <c r="Y16" s="1028"/>
    </row>
    <row r="17" spans="1:25" ht="34.5" customHeight="1" thickTop="1">
      <c r="A17" s="1019"/>
      <c r="B17" s="994"/>
      <c r="C17" s="994"/>
      <c r="D17" s="1001"/>
      <c r="E17" s="1010"/>
      <c r="F17" s="1012"/>
      <c r="G17" s="1010"/>
      <c r="H17" s="1011"/>
      <c r="I17" s="1012"/>
      <c r="J17" s="1008" t="s">
        <v>47</v>
      </c>
      <c r="K17" s="1032" t="s">
        <v>296</v>
      </c>
      <c r="L17" s="1011"/>
      <c r="M17" s="1011"/>
      <c r="N17" s="1011"/>
      <c r="O17" s="1012"/>
      <c r="P17" s="1026"/>
      <c r="Q17" s="1027"/>
      <c r="R17" s="1027"/>
      <c r="S17" s="1027"/>
      <c r="T17" s="1027"/>
      <c r="U17" s="1027"/>
      <c r="V17" s="1028"/>
      <c r="W17" s="1026"/>
      <c r="X17" s="1027"/>
      <c r="Y17" s="1028"/>
    </row>
    <row r="18" spans="1:25" ht="34.5" customHeight="1" thickBot="1">
      <c r="A18" s="1019"/>
      <c r="B18" s="994"/>
      <c r="C18" s="994"/>
      <c r="D18" s="1001"/>
      <c r="E18" s="1029"/>
      <c r="F18" s="1030"/>
      <c r="G18" s="1029"/>
      <c r="H18" s="1031"/>
      <c r="I18" s="1030"/>
      <c r="J18" s="1009"/>
      <c r="K18" s="1013"/>
      <c r="L18" s="1014"/>
      <c r="M18" s="1014"/>
      <c r="N18" s="1014"/>
      <c r="O18" s="1015"/>
      <c r="P18" s="1026"/>
      <c r="Q18" s="1027"/>
      <c r="R18" s="1027"/>
      <c r="S18" s="1027"/>
      <c r="T18" s="1027"/>
      <c r="U18" s="1027"/>
      <c r="V18" s="1028"/>
      <c r="W18" s="1026"/>
      <c r="X18" s="1027"/>
      <c r="Y18" s="1028"/>
    </row>
    <row r="19" spans="1:25" ht="34.5" customHeight="1" thickTop="1">
      <c r="A19" s="1019"/>
      <c r="B19" s="994"/>
      <c r="C19" s="994"/>
      <c r="D19" s="1001"/>
      <c r="E19" s="1029"/>
      <c r="F19" s="1030"/>
      <c r="G19" s="1029"/>
      <c r="H19" s="1031"/>
      <c r="I19" s="1030"/>
      <c r="J19" s="1008" t="s">
        <v>48</v>
      </c>
      <c r="K19" s="1010"/>
      <c r="L19" s="1011"/>
      <c r="M19" s="1011"/>
      <c r="N19" s="1011"/>
      <c r="O19" s="1012"/>
      <c r="P19" s="1026"/>
      <c r="Q19" s="1027"/>
      <c r="R19" s="1027"/>
      <c r="S19" s="1027"/>
      <c r="T19" s="1027"/>
      <c r="U19" s="1027"/>
      <c r="V19" s="1028"/>
      <c r="W19" s="1026"/>
      <c r="X19" s="1027"/>
      <c r="Y19" s="1028"/>
    </row>
    <row r="20" spans="1:25" ht="34.5" customHeight="1" thickBot="1">
      <c r="A20" s="1020"/>
      <c r="B20" s="1021"/>
      <c r="C20" s="1021"/>
      <c r="D20" s="1022"/>
      <c r="E20" s="1013"/>
      <c r="F20" s="1015"/>
      <c r="G20" s="1013"/>
      <c r="H20" s="1014"/>
      <c r="I20" s="1015"/>
      <c r="J20" s="1009"/>
      <c r="K20" s="1013"/>
      <c r="L20" s="1014"/>
      <c r="M20" s="1014"/>
      <c r="N20" s="1014"/>
      <c r="O20" s="1015"/>
      <c r="P20" s="1023"/>
      <c r="Q20" s="1024"/>
      <c r="R20" s="1024"/>
      <c r="S20" s="1024"/>
      <c r="T20" s="1024"/>
      <c r="U20" s="1024"/>
      <c r="V20" s="1025"/>
      <c r="W20" s="1023"/>
      <c r="X20" s="1024"/>
      <c r="Y20" s="1025"/>
    </row>
  </sheetData>
  <mergeCells count="40">
    <mergeCell ref="J19:J20"/>
    <mergeCell ref="K19:O20"/>
    <mergeCell ref="A15:Y15"/>
    <mergeCell ref="A16:D20"/>
    <mergeCell ref="E16:I16"/>
    <mergeCell ref="J16:O16"/>
    <mergeCell ref="P16:V20"/>
    <mergeCell ref="W16:Y20"/>
    <mergeCell ref="E17:F20"/>
    <mergeCell ref="G17:I20"/>
    <mergeCell ref="J17:J18"/>
    <mergeCell ref="K17:O18"/>
    <mergeCell ref="B12:G12"/>
    <mergeCell ref="W12:Y12"/>
    <mergeCell ref="B13:G13"/>
    <mergeCell ref="W13:Y13"/>
    <mergeCell ref="B14:G14"/>
    <mergeCell ref="W14:Y14"/>
    <mergeCell ref="B9:G9"/>
    <mergeCell ref="W9:Y9"/>
    <mergeCell ref="B10:G10"/>
    <mergeCell ref="W10:Y10"/>
    <mergeCell ref="B11:G11"/>
    <mergeCell ref="W11:Y11"/>
    <mergeCell ref="A6:E6"/>
    <mergeCell ref="F6:G6"/>
    <mergeCell ref="H6:Y6"/>
    <mergeCell ref="A7:A8"/>
    <mergeCell ref="B7:G8"/>
    <mergeCell ref="H7:H8"/>
    <mergeCell ref="I7:I8"/>
    <mergeCell ref="J7:J8"/>
    <mergeCell ref="K7:V7"/>
    <mergeCell ref="W7:Y8"/>
    <mergeCell ref="A2:Y3"/>
    <mergeCell ref="A4:E4"/>
    <mergeCell ref="F4:G4"/>
    <mergeCell ref="H4:Y5"/>
    <mergeCell ref="A5:E5"/>
    <mergeCell ref="F5:G5"/>
  </mergeCells>
  <pageMargins left="0.17" right="0.17" top="0.75" bottom="0.75" header="0.3" footer="0.3"/>
  <pageSetup scale="45" orientation="landscape"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979EE-09DD-441B-A75D-B1F849354706}">
  <dimension ref="A1:AB19"/>
  <sheetViews>
    <sheetView rightToLeft="1" zoomScale="60" zoomScaleNormal="60" workbookViewId="0">
      <selection activeCell="AB11" sqref="AB11"/>
    </sheetView>
  </sheetViews>
  <sheetFormatPr defaultColWidth="9.140625" defaultRowHeight="34.5" customHeight="1"/>
  <cols>
    <col min="1" max="4" width="9.140625" style="153"/>
    <col min="5" max="5" width="35.140625" style="153" customWidth="1"/>
    <col min="6" max="6" width="9.140625" style="153"/>
    <col min="7" max="7" width="25.5703125" style="153" customWidth="1"/>
    <col min="8" max="8" width="13.28515625" style="153" customWidth="1"/>
    <col min="9" max="9" width="31.140625" style="153" customWidth="1"/>
    <col min="10" max="10" width="32.5703125" style="153" customWidth="1"/>
    <col min="11" max="22" width="7.5703125" style="153" customWidth="1"/>
    <col min="23" max="23" width="6.28515625" style="153" customWidth="1"/>
    <col min="24" max="24" width="2.7109375" style="153" customWidth="1"/>
    <col min="25" max="25" width="18.140625" style="153" customWidth="1"/>
    <col min="26" max="16384" width="9.140625" style="153"/>
  </cols>
  <sheetData>
    <row r="1" spans="1:28" ht="34.5" customHeight="1" thickBot="1"/>
    <row r="2" spans="1:28" ht="45.75" customHeight="1" thickTop="1">
      <c r="A2" s="959" t="s">
        <v>0</v>
      </c>
      <c r="B2" s="960"/>
      <c r="C2" s="960"/>
      <c r="D2" s="960"/>
      <c r="E2" s="960"/>
      <c r="F2" s="960"/>
      <c r="G2" s="960"/>
      <c r="H2" s="960"/>
      <c r="I2" s="960"/>
      <c r="J2" s="960"/>
      <c r="K2" s="960"/>
      <c r="L2" s="960"/>
      <c r="M2" s="960"/>
      <c r="N2" s="960"/>
      <c r="O2" s="960"/>
      <c r="P2" s="960"/>
      <c r="Q2" s="960"/>
      <c r="R2" s="960"/>
      <c r="S2" s="960"/>
      <c r="T2" s="960"/>
      <c r="U2" s="960"/>
      <c r="V2" s="960"/>
      <c r="W2" s="960"/>
      <c r="X2" s="960"/>
      <c r="Y2" s="961"/>
    </row>
    <row r="3" spans="1:28" ht="34.5" customHeight="1" thickBot="1">
      <c r="A3" s="962"/>
      <c r="B3" s="963"/>
      <c r="C3" s="963"/>
      <c r="D3" s="963"/>
      <c r="E3" s="963"/>
      <c r="F3" s="963"/>
      <c r="G3" s="963"/>
      <c r="H3" s="963"/>
      <c r="I3" s="963"/>
      <c r="J3" s="963"/>
      <c r="K3" s="963"/>
      <c r="L3" s="963"/>
      <c r="M3" s="963"/>
      <c r="N3" s="963"/>
      <c r="O3" s="963"/>
      <c r="P3" s="963"/>
      <c r="Q3" s="963"/>
      <c r="R3" s="963"/>
      <c r="S3" s="963"/>
      <c r="T3" s="963"/>
      <c r="U3" s="963"/>
      <c r="V3" s="963"/>
      <c r="W3" s="963"/>
      <c r="X3" s="963"/>
      <c r="Y3" s="964"/>
    </row>
    <row r="4" spans="1:28" ht="48" customHeight="1" thickTop="1">
      <c r="A4" s="965" t="s">
        <v>278</v>
      </c>
      <c r="B4" s="966"/>
      <c r="C4" s="966"/>
      <c r="D4" s="966"/>
      <c r="E4" s="967"/>
      <c r="F4" s="968" t="s">
        <v>178</v>
      </c>
      <c r="G4" s="969"/>
      <c r="H4" s="970" t="s">
        <v>279</v>
      </c>
      <c r="I4" s="971"/>
      <c r="J4" s="971"/>
      <c r="K4" s="971"/>
      <c r="L4" s="971"/>
      <c r="M4" s="971"/>
      <c r="N4" s="971"/>
      <c r="O4" s="971"/>
      <c r="P4" s="971"/>
      <c r="Q4" s="971"/>
      <c r="R4" s="971"/>
      <c r="S4" s="971"/>
      <c r="T4" s="971"/>
      <c r="U4" s="971"/>
      <c r="V4" s="971"/>
      <c r="W4" s="971"/>
      <c r="X4" s="971"/>
      <c r="Y4" s="972"/>
    </row>
    <row r="5" spans="1:28" ht="34.5" customHeight="1">
      <c r="A5" s="976" t="s">
        <v>280</v>
      </c>
      <c r="B5" s="977"/>
      <c r="C5" s="977"/>
      <c r="D5" s="977"/>
      <c r="E5" s="978"/>
      <c r="F5" s="979" t="s">
        <v>281</v>
      </c>
      <c r="G5" s="980"/>
      <c r="H5" s="973"/>
      <c r="I5" s="974"/>
      <c r="J5" s="974"/>
      <c r="K5" s="974"/>
      <c r="L5" s="974"/>
      <c r="M5" s="974"/>
      <c r="N5" s="974"/>
      <c r="O5" s="974"/>
      <c r="P5" s="974"/>
      <c r="Q5" s="974"/>
      <c r="R5" s="974"/>
      <c r="S5" s="974"/>
      <c r="T5" s="974"/>
      <c r="U5" s="974"/>
      <c r="V5" s="974"/>
      <c r="W5" s="974"/>
      <c r="X5" s="974"/>
      <c r="Y5" s="975"/>
    </row>
    <row r="6" spans="1:28" ht="55.5" customHeight="1" thickBot="1">
      <c r="A6" s="981" t="s">
        <v>282</v>
      </c>
      <c r="B6" s="982"/>
      <c r="C6" s="982"/>
      <c r="D6" s="982"/>
      <c r="E6" s="983"/>
      <c r="F6" s="984" t="s">
        <v>283</v>
      </c>
      <c r="G6" s="984"/>
      <c r="H6" s="985" t="s">
        <v>284</v>
      </c>
      <c r="I6" s="986"/>
      <c r="J6" s="986"/>
      <c r="K6" s="986"/>
      <c r="L6" s="986"/>
      <c r="M6" s="986"/>
      <c r="N6" s="986"/>
      <c r="O6" s="986"/>
      <c r="P6" s="986"/>
      <c r="Q6" s="986"/>
      <c r="R6" s="986"/>
      <c r="S6" s="986"/>
      <c r="T6" s="986"/>
      <c r="U6" s="986"/>
      <c r="V6" s="986"/>
      <c r="W6" s="986"/>
      <c r="X6" s="986"/>
      <c r="Y6" s="987"/>
    </row>
    <row r="7" spans="1:28" ht="34.5" customHeight="1">
      <c r="A7" s="988" t="s">
        <v>9</v>
      </c>
      <c r="B7" s="990" t="s">
        <v>58</v>
      </c>
      <c r="C7" s="991"/>
      <c r="D7" s="991"/>
      <c r="E7" s="991"/>
      <c r="F7" s="991"/>
      <c r="G7" s="992"/>
      <c r="H7" s="996" t="s">
        <v>59</v>
      </c>
      <c r="I7" s="998" t="s">
        <v>60</v>
      </c>
      <c r="J7" s="996" t="s">
        <v>61</v>
      </c>
      <c r="K7" s="999" t="s">
        <v>62</v>
      </c>
      <c r="L7" s="999"/>
      <c r="M7" s="999"/>
      <c r="N7" s="999"/>
      <c r="O7" s="999"/>
      <c r="P7" s="999"/>
      <c r="Q7" s="999"/>
      <c r="R7" s="999"/>
      <c r="S7" s="999"/>
      <c r="T7" s="999"/>
      <c r="U7" s="999"/>
      <c r="V7" s="999"/>
      <c r="W7" s="990" t="s">
        <v>186</v>
      </c>
      <c r="X7" s="991"/>
      <c r="Y7" s="1000"/>
    </row>
    <row r="8" spans="1:28" ht="60" customHeight="1">
      <c r="A8" s="989"/>
      <c r="B8" s="993"/>
      <c r="C8" s="994"/>
      <c r="D8" s="994"/>
      <c r="E8" s="994"/>
      <c r="F8" s="994"/>
      <c r="G8" s="995"/>
      <c r="H8" s="997"/>
      <c r="I8" s="997"/>
      <c r="J8" s="997"/>
      <c r="K8" s="154" t="s">
        <v>187</v>
      </c>
      <c r="L8" s="154" t="s">
        <v>188</v>
      </c>
      <c r="M8" s="154" t="s">
        <v>18</v>
      </c>
      <c r="N8" s="154" t="s">
        <v>189</v>
      </c>
      <c r="O8" s="154" t="s">
        <v>20</v>
      </c>
      <c r="P8" s="154" t="s">
        <v>190</v>
      </c>
      <c r="Q8" s="154" t="s">
        <v>22</v>
      </c>
      <c r="R8" s="154" t="s">
        <v>23</v>
      </c>
      <c r="S8" s="154" t="s">
        <v>24</v>
      </c>
      <c r="T8" s="154" t="s">
        <v>25</v>
      </c>
      <c r="U8" s="154" t="s">
        <v>26</v>
      </c>
      <c r="V8" s="154" t="s">
        <v>27</v>
      </c>
      <c r="W8" s="993"/>
      <c r="X8" s="994"/>
      <c r="Y8" s="1001"/>
    </row>
    <row r="9" spans="1:28" ht="50.1" customHeight="1">
      <c r="A9" s="155" t="s">
        <v>28</v>
      </c>
      <c r="B9" s="1002" t="s">
        <v>285</v>
      </c>
      <c r="C9" s="1003"/>
      <c r="D9" s="1003"/>
      <c r="E9" s="1003"/>
      <c r="F9" s="1003"/>
      <c r="G9" s="1004"/>
      <c r="H9" s="156">
        <v>30</v>
      </c>
      <c r="I9" s="157" t="s">
        <v>286</v>
      </c>
      <c r="J9" s="158"/>
      <c r="K9" s="159"/>
      <c r="L9" s="159"/>
      <c r="M9" s="160"/>
      <c r="N9" s="160"/>
      <c r="O9" s="160"/>
      <c r="P9" s="160"/>
      <c r="Q9" s="160"/>
      <c r="R9" s="160"/>
      <c r="S9" s="160"/>
      <c r="T9" s="160"/>
      <c r="U9" s="160"/>
      <c r="V9" s="160"/>
      <c r="W9" s="1005"/>
      <c r="X9" s="1006"/>
      <c r="Y9" s="1007"/>
      <c r="AB9" s="153">
        <v>30</v>
      </c>
    </row>
    <row r="10" spans="1:28" ht="50.1" customHeight="1">
      <c r="A10" s="155" t="s">
        <v>66</v>
      </c>
      <c r="B10" s="1002" t="s">
        <v>287</v>
      </c>
      <c r="C10" s="1003"/>
      <c r="D10" s="1003"/>
      <c r="E10" s="1003"/>
      <c r="F10" s="1003"/>
      <c r="G10" s="1004"/>
      <c r="H10" s="156">
        <v>20</v>
      </c>
      <c r="I10" s="157" t="s">
        <v>288</v>
      </c>
      <c r="J10" s="158"/>
      <c r="K10" s="160"/>
      <c r="L10" s="159"/>
      <c r="M10" s="159"/>
      <c r="N10" s="160"/>
      <c r="O10" s="160"/>
      <c r="P10" s="160"/>
      <c r="Q10" s="160"/>
      <c r="R10" s="160"/>
      <c r="S10" s="160"/>
      <c r="T10" s="160"/>
      <c r="U10" s="160"/>
      <c r="V10" s="160"/>
      <c r="W10" s="1005"/>
      <c r="X10" s="1006"/>
      <c r="Y10" s="1007"/>
      <c r="AB10" s="153">
        <v>20</v>
      </c>
    </row>
    <row r="11" spans="1:28" ht="50.1" customHeight="1">
      <c r="A11" s="155" t="s">
        <v>68</v>
      </c>
      <c r="B11" s="1002" t="s">
        <v>289</v>
      </c>
      <c r="C11" s="1003"/>
      <c r="D11" s="1003"/>
      <c r="E11" s="1003"/>
      <c r="F11" s="1003"/>
      <c r="G11" s="1004"/>
      <c r="H11" s="156">
        <v>20</v>
      </c>
      <c r="I11" s="157" t="s">
        <v>286</v>
      </c>
      <c r="J11" s="158"/>
      <c r="K11" s="160"/>
      <c r="L11" s="160"/>
      <c r="M11" s="160"/>
      <c r="N11" s="159"/>
      <c r="O11" s="159"/>
      <c r="P11" s="160"/>
      <c r="Q11" s="160"/>
      <c r="R11" s="160"/>
      <c r="S11" s="160"/>
      <c r="T11" s="160"/>
      <c r="U11" s="160"/>
      <c r="V11" s="160"/>
      <c r="W11" s="1005"/>
      <c r="X11" s="1006"/>
      <c r="Y11" s="1007"/>
    </row>
    <row r="12" spans="1:28" ht="50.1" customHeight="1">
      <c r="A12" s="155" t="s">
        <v>70</v>
      </c>
      <c r="B12" s="1002" t="s">
        <v>290</v>
      </c>
      <c r="C12" s="1003"/>
      <c r="D12" s="1003"/>
      <c r="E12" s="1003"/>
      <c r="F12" s="1003"/>
      <c r="G12" s="1004"/>
      <c r="H12" s="156">
        <v>20</v>
      </c>
      <c r="I12" s="157" t="s">
        <v>291</v>
      </c>
      <c r="J12" s="158"/>
      <c r="K12" s="160"/>
      <c r="L12" s="160"/>
      <c r="M12" s="160"/>
      <c r="N12" s="160"/>
      <c r="O12" s="159"/>
      <c r="P12" s="159"/>
      <c r="Q12" s="160"/>
      <c r="R12" s="160"/>
      <c r="S12" s="160"/>
      <c r="T12" s="160"/>
      <c r="U12" s="160"/>
      <c r="V12" s="160"/>
      <c r="W12" s="1005"/>
      <c r="X12" s="1006"/>
      <c r="Y12" s="1007"/>
    </row>
    <row r="13" spans="1:28" ht="50.1" customHeight="1">
      <c r="A13" s="155" t="s">
        <v>153</v>
      </c>
      <c r="B13" s="1002" t="s">
        <v>292</v>
      </c>
      <c r="C13" s="1003"/>
      <c r="D13" s="1003"/>
      <c r="E13" s="1003"/>
      <c r="F13" s="1003"/>
      <c r="G13" s="1004"/>
      <c r="H13" s="156">
        <v>10</v>
      </c>
      <c r="I13" s="157" t="s">
        <v>288</v>
      </c>
      <c r="J13" s="158"/>
      <c r="K13" s="160"/>
      <c r="L13" s="160"/>
      <c r="M13" s="160"/>
      <c r="N13" s="160"/>
      <c r="O13" s="160"/>
      <c r="P13" s="160"/>
      <c r="Q13" s="159"/>
      <c r="R13" s="159"/>
      <c r="S13" s="159"/>
      <c r="T13" s="159"/>
      <c r="U13" s="159"/>
      <c r="V13" s="159"/>
      <c r="W13" s="1005"/>
      <c r="X13" s="1006"/>
      <c r="Y13" s="1007"/>
    </row>
    <row r="14" spans="1:28" ht="34.5" customHeight="1">
      <c r="A14" s="1016"/>
      <c r="B14" s="1017"/>
      <c r="C14" s="1017"/>
      <c r="D14" s="1017"/>
      <c r="E14" s="1017"/>
      <c r="F14" s="1017"/>
      <c r="G14" s="1017"/>
      <c r="H14" s="1017"/>
      <c r="I14" s="1017"/>
      <c r="J14" s="1017"/>
      <c r="K14" s="1017"/>
      <c r="L14" s="1017"/>
      <c r="M14" s="1017"/>
      <c r="N14" s="1017"/>
      <c r="O14" s="1017"/>
      <c r="P14" s="1017"/>
      <c r="Q14" s="1017"/>
      <c r="R14" s="1017"/>
      <c r="S14" s="1017"/>
      <c r="T14" s="1017"/>
      <c r="U14" s="1017"/>
      <c r="V14" s="1017"/>
      <c r="W14" s="1017"/>
      <c r="X14" s="1017"/>
      <c r="Y14" s="1018"/>
    </row>
    <row r="15" spans="1:28" ht="34.5" customHeight="1" thickBot="1">
      <c r="A15" s="1019" t="s">
        <v>293</v>
      </c>
      <c r="B15" s="994"/>
      <c r="C15" s="994"/>
      <c r="D15" s="1001"/>
      <c r="E15" s="1023" t="s">
        <v>294</v>
      </c>
      <c r="F15" s="1024"/>
      <c r="G15" s="1024"/>
      <c r="H15" s="1024"/>
      <c r="I15" s="1025"/>
      <c r="J15" s="1023" t="s">
        <v>74</v>
      </c>
      <c r="K15" s="1024"/>
      <c r="L15" s="1024"/>
      <c r="M15" s="1024"/>
      <c r="N15" s="1024"/>
      <c r="O15" s="1025"/>
      <c r="P15" s="1026" t="s">
        <v>75</v>
      </c>
      <c r="Q15" s="1027"/>
      <c r="R15" s="1027"/>
      <c r="S15" s="1027"/>
      <c r="T15" s="1027"/>
      <c r="U15" s="1027"/>
      <c r="V15" s="1028"/>
      <c r="W15" s="1026" t="s">
        <v>295</v>
      </c>
      <c r="X15" s="1027"/>
      <c r="Y15" s="1028"/>
    </row>
    <row r="16" spans="1:28" ht="34.5" customHeight="1" thickTop="1">
      <c r="A16" s="1019"/>
      <c r="B16" s="994"/>
      <c r="C16" s="994"/>
      <c r="D16" s="1001"/>
      <c r="E16" s="1010"/>
      <c r="F16" s="1012"/>
      <c r="G16" s="1010"/>
      <c r="H16" s="1011"/>
      <c r="I16" s="1012"/>
      <c r="J16" s="1008" t="s">
        <v>47</v>
      </c>
      <c r="K16" s="1032" t="s">
        <v>296</v>
      </c>
      <c r="L16" s="1011"/>
      <c r="M16" s="1011"/>
      <c r="N16" s="1011"/>
      <c r="O16" s="1012"/>
      <c r="P16" s="1026"/>
      <c r="Q16" s="1027"/>
      <c r="R16" s="1027"/>
      <c r="S16" s="1027"/>
      <c r="T16" s="1027"/>
      <c r="U16" s="1027"/>
      <c r="V16" s="1028"/>
      <c r="W16" s="1026"/>
      <c r="X16" s="1027"/>
      <c r="Y16" s="1028"/>
    </row>
    <row r="17" spans="1:25" ht="34.5" customHeight="1" thickBot="1">
      <c r="A17" s="1019"/>
      <c r="B17" s="994"/>
      <c r="C17" s="994"/>
      <c r="D17" s="1001"/>
      <c r="E17" s="1029"/>
      <c r="F17" s="1030"/>
      <c r="G17" s="1029"/>
      <c r="H17" s="1031"/>
      <c r="I17" s="1030"/>
      <c r="J17" s="1009"/>
      <c r="K17" s="1013"/>
      <c r="L17" s="1014"/>
      <c r="M17" s="1014"/>
      <c r="N17" s="1014"/>
      <c r="O17" s="1015"/>
      <c r="P17" s="1026"/>
      <c r="Q17" s="1027"/>
      <c r="R17" s="1027"/>
      <c r="S17" s="1027"/>
      <c r="T17" s="1027"/>
      <c r="U17" s="1027"/>
      <c r="V17" s="1028"/>
      <c r="W17" s="1026"/>
      <c r="X17" s="1027"/>
      <c r="Y17" s="1028"/>
    </row>
    <row r="18" spans="1:25" ht="34.5" customHeight="1" thickTop="1">
      <c r="A18" s="1019"/>
      <c r="B18" s="994"/>
      <c r="C18" s="994"/>
      <c r="D18" s="1001"/>
      <c r="E18" s="1029"/>
      <c r="F18" s="1030"/>
      <c r="G18" s="1029"/>
      <c r="H18" s="1031"/>
      <c r="I18" s="1030"/>
      <c r="J18" s="1008" t="s">
        <v>48</v>
      </c>
      <c r="K18" s="1010"/>
      <c r="L18" s="1011"/>
      <c r="M18" s="1011"/>
      <c r="N18" s="1011"/>
      <c r="O18" s="1012"/>
      <c r="P18" s="1026"/>
      <c r="Q18" s="1027"/>
      <c r="R18" s="1027"/>
      <c r="S18" s="1027"/>
      <c r="T18" s="1027"/>
      <c r="U18" s="1027"/>
      <c r="V18" s="1028"/>
      <c r="W18" s="1026"/>
      <c r="X18" s="1027"/>
      <c r="Y18" s="1028"/>
    </row>
    <row r="19" spans="1:25" ht="34.5" customHeight="1" thickBot="1">
      <c r="A19" s="1020"/>
      <c r="B19" s="1021"/>
      <c r="C19" s="1021"/>
      <c r="D19" s="1022"/>
      <c r="E19" s="1013"/>
      <c r="F19" s="1015"/>
      <c r="G19" s="1013"/>
      <c r="H19" s="1014"/>
      <c r="I19" s="1015"/>
      <c r="J19" s="1009"/>
      <c r="K19" s="1013"/>
      <c r="L19" s="1014"/>
      <c r="M19" s="1014"/>
      <c r="N19" s="1014"/>
      <c r="O19" s="1015"/>
      <c r="P19" s="1023"/>
      <c r="Q19" s="1024"/>
      <c r="R19" s="1024"/>
      <c r="S19" s="1024"/>
      <c r="T19" s="1024"/>
      <c r="U19" s="1024"/>
      <c r="V19" s="1025"/>
      <c r="W19" s="1023"/>
      <c r="X19" s="1024"/>
      <c r="Y19" s="1025"/>
    </row>
  </sheetData>
  <mergeCells count="38">
    <mergeCell ref="B12:G12"/>
    <mergeCell ref="W12:Y12"/>
    <mergeCell ref="B13:G13"/>
    <mergeCell ref="W13:Y13"/>
    <mergeCell ref="A14:Y14"/>
    <mergeCell ref="A15:D19"/>
    <mergeCell ref="E15:I15"/>
    <mergeCell ref="J15:O15"/>
    <mergeCell ref="P15:V19"/>
    <mergeCell ref="W15:Y19"/>
    <mergeCell ref="E16:F19"/>
    <mergeCell ref="G16:I19"/>
    <mergeCell ref="J16:J17"/>
    <mergeCell ref="K16:O17"/>
    <mergeCell ref="J18:J19"/>
    <mergeCell ref="K18:O19"/>
    <mergeCell ref="B9:G9"/>
    <mergeCell ref="W9:Y9"/>
    <mergeCell ref="B10:G10"/>
    <mergeCell ref="W10:Y10"/>
    <mergeCell ref="B11:G11"/>
    <mergeCell ref="W11:Y11"/>
    <mergeCell ref="A6:E6"/>
    <mergeCell ref="F6:G6"/>
    <mergeCell ref="H6:Y6"/>
    <mergeCell ref="A7:A8"/>
    <mergeCell ref="B7:G8"/>
    <mergeCell ref="H7:H8"/>
    <mergeCell ref="I7:I8"/>
    <mergeCell ref="J7:J8"/>
    <mergeCell ref="K7:V7"/>
    <mergeCell ref="W7:Y8"/>
    <mergeCell ref="A2:Y3"/>
    <mergeCell ref="A4:E4"/>
    <mergeCell ref="F4:G4"/>
    <mergeCell ref="H4:Y5"/>
    <mergeCell ref="A5:E5"/>
    <mergeCell ref="F5:G5"/>
  </mergeCells>
  <pageMargins left="0.17" right="0.17" top="0.75" bottom="0.75" header="0.3" footer="0.3"/>
  <pageSetup scale="45" orientation="landscape"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2DCF-E60F-4819-A898-888EF8D8101D}">
  <dimension ref="A1:AD20"/>
  <sheetViews>
    <sheetView rightToLeft="1" zoomScale="70" zoomScaleNormal="70" zoomScaleSheetLayoutView="55" workbookViewId="0">
      <selection activeCell="AD13" sqref="AD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251</v>
      </c>
      <c r="B3" s="456"/>
      <c r="C3" s="456"/>
      <c r="D3" s="456"/>
      <c r="E3" s="456"/>
      <c r="F3" s="456"/>
      <c r="G3" s="457" t="s">
        <v>252</v>
      </c>
      <c r="H3" s="457"/>
      <c r="I3" s="458" t="s">
        <v>253</v>
      </c>
      <c r="J3" s="458"/>
      <c r="K3" s="458"/>
      <c r="L3" s="458"/>
      <c r="M3" s="458"/>
      <c r="N3" s="458"/>
      <c r="O3" s="458"/>
      <c r="P3" s="458"/>
      <c r="Q3" s="458"/>
      <c r="R3" s="458"/>
      <c r="S3" s="458"/>
      <c r="T3" s="458"/>
      <c r="U3" s="458"/>
      <c r="V3" s="458"/>
      <c r="W3" s="458"/>
      <c r="X3" s="458"/>
      <c r="Y3" s="458"/>
      <c r="Z3" s="459"/>
      <c r="AA3" s="451"/>
    </row>
    <row r="4" spans="1:30" s="3" customFormat="1" ht="28.5" customHeight="1">
      <c r="A4" s="460" t="s">
        <v>241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243</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24">
      <c r="A8" s="7" t="s">
        <v>28</v>
      </c>
      <c r="B8" s="732" t="s">
        <v>254</v>
      </c>
      <c r="C8" s="647"/>
      <c r="D8" s="647"/>
      <c r="E8" s="647"/>
      <c r="F8" s="647"/>
      <c r="G8" s="647"/>
      <c r="H8" s="647"/>
      <c r="I8" s="132">
        <v>10</v>
      </c>
      <c r="J8" s="133" t="s">
        <v>255</v>
      </c>
      <c r="K8" s="10"/>
      <c r="L8" s="30" t="s">
        <v>246</v>
      </c>
      <c r="M8" s="30" t="s">
        <v>246</v>
      </c>
      <c r="N8" s="30" t="s">
        <v>246</v>
      </c>
      <c r="O8" s="30"/>
      <c r="P8" s="30"/>
      <c r="Q8" s="30"/>
      <c r="R8" s="30"/>
      <c r="S8" s="30"/>
      <c r="T8" s="30"/>
      <c r="U8" s="30"/>
      <c r="V8" s="30"/>
      <c r="W8" s="30"/>
      <c r="X8" s="475"/>
      <c r="Y8" s="475"/>
      <c r="Z8" s="476"/>
      <c r="AA8" s="451"/>
      <c r="AD8" s="14">
        <v>10</v>
      </c>
    </row>
    <row r="9" spans="1:30" s="14" customFormat="1" ht="42.6" customHeight="1">
      <c r="A9" s="7" t="s">
        <v>66</v>
      </c>
      <c r="B9" s="732" t="s">
        <v>256</v>
      </c>
      <c r="C9" s="647"/>
      <c r="D9" s="647"/>
      <c r="E9" s="647"/>
      <c r="F9" s="647"/>
      <c r="G9" s="647"/>
      <c r="H9" s="647"/>
      <c r="I9" s="132">
        <v>20</v>
      </c>
      <c r="J9" s="133" t="s">
        <v>257</v>
      </c>
      <c r="K9" s="10"/>
      <c r="L9" s="30"/>
      <c r="M9" s="30" t="s">
        <v>246</v>
      </c>
      <c r="N9" s="30" t="s">
        <v>246</v>
      </c>
      <c r="O9" s="30"/>
      <c r="P9" s="30"/>
      <c r="Q9" s="30"/>
      <c r="R9" s="30"/>
      <c r="S9" s="30"/>
      <c r="T9" s="30"/>
      <c r="U9" s="30"/>
      <c r="V9" s="30"/>
      <c r="W9" s="30"/>
      <c r="X9" s="475"/>
      <c r="Y9" s="475"/>
      <c r="Z9" s="476"/>
      <c r="AA9" s="451"/>
      <c r="AD9" s="14">
        <v>20</v>
      </c>
    </row>
    <row r="10" spans="1:30" s="14" customFormat="1" ht="43.15" customHeight="1">
      <c r="A10" s="7" t="s">
        <v>68</v>
      </c>
      <c r="B10" s="1033" t="s">
        <v>258</v>
      </c>
      <c r="C10" s="1034"/>
      <c r="D10" s="1034"/>
      <c r="E10" s="1034"/>
      <c r="F10" s="1034"/>
      <c r="G10" s="1034"/>
      <c r="H10" s="1035"/>
      <c r="I10" s="132">
        <v>10</v>
      </c>
      <c r="J10" s="133" t="s">
        <v>259</v>
      </c>
      <c r="K10" s="10"/>
      <c r="L10" s="30"/>
      <c r="M10" s="30"/>
      <c r="N10" s="30" t="s">
        <v>246</v>
      </c>
      <c r="O10" s="30" t="s">
        <v>246</v>
      </c>
      <c r="P10" s="30" t="s">
        <v>246</v>
      </c>
      <c r="Q10" s="30"/>
      <c r="R10" s="30"/>
      <c r="S10" s="30"/>
      <c r="T10" s="30"/>
      <c r="U10" s="30"/>
      <c r="V10" s="30"/>
      <c r="W10" s="30"/>
      <c r="X10" s="468"/>
      <c r="Y10" s="468"/>
      <c r="Z10" s="469"/>
      <c r="AA10" s="451"/>
      <c r="AD10" s="14">
        <v>3.3</v>
      </c>
    </row>
    <row r="11" spans="1:30" s="14" customFormat="1" ht="46.15" customHeight="1">
      <c r="A11" s="7" t="s">
        <v>70</v>
      </c>
      <c r="B11" s="1033" t="s">
        <v>260</v>
      </c>
      <c r="C11" s="1034"/>
      <c r="D11" s="1034"/>
      <c r="E11" s="1034"/>
      <c r="F11" s="1034"/>
      <c r="G11" s="1034"/>
      <c r="H11" s="1035"/>
      <c r="I11" s="132">
        <v>20</v>
      </c>
      <c r="J11" s="133" t="s">
        <v>261</v>
      </c>
      <c r="K11" s="10"/>
      <c r="L11" s="30"/>
      <c r="M11" s="30"/>
      <c r="N11" s="30"/>
      <c r="O11" s="30"/>
      <c r="P11" s="30" t="s">
        <v>246</v>
      </c>
      <c r="Q11" s="30" t="s">
        <v>246</v>
      </c>
      <c r="R11" s="30"/>
      <c r="S11" s="30"/>
      <c r="T11" s="30"/>
      <c r="U11" s="30"/>
      <c r="V11" s="30"/>
      <c r="W11" s="30"/>
      <c r="X11" s="468"/>
      <c r="Y11" s="468"/>
      <c r="Z11" s="469"/>
      <c r="AA11" s="451"/>
    </row>
    <row r="12" spans="1:30" s="14" customFormat="1" ht="43.15" customHeight="1">
      <c r="A12" s="7" t="s">
        <v>153</v>
      </c>
      <c r="B12" s="1033" t="s">
        <v>262</v>
      </c>
      <c r="C12" s="1034"/>
      <c r="D12" s="1034"/>
      <c r="E12" s="1034"/>
      <c r="F12" s="1034"/>
      <c r="G12" s="1034"/>
      <c r="H12" s="1035"/>
      <c r="I12" s="132">
        <v>20</v>
      </c>
      <c r="J12" s="133" t="s">
        <v>250</v>
      </c>
      <c r="K12" s="10"/>
      <c r="L12" s="30" t="s">
        <v>246</v>
      </c>
      <c r="M12" s="30" t="s">
        <v>246</v>
      </c>
      <c r="N12" s="30" t="s">
        <v>246</v>
      </c>
      <c r="O12" s="30" t="s">
        <v>246</v>
      </c>
      <c r="P12" s="30" t="s">
        <v>246</v>
      </c>
      <c r="Q12" s="30" t="s">
        <v>246</v>
      </c>
      <c r="R12" s="30" t="s">
        <v>246</v>
      </c>
      <c r="S12" s="30" t="s">
        <v>246</v>
      </c>
      <c r="T12" s="30" t="s">
        <v>246</v>
      </c>
      <c r="U12" s="30" t="s">
        <v>246</v>
      </c>
      <c r="V12" s="30" t="s">
        <v>246</v>
      </c>
      <c r="W12" s="30" t="s">
        <v>246</v>
      </c>
      <c r="X12" s="475"/>
      <c r="Y12" s="475"/>
      <c r="Z12" s="476"/>
      <c r="AA12" s="451"/>
      <c r="AD12" s="14">
        <f>(20/12)*3</f>
        <v>5</v>
      </c>
    </row>
    <row r="13" spans="1:30" s="14" customFormat="1" ht="67.5">
      <c r="A13" s="7" t="s">
        <v>155</v>
      </c>
      <c r="B13" s="648" t="s">
        <v>263</v>
      </c>
      <c r="C13" s="649"/>
      <c r="D13" s="649"/>
      <c r="E13" s="649"/>
      <c r="F13" s="649"/>
      <c r="G13" s="649"/>
      <c r="H13" s="650"/>
      <c r="I13" s="132">
        <v>20</v>
      </c>
      <c r="J13" s="133" t="s">
        <v>264</v>
      </c>
      <c r="K13" s="10"/>
      <c r="L13" s="30"/>
      <c r="M13" s="30"/>
      <c r="N13" s="30"/>
      <c r="O13" s="30"/>
      <c r="P13" s="30"/>
      <c r="Q13" s="30"/>
      <c r="R13" s="30" t="s">
        <v>246</v>
      </c>
      <c r="S13" s="30" t="s">
        <v>246</v>
      </c>
      <c r="T13" s="30" t="s">
        <v>246</v>
      </c>
      <c r="U13" s="30" t="s">
        <v>246</v>
      </c>
      <c r="V13" s="30" t="s">
        <v>246</v>
      </c>
      <c r="W13" s="30" t="s">
        <v>246</v>
      </c>
      <c r="X13" s="468"/>
      <c r="Y13" s="468"/>
      <c r="Z13" s="469"/>
      <c r="AA13" s="451"/>
    </row>
    <row r="14" spans="1:30"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30"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30"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C1436-8283-4BCB-A0B3-537ECDCCB320}">
  <dimension ref="A1:AC20"/>
  <sheetViews>
    <sheetView rightToLeft="1" zoomScale="70" zoomScaleNormal="70" zoomScaleSheetLayoutView="70" workbookViewId="0">
      <selection activeCell="AC11" sqref="AC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238</v>
      </c>
      <c r="B3" s="456"/>
      <c r="C3" s="456"/>
      <c r="D3" s="456"/>
      <c r="E3" s="456"/>
      <c r="F3" s="456"/>
      <c r="G3" s="457" t="s">
        <v>239</v>
      </c>
      <c r="H3" s="457"/>
      <c r="I3" s="458" t="s">
        <v>240</v>
      </c>
      <c r="J3" s="458"/>
      <c r="K3" s="458"/>
      <c r="L3" s="458"/>
      <c r="M3" s="458"/>
      <c r="N3" s="458"/>
      <c r="O3" s="458"/>
      <c r="P3" s="458"/>
      <c r="Q3" s="458"/>
      <c r="R3" s="458"/>
      <c r="S3" s="458"/>
      <c r="T3" s="458"/>
      <c r="U3" s="458"/>
      <c r="V3" s="458"/>
      <c r="W3" s="458"/>
      <c r="X3" s="458"/>
      <c r="Y3" s="458"/>
      <c r="Z3" s="459"/>
      <c r="AA3" s="451"/>
    </row>
    <row r="4" spans="1:29" s="3" customFormat="1" ht="28.5" customHeight="1">
      <c r="A4" s="460" t="s">
        <v>241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243</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24">
      <c r="A8" s="7" t="s">
        <v>28</v>
      </c>
      <c r="B8" s="647" t="s">
        <v>244</v>
      </c>
      <c r="C8" s="647"/>
      <c r="D8" s="647"/>
      <c r="E8" s="647"/>
      <c r="F8" s="647"/>
      <c r="G8" s="647"/>
      <c r="H8" s="647"/>
      <c r="I8" s="132">
        <v>30</v>
      </c>
      <c r="J8" s="133" t="s">
        <v>245</v>
      </c>
      <c r="K8" s="10"/>
      <c r="L8" s="30" t="s">
        <v>246</v>
      </c>
      <c r="M8" s="30" t="s">
        <v>246</v>
      </c>
      <c r="N8" s="30" t="s">
        <v>246</v>
      </c>
      <c r="O8" s="30" t="s">
        <v>246</v>
      </c>
      <c r="P8" s="30" t="s">
        <v>246</v>
      </c>
      <c r="Q8" s="30" t="s">
        <v>246</v>
      </c>
      <c r="R8" s="30" t="s">
        <v>246</v>
      </c>
      <c r="S8" s="30" t="s">
        <v>246</v>
      </c>
      <c r="T8" s="30" t="s">
        <v>246</v>
      </c>
      <c r="U8" s="30" t="s">
        <v>246</v>
      </c>
      <c r="V8" s="30" t="s">
        <v>246</v>
      </c>
      <c r="W8" s="30" t="s">
        <v>246</v>
      </c>
      <c r="X8" s="475"/>
      <c r="Y8" s="475"/>
      <c r="Z8" s="476"/>
      <c r="AA8" s="451"/>
      <c r="AC8" s="14">
        <f>(30/12)*3</f>
        <v>7.5</v>
      </c>
    </row>
    <row r="9" spans="1:29" s="14" customFormat="1" ht="24">
      <c r="A9" s="7" t="s">
        <v>66</v>
      </c>
      <c r="B9" s="647" t="s">
        <v>247</v>
      </c>
      <c r="C9" s="647"/>
      <c r="D9" s="647"/>
      <c r="E9" s="647"/>
      <c r="F9" s="647"/>
      <c r="G9" s="647"/>
      <c r="H9" s="647"/>
      <c r="I9" s="132">
        <v>30</v>
      </c>
      <c r="J9" s="133" t="s">
        <v>248</v>
      </c>
      <c r="K9" s="10"/>
      <c r="L9" s="30" t="s">
        <v>246</v>
      </c>
      <c r="M9" s="30" t="s">
        <v>246</v>
      </c>
      <c r="N9" s="30" t="s">
        <v>246</v>
      </c>
      <c r="O9" s="30" t="s">
        <v>246</v>
      </c>
      <c r="P9" s="30" t="s">
        <v>246</v>
      </c>
      <c r="Q9" s="30" t="s">
        <v>246</v>
      </c>
      <c r="R9" s="30" t="s">
        <v>246</v>
      </c>
      <c r="S9" s="30" t="s">
        <v>246</v>
      </c>
      <c r="T9" s="30" t="s">
        <v>246</v>
      </c>
      <c r="U9" s="30" t="s">
        <v>246</v>
      </c>
      <c r="V9" s="30" t="s">
        <v>246</v>
      </c>
      <c r="W9" s="30" t="s">
        <v>246</v>
      </c>
      <c r="X9" s="475"/>
      <c r="Y9" s="475"/>
      <c r="Z9" s="476"/>
      <c r="AA9" s="451"/>
      <c r="AC9" s="14">
        <f>(30/12)*3</f>
        <v>7.5</v>
      </c>
    </row>
    <row r="10" spans="1:29" s="14" customFormat="1" ht="45">
      <c r="A10" s="7" t="s">
        <v>68</v>
      </c>
      <c r="B10" s="647" t="s">
        <v>249</v>
      </c>
      <c r="C10" s="647"/>
      <c r="D10" s="647"/>
      <c r="E10" s="647"/>
      <c r="F10" s="647"/>
      <c r="G10" s="647"/>
      <c r="H10" s="647"/>
      <c r="I10" s="132">
        <v>40</v>
      </c>
      <c r="J10" s="133" t="s">
        <v>250</v>
      </c>
      <c r="K10" s="10"/>
      <c r="L10" s="30" t="s">
        <v>246</v>
      </c>
      <c r="M10" s="30" t="s">
        <v>246</v>
      </c>
      <c r="N10" s="30" t="s">
        <v>246</v>
      </c>
      <c r="O10" s="30" t="s">
        <v>246</v>
      </c>
      <c r="P10" s="30" t="s">
        <v>246</v>
      </c>
      <c r="Q10" s="30" t="s">
        <v>246</v>
      </c>
      <c r="R10" s="30" t="s">
        <v>246</v>
      </c>
      <c r="S10" s="30" t="s">
        <v>246</v>
      </c>
      <c r="T10" s="30" t="s">
        <v>246</v>
      </c>
      <c r="U10" s="30" t="s">
        <v>246</v>
      </c>
      <c r="V10" s="30" t="s">
        <v>246</v>
      </c>
      <c r="W10" s="30" t="s">
        <v>246</v>
      </c>
      <c r="X10" s="468"/>
      <c r="Y10" s="468"/>
      <c r="Z10" s="469"/>
      <c r="AA10" s="451"/>
      <c r="AC10" s="14">
        <f>(40/12)*3</f>
        <v>10</v>
      </c>
    </row>
    <row r="11" spans="1:29" s="14" customFormat="1" ht="24">
      <c r="A11" s="7" t="s">
        <v>70</v>
      </c>
      <c r="B11" s="647"/>
      <c r="C11" s="647"/>
      <c r="D11" s="647"/>
      <c r="E11" s="647"/>
      <c r="F11" s="647"/>
      <c r="G11" s="647"/>
      <c r="H11" s="647"/>
      <c r="I11" s="132"/>
      <c r="J11" s="133"/>
      <c r="K11" s="10"/>
      <c r="L11" s="30"/>
      <c r="M11" s="30"/>
      <c r="N11" s="30"/>
      <c r="O11" s="30"/>
      <c r="P11" s="30"/>
      <c r="Q11" s="30"/>
      <c r="R11" s="30"/>
      <c r="S11" s="30"/>
      <c r="T11" s="30"/>
      <c r="U11" s="30"/>
      <c r="V11" s="30"/>
      <c r="W11" s="30"/>
      <c r="X11" s="468"/>
      <c r="Y11" s="468"/>
      <c r="Z11" s="469"/>
      <c r="AA11" s="451"/>
    </row>
    <row r="12" spans="1:29"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9"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9"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9"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9"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80A6-8E27-4466-AAD2-3984C46CB648}">
  <dimension ref="A1:AE20"/>
  <sheetViews>
    <sheetView rightToLeft="1" zoomScale="70" zoomScaleNormal="70" zoomScaleSheetLayoutView="55" workbookViewId="0">
      <selection activeCell="AE10" sqref="AE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1"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1">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1" s="3" customFormat="1" ht="28.5">
      <c r="A3" s="455" t="s">
        <v>265</v>
      </c>
      <c r="B3" s="456"/>
      <c r="C3" s="456"/>
      <c r="D3" s="456"/>
      <c r="E3" s="456"/>
      <c r="F3" s="456"/>
      <c r="G3" s="457" t="s">
        <v>266</v>
      </c>
      <c r="H3" s="457"/>
      <c r="I3" s="458" t="s">
        <v>267</v>
      </c>
      <c r="J3" s="458"/>
      <c r="K3" s="458"/>
      <c r="L3" s="458"/>
      <c r="M3" s="458"/>
      <c r="N3" s="458"/>
      <c r="O3" s="458"/>
      <c r="P3" s="458"/>
      <c r="Q3" s="458"/>
      <c r="R3" s="458"/>
      <c r="S3" s="458"/>
      <c r="T3" s="458"/>
      <c r="U3" s="458"/>
      <c r="V3" s="458"/>
      <c r="W3" s="458"/>
      <c r="X3" s="458"/>
      <c r="Y3" s="458"/>
      <c r="Z3" s="459"/>
      <c r="AA3" s="451"/>
    </row>
    <row r="4" spans="1:31" s="3" customFormat="1" ht="28.5" customHeight="1">
      <c r="A4" s="460" t="s">
        <v>241</v>
      </c>
      <c r="B4" s="461"/>
      <c r="C4" s="461"/>
      <c r="D4" s="461"/>
      <c r="E4" s="461"/>
      <c r="F4" s="462"/>
      <c r="G4" s="457" t="s">
        <v>242</v>
      </c>
      <c r="H4" s="457"/>
      <c r="I4" s="458"/>
      <c r="J4" s="458"/>
      <c r="K4" s="458"/>
      <c r="L4" s="458"/>
      <c r="M4" s="458"/>
      <c r="N4" s="458"/>
      <c r="O4" s="458"/>
      <c r="P4" s="458"/>
      <c r="Q4" s="458"/>
      <c r="R4" s="458"/>
      <c r="S4" s="458"/>
      <c r="T4" s="458"/>
      <c r="U4" s="458"/>
      <c r="V4" s="458"/>
      <c r="W4" s="458"/>
      <c r="X4" s="458"/>
      <c r="Y4" s="458"/>
      <c r="Z4" s="459"/>
      <c r="AA4" s="451"/>
    </row>
    <row r="5" spans="1:31" s="3" customFormat="1" ht="28.5" customHeight="1">
      <c r="A5" s="463"/>
      <c r="B5" s="464"/>
      <c r="C5" s="464"/>
      <c r="D5" s="464"/>
      <c r="E5" s="464"/>
      <c r="F5" s="465"/>
      <c r="G5" s="456" t="s">
        <v>243</v>
      </c>
      <c r="H5" s="456"/>
      <c r="I5" s="456" t="s">
        <v>8</v>
      </c>
      <c r="J5" s="456"/>
      <c r="K5" s="456"/>
      <c r="L5" s="456"/>
      <c r="M5" s="456"/>
      <c r="N5" s="456"/>
      <c r="O5" s="456"/>
      <c r="P5" s="456"/>
      <c r="Q5" s="456"/>
      <c r="R5" s="456"/>
      <c r="S5" s="456"/>
      <c r="T5" s="456"/>
      <c r="U5" s="456"/>
      <c r="V5" s="456"/>
      <c r="W5" s="456"/>
      <c r="X5" s="456"/>
      <c r="Y5" s="456"/>
      <c r="Z5" s="466"/>
      <c r="AA5" s="451"/>
    </row>
    <row r="6" spans="1:31"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1"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1" s="14" customFormat="1" ht="67.5">
      <c r="A8" s="7" t="s">
        <v>28</v>
      </c>
      <c r="B8" s="647" t="s">
        <v>268</v>
      </c>
      <c r="C8" s="647"/>
      <c r="D8" s="647"/>
      <c r="E8" s="647"/>
      <c r="F8" s="647"/>
      <c r="G8" s="647"/>
      <c r="H8" s="647"/>
      <c r="I8" s="132">
        <v>20</v>
      </c>
      <c r="J8" s="133" t="s">
        <v>269</v>
      </c>
      <c r="K8" s="10"/>
      <c r="L8" s="30" t="s">
        <v>246</v>
      </c>
      <c r="M8" s="30" t="s">
        <v>246</v>
      </c>
      <c r="N8" s="30"/>
      <c r="O8" s="30"/>
      <c r="P8" s="30"/>
      <c r="Q8" s="30"/>
      <c r="R8" s="30"/>
      <c r="S8" s="30"/>
      <c r="T8" s="30"/>
      <c r="U8" s="30"/>
      <c r="V8" s="30"/>
      <c r="W8" s="30"/>
      <c r="X8" s="475"/>
      <c r="Y8" s="475"/>
      <c r="Z8" s="476"/>
      <c r="AA8" s="451"/>
      <c r="AD8" s="14">
        <v>20</v>
      </c>
    </row>
    <row r="9" spans="1:31" s="14" customFormat="1" ht="67.5">
      <c r="A9" s="7" t="s">
        <v>66</v>
      </c>
      <c r="B9" s="647" t="s">
        <v>270</v>
      </c>
      <c r="C9" s="647"/>
      <c r="D9" s="647"/>
      <c r="E9" s="647"/>
      <c r="F9" s="647"/>
      <c r="G9" s="647"/>
      <c r="H9" s="647"/>
      <c r="I9" s="132">
        <v>20</v>
      </c>
      <c r="J9" s="133" t="s">
        <v>269</v>
      </c>
      <c r="K9" s="10"/>
      <c r="L9" s="30"/>
      <c r="M9" s="30"/>
      <c r="N9" s="30" t="s">
        <v>246</v>
      </c>
      <c r="O9" s="30" t="s">
        <v>246</v>
      </c>
      <c r="P9" s="30"/>
      <c r="Q9" s="30"/>
      <c r="R9" s="30"/>
      <c r="S9" s="30"/>
      <c r="T9" s="30"/>
      <c r="U9" s="30"/>
      <c r="V9" s="30"/>
      <c r="W9" s="30"/>
      <c r="X9" s="475"/>
      <c r="Y9" s="475"/>
      <c r="Z9" s="476"/>
      <c r="AA9" s="451"/>
      <c r="AE9" s="14">
        <v>10</v>
      </c>
    </row>
    <row r="10" spans="1:31" s="14" customFormat="1" ht="24">
      <c r="A10" s="7" t="s">
        <v>68</v>
      </c>
      <c r="B10" s="647" t="s">
        <v>271</v>
      </c>
      <c r="C10" s="647"/>
      <c r="D10" s="647"/>
      <c r="E10" s="647"/>
      <c r="F10" s="647"/>
      <c r="G10" s="647"/>
      <c r="H10" s="647"/>
      <c r="I10" s="132">
        <v>10</v>
      </c>
      <c r="J10" s="133" t="s">
        <v>272</v>
      </c>
      <c r="K10" s="10"/>
      <c r="L10" s="30"/>
      <c r="M10" s="30"/>
      <c r="N10" s="30"/>
      <c r="O10" s="30" t="s">
        <v>246</v>
      </c>
      <c r="P10" s="30" t="s">
        <v>246</v>
      </c>
      <c r="Q10" s="30"/>
      <c r="R10" s="30"/>
      <c r="S10" s="30"/>
      <c r="T10" s="30"/>
      <c r="U10" s="30"/>
      <c r="V10" s="30"/>
      <c r="W10" s="30"/>
      <c r="X10" s="468"/>
      <c r="Y10" s="468"/>
      <c r="Z10" s="469"/>
      <c r="AA10" s="451"/>
    </row>
    <row r="11" spans="1:31" s="14" customFormat="1" ht="67.5">
      <c r="A11" s="7" t="s">
        <v>70</v>
      </c>
      <c r="B11" s="647" t="s">
        <v>273</v>
      </c>
      <c r="C11" s="647"/>
      <c r="D11" s="647"/>
      <c r="E11" s="647"/>
      <c r="F11" s="647"/>
      <c r="G11" s="647"/>
      <c r="H11" s="647"/>
      <c r="I11" s="132">
        <v>20</v>
      </c>
      <c r="J11" s="133" t="s">
        <v>269</v>
      </c>
      <c r="K11" s="10"/>
      <c r="L11" s="30"/>
      <c r="M11" s="30"/>
      <c r="N11" s="30"/>
      <c r="O11" s="30"/>
      <c r="P11" s="30"/>
      <c r="Q11" s="30" t="s">
        <v>246</v>
      </c>
      <c r="R11" s="30" t="s">
        <v>246</v>
      </c>
      <c r="S11" s="30"/>
      <c r="T11" s="30"/>
      <c r="U11" s="30"/>
      <c r="V11" s="30"/>
      <c r="W11" s="30"/>
      <c r="X11" s="468"/>
      <c r="Y11" s="468"/>
      <c r="Z11" s="469"/>
      <c r="AA11" s="451"/>
    </row>
    <row r="12" spans="1:31" s="14" customFormat="1" ht="24">
      <c r="A12" s="7" t="s">
        <v>153</v>
      </c>
      <c r="B12" s="647" t="s">
        <v>274</v>
      </c>
      <c r="C12" s="647"/>
      <c r="D12" s="647"/>
      <c r="E12" s="647"/>
      <c r="F12" s="647"/>
      <c r="G12" s="647"/>
      <c r="H12" s="647"/>
      <c r="I12" s="132">
        <v>10</v>
      </c>
      <c r="J12" s="133" t="s">
        <v>275</v>
      </c>
      <c r="K12" s="10"/>
      <c r="L12" s="30"/>
      <c r="M12" s="30"/>
      <c r="N12" s="30"/>
      <c r="O12" s="30"/>
      <c r="P12" s="30"/>
      <c r="Q12" s="30"/>
      <c r="R12" s="30" t="s">
        <v>246</v>
      </c>
      <c r="S12" s="30" t="s">
        <v>246</v>
      </c>
      <c r="T12" s="30" t="s">
        <v>246</v>
      </c>
      <c r="U12" s="30" t="s">
        <v>246</v>
      </c>
      <c r="V12" s="30" t="s">
        <v>246</v>
      </c>
      <c r="W12" s="30" t="s">
        <v>246</v>
      </c>
      <c r="X12" s="475"/>
      <c r="Y12" s="475"/>
      <c r="Z12" s="476"/>
      <c r="AA12" s="451"/>
    </row>
    <row r="13" spans="1:31" s="14" customFormat="1" ht="45">
      <c r="A13" s="7" t="s">
        <v>155</v>
      </c>
      <c r="B13" s="647" t="s">
        <v>276</v>
      </c>
      <c r="C13" s="647"/>
      <c r="D13" s="647"/>
      <c r="E13" s="647"/>
      <c r="F13" s="647"/>
      <c r="G13" s="647"/>
      <c r="H13" s="647"/>
      <c r="I13" s="132">
        <v>20</v>
      </c>
      <c r="J13" s="133" t="s">
        <v>277</v>
      </c>
      <c r="K13" s="10"/>
      <c r="L13" s="30"/>
      <c r="M13" s="30"/>
      <c r="N13" s="30"/>
      <c r="O13" s="30"/>
      <c r="P13" s="30"/>
      <c r="Q13" s="30"/>
      <c r="R13" s="30" t="s">
        <v>246</v>
      </c>
      <c r="S13" s="30" t="s">
        <v>246</v>
      </c>
      <c r="T13" s="30" t="s">
        <v>246</v>
      </c>
      <c r="U13" s="30" t="s">
        <v>246</v>
      </c>
      <c r="V13" s="30" t="s">
        <v>246</v>
      </c>
      <c r="W13" s="30" t="s">
        <v>246</v>
      </c>
      <c r="X13" s="468"/>
      <c r="Y13" s="468"/>
      <c r="Z13" s="469"/>
      <c r="AA13" s="451"/>
    </row>
    <row r="14" spans="1:31"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31"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31"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verticalCentered="1"/>
  <pageMargins left="0" right="0" top="0" bottom="0" header="0" footer="0"/>
  <pageSetup scale="40" orientation="landscape"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955E-60CE-400C-808A-2872E0B7B224}">
  <dimension ref="A1:AA18"/>
  <sheetViews>
    <sheetView rightToLeft="1" view="pageBreakPreview" zoomScale="55" zoomScaleNormal="100" zoomScaleSheetLayoutView="55" workbookViewId="0">
      <selection activeCell="A4" sqref="A4:E4"/>
    </sheetView>
  </sheetViews>
  <sheetFormatPr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6.5703125" style="21" customWidth="1"/>
    <col min="11" max="11" width="3.7109375" style="21" customWidth="1"/>
    <col min="12"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27" ht="74.25" thickTop="1" thickBot="1">
      <c r="A1" s="552" t="s">
        <v>2625</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27"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27" s="3" customFormat="1" ht="29.25" thickTop="1">
      <c r="A3" s="656" t="s">
        <v>2626</v>
      </c>
      <c r="B3" s="657"/>
      <c r="C3" s="657"/>
      <c r="D3" s="657"/>
      <c r="E3" s="658"/>
      <c r="F3" s="659" t="s">
        <v>178</v>
      </c>
      <c r="G3" s="660"/>
      <c r="H3" s="661" t="s">
        <v>2627</v>
      </c>
      <c r="I3" s="662"/>
      <c r="J3" s="662"/>
      <c r="K3" s="662"/>
      <c r="L3" s="662"/>
      <c r="M3" s="662"/>
      <c r="N3" s="662"/>
      <c r="O3" s="662"/>
      <c r="P3" s="662"/>
      <c r="Q3" s="662"/>
      <c r="R3" s="662"/>
      <c r="S3" s="662"/>
      <c r="T3" s="662"/>
      <c r="U3" s="662"/>
      <c r="V3" s="662"/>
      <c r="W3" s="662"/>
      <c r="X3" s="662"/>
      <c r="Y3" s="662"/>
      <c r="Z3" s="663"/>
      <c r="AA3" s="451"/>
    </row>
    <row r="4" spans="1:27"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27" s="3" customFormat="1" ht="29.25" thickBot="1">
      <c r="A5" s="672" t="s">
        <v>2628</v>
      </c>
      <c r="B5" s="673"/>
      <c r="C5" s="673"/>
      <c r="D5" s="673"/>
      <c r="E5" s="674"/>
      <c r="F5" s="675" t="s">
        <v>2629</v>
      </c>
      <c r="G5" s="675"/>
      <c r="H5" s="676" t="s">
        <v>184</v>
      </c>
      <c r="I5" s="677"/>
      <c r="J5" s="677"/>
      <c r="K5" s="677"/>
      <c r="L5" s="677"/>
      <c r="M5" s="677"/>
      <c r="N5" s="677"/>
      <c r="O5" s="677"/>
      <c r="P5" s="677"/>
      <c r="Q5" s="677"/>
      <c r="R5" s="677"/>
      <c r="S5" s="677"/>
      <c r="T5" s="677"/>
      <c r="U5" s="677"/>
      <c r="V5" s="677"/>
      <c r="W5" s="677"/>
      <c r="X5" s="677"/>
      <c r="Y5" s="677"/>
      <c r="Z5" s="678"/>
      <c r="AA5" s="451"/>
    </row>
    <row r="6" spans="1:27"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27"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27" ht="56.2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27" s="146" customFormat="1" ht="63" customHeight="1">
      <c r="A9" s="138" t="s">
        <v>28</v>
      </c>
      <c r="B9" s="1036" t="s">
        <v>2630</v>
      </c>
      <c r="C9" s="1037"/>
      <c r="D9" s="1037"/>
      <c r="E9" s="1037"/>
      <c r="F9" s="1037"/>
      <c r="G9" s="1038"/>
      <c r="H9" s="139">
        <v>20</v>
      </c>
      <c r="I9" s="140"/>
      <c r="J9" s="140"/>
      <c r="K9" s="1061"/>
      <c r="L9" s="1062"/>
      <c r="M9" s="141"/>
      <c r="N9" s="141"/>
      <c r="O9" s="142"/>
      <c r="P9" s="142"/>
      <c r="Q9" s="142"/>
      <c r="R9" s="142"/>
      <c r="S9" s="142"/>
      <c r="T9" s="142"/>
      <c r="U9" s="142"/>
      <c r="V9" s="142"/>
      <c r="W9" s="142"/>
      <c r="X9" s="1063"/>
      <c r="Y9" s="1064"/>
      <c r="Z9" s="1065"/>
      <c r="AA9" s="451"/>
    </row>
    <row r="10" spans="1:27" s="146" customFormat="1" ht="63" customHeight="1">
      <c r="A10" s="138" t="s">
        <v>66</v>
      </c>
      <c r="B10" s="1066" t="s">
        <v>2631</v>
      </c>
      <c r="C10" s="1067"/>
      <c r="D10" s="1067"/>
      <c r="E10" s="1067"/>
      <c r="F10" s="1067"/>
      <c r="G10" s="1068"/>
      <c r="H10" s="139">
        <v>25</v>
      </c>
      <c r="I10" s="448" t="s">
        <v>2632</v>
      </c>
      <c r="J10" s="140"/>
      <c r="K10" s="1039"/>
      <c r="L10" s="1040"/>
      <c r="M10" s="142"/>
      <c r="N10" s="141"/>
      <c r="O10" s="141"/>
      <c r="P10" s="141"/>
      <c r="Q10" s="142"/>
      <c r="R10" s="142"/>
      <c r="S10" s="142"/>
      <c r="T10" s="142"/>
      <c r="U10" s="142"/>
      <c r="V10" s="142"/>
      <c r="W10" s="142"/>
      <c r="X10" s="143"/>
      <c r="Y10" s="144"/>
      <c r="Z10" s="145"/>
      <c r="AA10" s="451"/>
    </row>
    <row r="11" spans="1:27" s="146" customFormat="1" ht="63" customHeight="1">
      <c r="A11" s="147">
        <v>3</v>
      </c>
      <c r="B11" s="1036" t="s">
        <v>2633</v>
      </c>
      <c r="C11" s="1037"/>
      <c r="D11" s="1037"/>
      <c r="E11" s="1037"/>
      <c r="F11" s="1037"/>
      <c r="G11" s="1038"/>
      <c r="H11" s="139">
        <v>30</v>
      </c>
      <c r="I11" s="448" t="s">
        <v>2632</v>
      </c>
      <c r="J11" s="140"/>
      <c r="K11" s="1039"/>
      <c r="L11" s="1040"/>
      <c r="M11" s="142"/>
      <c r="N11" s="142"/>
      <c r="O11" s="142"/>
      <c r="P11" s="141"/>
      <c r="Q11" s="141"/>
      <c r="R11" s="141"/>
      <c r="S11" s="141"/>
      <c r="T11" s="141"/>
      <c r="U11" s="141"/>
      <c r="V11" s="142"/>
      <c r="W11" s="142"/>
      <c r="X11" s="143"/>
      <c r="Y11" s="144"/>
      <c r="Z11" s="145"/>
      <c r="AA11" s="451"/>
    </row>
    <row r="12" spans="1:27" s="146" customFormat="1" ht="63" customHeight="1" thickBot="1">
      <c r="A12" s="138" t="s">
        <v>70</v>
      </c>
      <c r="B12" s="1066" t="s">
        <v>2634</v>
      </c>
      <c r="C12" s="1067"/>
      <c r="D12" s="1067"/>
      <c r="E12" s="1067"/>
      <c r="F12" s="1067"/>
      <c r="G12" s="1068"/>
      <c r="H12" s="139">
        <v>25</v>
      </c>
      <c r="I12" s="140"/>
      <c r="J12" s="140"/>
      <c r="K12" s="1039"/>
      <c r="L12" s="1040"/>
      <c r="M12" s="142"/>
      <c r="N12" s="142"/>
      <c r="O12" s="142"/>
      <c r="P12" s="142"/>
      <c r="Q12" s="142"/>
      <c r="R12" s="141"/>
      <c r="S12" s="141"/>
      <c r="T12" s="141"/>
      <c r="U12" s="141"/>
      <c r="V12" s="141"/>
      <c r="W12" s="207"/>
      <c r="X12" s="1069"/>
      <c r="Y12" s="1069"/>
      <c r="Z12" s="1069"/>
      <c r="AA12" s="451"/>
    </row>
    <row r="13" spans="1:27" ht="19.5" thickTop="1" thickBot="1">
      <c r="A13" s="1070"/>
      <c r="B13" s="1071"/>
      <c r="C13" s="1071"/>
      <c r="D13" s="1071"/>
      <c r="E13" s="1072"/>
      <c r="F13" s="1072"/>
      <c r="G13" s="1071"/>
      <c r="H13" s="1073"/>
      <c r="I13" s="1073"/>
      <c r="J13" s="1073"/>
      <c r="K13" s="1074"/>
      <c r="L13" s="1074"/>
      <c r="M13" s="1074"/>
      <c r="N13" s="1074"/>
      <c r="O13" s="1074"/>
      <c r="P13" s="1074"/>
      <c r="Q13" s="1074"/>
      <c r="R13" s="1074"/>
      <c r="S13" s="1074"/>
      <c r="T13" s="1074"/>
      <c r="U13" s="1074"/>
      <c r="V13" s="1074"/>
      <c r="W13" s="1074"/>
      <c r="X13" s="1072"/>
      <c r="Y13" s="1072"/>
      <c r="Z13" s="1075"/>
      <c r="AA13" s="451"/>
    </row>
    <row r="14" spans="1:27" ht="30" thickTop="1" thickBot="1">
      <c r="A14" s="1076" t="s">
        <v>72</v>
      </c>
      <c r="B14" s="1077"/>
      <c r="C14" s="1077"/>
      <c r="D14" s="1078"/>
      <c r="E14" s="1083" t="s">
        <v>73</v>
      </c>
      <c r="F14" s="1084"/>
      <c r="G14" s="1084"/>
      <c r="H14" s="1084"/>
      <c r="I14" s="1084"/>
      <c r="J14" s="1083" t="s">
        <v>74</v>
      </c>
      <c r="K14" s="1084"/>
      <c r="L14" s="1084"/>
      <c r="M14" s="1084"/>
      <c r="N14" s="1084"/>
      <c r="O14" s="1085"/>
      <c r="P14" s="1086" t="s">
        <v>75</v>
      </c>
      <c r="Q14" s="1087"/>
      <c r="R14" s="1087"/>
      <c r="S14" s="1087"/>
      <c r="T14" s="1087"/>
      <c r="U14" s="1087"/>
      <c r="V14" s="1087"/>
      <c r="W14" s="1088"/>
      <c r="X14" s="1086" t="s">
        <v>76</v>
      </c>
      <c r="Y14" s="1087"/>
      <c r="Z14" s="1088"/>
      <c r="AA14" s="451"/>
    </row>
    <row r="15" spans="1:27" s="20" customFormat="1" ht="29.25" thickTop="1">
      <c r="A15" s="1079"/>
      <c r="B15" s="1047"/>
      <c r="C15" s="1047"/>
      <c r="D15" s="1055"/>
      <c r="E15" s="1095"/>
      <c r="F15" s="1096"/>
      <c r="G15" s="1095"/>
      <c r="H15" s="1101"/>
      <c r="I15" s="1096"/>
      <c r="J15" s="1104" t="s">
        <v>576</v>
      </c>
      <c r="K15" s="1106"/>
      <c r="L15" s="1101"/>
      <c r="M15" s="1101"/>
      <c r="N15" s="1101"/>
      <c r="O15" s="1096"/>
      <c r="P15" s="1089"/>
      <c r="Q15" s="1090"/>
      <c r="R15" s="1090"/>
      <c r="S15" s="1090"/>
      <c r="T15" s="1090"/>
      <c r="U15" s="1090"/>
      <c r="V15" s="1090"/>
      <c r="W15" s="1091"/>
      <c r="X15" s="1089"/>
      <c r="Y15" s="1090"/>
      <c r="Z15" s="1091"/>
    </row>
    <row r="16" spans="1:27" s="20" customFormat="1" ht="29.25" thickBot="1">
      <c r="A16" s="1079"/>
      <c r="B16" s="1047"/>
      <c r="C16" s="1047"/>
      <c r="D16" s="1055"/>
      <c r="E16" s="1097"/>
      <c r="F16" s="1098"/>
      <c r="G16" s="1097"/>
      <c r="H16" s="1102"/>
      <c r="I16" s="1098"/>
      <c r="J16" s="1105"/>
      <c r="K16" s="1099"/>
      <c r="L16" s="1103"/>
      <c r="M16" s="1103"/>
      <c r="N16" s="1103"/>
      <c r="O16" s="1100"/>
      <c r="P16" s="1089"/>
      <c r="Q16" s="1090"/>
      <c r="R16" s="1090"/>
      <c r="S16" s="1090"/>
      <c r="T16" s="1090"/>
      <c r="U16" s="1090"/>
      <c r="V16" s="1090"/>
      <c r="W16" s="1091"/>
      <c r="X16" s="1089"/>
      <c r="Y16" s="1090"/>
      <c r="Z16" s="1091"/>
    </row>
    <row r="17" spans="1:26" s="20" customFormat="1" ht="29.25" thickTop="1">
      <c r="A17" s="1079"/>
      <c r="B17" s="1047"/>
      <c r="C17" s="1047"/>
      <c r="D17" s="1055"/>
      <c r="E17" s="1097"/>
      <c r="F17" s="1098"/>
      <c r="G17" s="1097"/>
      <c r="H17" s="1102"/>
      <c r="I17" s="1098"/>
      <c r="J17" s="1107" t="s">
        <v>198</v>
      </c>
      <c r="K17" s="1095"/>
      <c r="L17" s="1101"/>
      <c r="M17" s="1101"/>
      <c r="N17" s="1101"/>
      <c r="O17" s="1096"/>
      <c r="P17" s="1089"/>
      <c r="Q17" s="1090"/>
      <c r="R17" s="1090"/>
      <c r="S17" s="1090"/>
      <c r="T17" s="1090"/>
      <c r="U17" s="1090"/>
      <c r="V17" s="1090"/>
      <c r="W17" s="1091"/>
      <c r="X17" s="1089"/>
      <c r="Y17" s="1090"/>
      <c r="Z17" s="1091"/>
    </row>
    <row r="18" spans="1:26" s="20" customFormat="1" ht="29.25" thickBot="1">
      <c r="A18" s="1080"/>
      <c r="B18" s="1081"/>
      <c r="C18" s="1081"/>
      <c r="D18" s="1082"/>
      <c r="E18" s="1099"/>
      <c r="F18" s="1100"/>
      <c r="G18" s="1099"/>
      <c r="H18" s="1103"/>
      <c r="I18" s="1100"/>
      <c r="J18" s="1108"/>
      <c r="K18" s="1099"/>
      <c r="L18" s="1103"/>
      <c r="M18" s="1103"/>
      <c r="N18" s="1103"/>
      <c r="O18" s="1100"/>
      <c r="P18" s="1092"/>
      <c r="Q18" s="1093"/>
      <c r="R18" s="1093"/>
      <c r="S18" s="1093"/>
      <c r="T18" s="1093"/>
      <c r="U18" s="1093"/>
      <c r="V18" s="1093"/>
      <c r="W18" s="1094"/>
      <c r="X18" s="1092"/>
      <c r="Y18" s="1093"/>
      <c r="Z18" s="1094"/>
    </row>
  </sheetData>
  <mergeCells count="42">
    <mergeCell ref="B12:G12"/>
    <mergeCell ref="K12:L12"/>
    <mergeCell ref="X12:Z12"/>
    <mergeCell ref="A13:Z13"/>
    <mergeCell ref="A14:D18"/>
    <mergeCell ref="E14:I14"/>
    <mergeCell ref="J14:O14"/>
    <mergeCell ref="P14:W18"/>
    <mergeCell ref="X14:Z18"/>
    <mergeCell ref="E15:F18"/>
    <mergeCell ref="G15:I18"/>
    <mergeCell ref="J15:J16"/>
    <mergeCell ref="K15:O16"/>
    <mergeCell ref="J17:J18"/>
    <mergeCell ref="K17:O18"/>
    <mergeCell ref="B9:G9"/>
    <mergeCell ref="K9:L9"/>
    <mergeCell ref="X9:Z9"/>
    <mergeCell ref="B10:G10"/>
    <mergeCell ref="K10:L10"/>
    <mergeCell ref="I6:I8"/>
    <mergeCell ref="J6:J8"/>
    <mergeCell ref="K6:W6"/>
    <mergeCell ref="X6:Z8"/>
    <mergeCell ref="K7:W7"/>
    <mergeCell ref="K8:L8"/>
    <mergeCell ref="A1:Z1"/>
    <mergeCell ref="AA1:AA14"/>
    <mergeCell ref="A2:Z2"/>
    <mergeCell ref="A3:E3"/>
    <mergeCell ref="F3:G3"/>
    <mergeCell ref="H3:Z4"/>
    <mergeCell ref="A4:E4"/>
    <mergeCell ref="F4:G4"/>
    <mergeCell ref="A5:E5"/>
    <mergeCell ref="F5:G5"/>
    <mergeCell ref="B11:G11"/>
    <mergeCell ref="K11:L11"/>
    <mergeCell ref="H5:Z5"/>
    <mergeCell ref="A6:A8"/>
    <mergeCell ref="B6:G8"/>
    <mergeCell ref="H6:H8"/>
  </mergeCells>
  <printOptions horizontalCentered="1" verticalCentered="1"/>
  <pageMargins left="0.25" right="0.25" top="0.75" bottom="0.75" header="0.3" footer="0.3"/>
  <pageSetup paperSize="9" scale="38" orientation="landscape"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F1DC-926A-4567-8612-77FFD8A4A1AC}">
  <dimension ref="A1:AO17"/>
  <sheetViews>
    <sheetView rightToLeft="1" zoomScale="85" zoomScaleNormal="85" zoomScaleSheetLayoutView="70" workbookViewId="0">
      <selection activeCell="AO12" sqref="AO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12.140625" style="21" customWidth="1"/>
    <col min="6" max="6" width="14.7109375" style="21" customWidth="1"/>
    <col min="7" max="7" width="27.7109375" style="21" customWidth="1"/>
    <col min="8" max="8" width="21.140625" style="21" customWidth="1"/>
    <col min="9" max="9" width="12.5703125" style="21" customWidth="1"/>
    <col min="10" max="10" width="15.7109375" style="21" customWidth="1"/>
    <col min="11" max="11" width="6.7109375" style="21" customWidth="1"/>
    <col min="12" max="14" width="4.7109375" style="21" customWidth="1"/>
    <col min="15" max="15" width="6.140625" style="21" customWidth="1"/>
    <col min="16" max="35" width="4.7109375" style="21" customWidth="1"/>
    <col min="36" max="36" width="4.42578125" style="21" bestFit="1" customWidth="1"/>
    <col min="37" max="37" width="7.140625" style="21" customWidth="1"/>
    <col min="38" max="38" width="6.140625" style="21" customWidth="1"/>
    <col min="39" max="39" width="3.140625" style="2" customWidth="1"/>
    <col min="40" max="40" width="4.140625" style="2" customWidth="1"/>
    <col min="41" max="16384" width="9.140625" style="2"/>
  </cols>
  <sheetData>
    <row r="1" spans="1:41" ht="74.25" thickTop="1" thickBot="1">
      <c r="A1" s="552" t="s">
        <v>577</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3"/>
      <c r="AC1" s="553"/>
      <c r="AD1" s="553"/>
      <c r="AE1" s="553"/>
      <c r="AF1" s="553"/>
      <c r="AG1" s="553"/>
      <c r="AH1" s="553"/>
      <c r="AI1" s="553"/>
      <c r="AJ1" s="553"/>
      <c r="AK1" s="553"/>
      <c r="AL1" s="554"/>
      <c r="AM1" s="451"/>
    </row>
    <row r="2" spans="1:41"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555"/>
      <c r="AC2" s="555"/>
      <c r="AD2" s="555"/>
      <c r="AE2" s="555"/>
      <c r="AF2" s="555"/>
      <c r="AG2" s="555"/>
      <c r="AH2" s="555"/>
      <c r="AI2" s="555"/>
      <c r="AJ2" s="555"/>
      <c r="AK2" s="555"/>
      <c r="AL2" s="556"/>
      <c r="AM2" s="451"/>
    </row>
    <row r="3" spans="1:41" s="3" customFormat="1" ht="29.25" thickTop="1">
      <c r="A3" s="656" t="s">
        <v>599</v>
      </c>
      <c r="B3" s="657"/>
      <c r="C3" s="657"/>
      <c r="D3" s="657"/>
      <c r="E3" s="658"/>
      <c r="F3" s="659" t="s">
        <v>178</v>
      </c>
      <c r="G3" s="660"/>
      <c r="H3" s="661" t="s">
        <v>600</v>
      </c>
      <c r="I3" s="662"/>
      <c r="J3" s="662"/>
      <c r="K3" s="662"/>
      <c r="L3" s="662"/>
      <c r="M3" s="662"/>
      <c r="N3" s="662"/>
      <c r="O3" s="662"/>
      <c r="P3" s="662"/>
      <c r="Q3" s="662"/>
      <c r="R3" s="662"/>
      <c r="S3" s="662"/>
      <c r="T3" s="662"/>
      <c r="U3" s="662"/>
      <c r="V3" s="662"/>
      <c r="W3" s="662"/>
      <c r="X3" s="662"/>
      <c r="Y3" s="662"/>
      <c r="Z3" s="662"/>
      <c r="AA3" s="662"/>
      <c r="AB3" s="662"/>
      <c r="AC3" s="662"/>
      <c r="AD3" s="662"/>
      <c r="AE3" s="662"/>
      <c r="AF3" s="662"/>
      <c r="AG3" s="662"/>
      <c r="AH3" s="662"/>
      <c r="AI3" s="662"/>
      <c r="AJ3" s="662"/>
      <c r="AK3" s="662"/>
      <c r="AL3" s="663"/>
      <c r="AM3" s="451"/>
    </row>
    <row r="4" spans="1:41" s="3" customFormat="1" ht="28.5">
      <c r="A4" s="667" t="s">
        <v>558</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5"/>
      <c r="AA4" s="665"/>
      <c r="AB4" s="665"/>
      <c r="AC4" s="665"/>
      <c r="AD4" s="665"/>
      <c r="AE4" s="665"/>
      <c r="AF4" s="665"/>
      <c r="AG4" s="665"/>
      <c r="AH4" s="665"/>
      <c r="AI4" s="665"/>
      <c r="AJ4" s="665"/>
      <c r="AK4" s="665"/>
      <c r="AL4" s="666"/>
      <c r="AM4" s="451"/>
    </row>
    <row r="5" spans="1:41" s="3" customFormat="1" ht="29.25" thickBot="1">
      <c r="A5" s="672" t="s">
        <v>601</v>
      </c>
      <c r="B5" s="673"/>
      <c r="C5" s="673"/>
      <c r="D5" s="673"/>
      <c r="E5" s="674"/>
      <c r="F5" s="675" t="s">
        <v>602</v>
      </c>
      <c r="G5" s="675"/>
      <c r="H5" s="676" t="s">
        <v>184</v>
      </c>
      <c r="I5" s="677"/>
      <c r="J5" s="677"/>
      <c r="K5" s="677"/>
      <c r="L5" s="677"/>
      <c r="M5" s="677"/>
      <c r="N5" s="677"/>
      <c r="O5" s="677"/>
      <c r="P5" s="677"/>
      <c r="Q5" s="677"/>
      <c r="R5" s="677"/>
      <c r="S5" s="677"/>
      <c r="T5" s="677"/>
      <c r="U5" s="677"/>
      <c r="V5" s="677"/>
      <c r="W5" s="677"/>
      <c r="X5" s="677"/>
      <c r="Y5" s="677"/>
      <c r="Z5" s="677"/>
      <c r="AA5" s="677"/>
      <c r="AB5" s="677"/>
      <c r="AC5" s="677"/>
      <c r="AD5" s="677"/>
      <c r="AE5" s="677"/>
      <c r="AF5" s="677"/>
      <c r="AG5" s="677"/>
      <c r="AH5" s="677"/>
      <c r="AI5" s="677"/>
      <c r="AJ5" s="677"/>
      <c r="AK5" s="677"/>
      <c r="AL5" s="678"/>
      <c r="AM5" s="451"/>
    </row>
    <row r="6" spans="1:41" ht="28.5">
      <c r="A6" s="1041" t="s">
        <v>9</v>
      </c>
      <c r="B6" s="1043" t="s">
        <v>58</v>
      </c>
      <c r="C6" s="1044"/>
      <c r="D6" s="1044"/>
      <c r="E6" s="1044"/>
      <c r="F6" s="1044"/>
      <c r="G6" s="1045"/>
      <c r="H6" s="1049" t="s">
        <v>59</v>
      </c>
      <c r="I6" s="1049" t="s">
        <v>185</v>
      </c>
      <c r="J6" s="1049" t="s">
        <v>562</v>
      </c>
      <c r="K6" s="1053" t="s">
        <v>583</v>
      </c>
      <c r="L6" s="1053"/>
      <c r="M6" s="1053"/>
      <c r="N6" s="1053"/>
      <c r="O6" s="1053"/>
      <c r="P6" s="1053"/>
      <c r="Q6" s="1053"/>
      <c r="R6" s="1053"/>
      <c r="S6" s="1053"/>
      <c r="T6" s="1053"/>
      <c r="U6" s="1053"/>
      <c r="V6" s="1053"/>
      <c r="W6" s="1053"/>
      <c r="X6" s="1053"/>
      <c r="Y6" s="1053"/>
      <c r="Z6" s="1053"/>
      <c r="AA6" s="1053"/>
      <c r="AB6" s="1053"/>
      <c r="AC6" s="1053"/>
      <c r="AD6" s="1053"/>
      <c r="AE6" s="1053"/>
      <c r="AF6" s="1053"/>
      <c r="AG6" s="1053"/>
      <c r="AH6" s="1053"/>
      <c r="AI6" s="1053"/>
      <c r="AJ6" s="1043" t="s">
        <v>186</v>
      </c>
      <c r="AK6" s="1044"/>
      <c r="AL6" s="1054"/>
      <c r="AM6" s="451"/>
    </row>
    <row r="7" spans="1:41" ht="36" customHeight="1">
      <c r="A7" s="1042"/>
      <c r="B7" s="1046"/>
      <c r="C7" s="1047"/>
      <c r="D7" s="1047"/>
      <c r="E7" s="1047"/>
      <c r="F7" s="1047"/>
      <c r="G7" s="1048"/>
      <c r="H7" s="1050"/>
      <c r="I7" s="1050"/>
      <c r="J7" s="1050"/>
      <c r="K7" s="1056">
        <v>1404</v>
      </c>
      <c r="L7" s="1057"/>
      <c r="M7" s="1057"/>
      <c r="N7" s="1057"/>
      <c r="O7" s="1057"/>
      <c r="P7" s="1057"/>
      <c r="Q7" s="1057"/>
      <c r="R7" s="1057"/>
      <c r="S7" s="1057"/>
      <c r="T7" s="1057"/>
      <c r="U7" s="1057"/>
      <c r="V7" s="1057"/>
      <c r="W7" s="1057"/>
      <c r="X7" s="1057">
        <v>1405</v>
      </c>
      <c r="Y7" s="1057"/>
      <c r="Z7" s="1057"/>
      <c r="AA7" s="1057"/>
      <c r="AB7" s="1057"/>
      <c r="AC7" s="1057"/>
      <c r="AD7" s="1057"/>
      <c r="AE7" s="1057"/>
      <c r="AF7" s="1057"/>
      <c r="AG7" s="1057"/>
      <c r="AH7" s="1057"/>
      <c r="AI7" s="1058"/>
      <c r="AJ7" s="1046"/>
      <c r="AK7" s="1047"/>
      <c r="AL7" s="1055"/>
      <c r="AM7" s="451"/>
    </row>
    <row r="8" spans="1:41" ht="65.25" customHeight="1">
      <c r="A8" s="1042"/>
      <c r="B8" s="1046"/>
      <c r="C8" s="1047"/>
      <c r="D8" s="1047"/>
      <c r="E8" s="1047"/>
      <c r="F8" s="1047"/>
      <c r="G8" s="1048"/>
      <c r="H8" s="1051"/>
      <c r="I8" s="1050"/>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37" t="s">
        <v>16</v>
      </c>
      <c r="Y8" s="137" t="s">
        <v>188</v>
      </c>
      <c r="Z8" s="137" t="s">
        <v>18</v>
      </c>
      <c r="AA8" s="137" t="s">
        <v>189</v>
      </c>
      <c r="AB8" s="137" t="s">
        <v>20</v>
      </c>
      <c r="AC8" s="137" t="s">
        <v>190</v>
      </c>
      <c r="AD8" s="137" t="s">
        <v>22</v>
      </c>
      <c r="AE8" s="137" t="s">
        <v>23</v>
      </c>
      <c r="AF8" s="137" t="s">
        <v>24</v>
      </c>
      <c r="AG8" s="137" t="s">
        <v>25</v>
      </c>
      <c r="AH8" s="137" t="s">
        <v>26</v>
      </c>
      <c r="AI8" s="137" t="s">
        <v>27</v>
      </c>
      <c r="AJ8" s="1046"/>
      <c r="AK8" s="1047"/>
      <c r="AL8" s="1055"/>
      <c r="AM8" s="451"/>
    </row>
    <row r="9" spans="1:41" s="146" customFormat="1" ht="63" customHeight="1">
      <c r="A9" s="138" t="s">
        <v>28</v>
      </c>
      <c r="B9" s="1109" t="s">
        <v>603</v>
      </c>
      <c r="C9" s="1110"/>
      <c r="D9" s="1110"/>
      <c r="E9" s="1110"/>
      <c r="F9" s="1110"/>
      <c r="G9" s="1111"/>
      <c r="H9" s="139">
        <v>40</v>
      </c>
      <c r="I9" s="205"/>
      <c r="J9" s="205"/>
      <c r="K9" s="1061"/>
      <c r="L9" s="1062"/>
      <c r="M9" s="206"/>
      <c r="N9" s="206"/>
      <c r="O9" s="206"/>
      <c r="P9" s="206"/>
      <c r="Q9" s="142"/>
      <c r="R9" s="206"/>
      <c r="S9" s="207"/>
      <c r="T9" s="207"/>
      <c r="U9" s="207"/>
      <c r="V9" s="207"/>
      <c r="W9" s="207"/>
      <c r="X9" s="207"/>
      <c r="Y9" s="207"/>
      <c r="Z9" s="207"/>
      <c r="AA9" s="206"/>
      <c r="AB9" s="206"/>
      <c r="AC9" s="206"/>
      <c r="AD9" s="206"/>
      <c r="AE9" s="206"/>
      <c r="AF9" s="206"/>
      <c r="AG9" s="206"/>
      <c r="AH9" s="206"/>
      <c r="AI9" s="206"/>
      <c r="AJ9" s="1063"/>
      <c r="AK9" s="1064"/>
      <c r="AL9" s="1065"/>
      <c r="AM9" s="451"/>
      <c r="AO9" s="146">
        <f>(40/8)*3</f>
        <v>15</v>
      </c>
    </row>
    <row r="10" spans="1:41" s="146" customFormat="1" ht="63" customHeight="1">
      <c r="A10" s="138" t="s">
        <v>66</v>
      </c>
      <c r="B10" s="1112" t="s">
        <v>604</v>
      </c>
      <c r="C10" s="1113"/>
      <c r="D10" s="1113"/>
      <c r="E10" s="1113"/>
      <c r="F10" s="1113"/>
      <c r="G10" s="1114"/>
      <c r="H10" s="139">
        <v>30</v>
      </c>
      <c r="I10" s="205"/>
      <c r="J10" s="205"/>
      <c r="K10" s="1061"/>
      <c r="L10" s="1062"/>
      <c r="M10" s="206"/>
      <c r="N10" s="206"/>
      <c r="O10" s="206"/>
      <c r="P10" s="206"/>
      <c r="Q10" s="206"/>
      <c r="R10" s="206"/>
      <c r="S10" s="206"/>
      <c r="T10" s="206"/>
      <c r="U10" s="206"/>
      <c r="V10" s="206"/>
      <c r="W10" s="206"/>
      <c r="X10" s="206"/>
      <c r="Y10" s="206"/>
      <c r="Z10" s="141"/>
      <c r="AA10" s="141"/>
      <c r="AB10" s="207"/>
      <c r="AC10" s="206"/>
      <c r="AD10" s="206"/>
      <c r="AE10" s="206"/>
      <c r="AF10" s="206"/>
      <c r="AG10" s="206"/>
      <c r="AH10" s="206"/>
      <c r="AI10" s="206"/>
      <c r="AJ10" s="143"/>
      <c r="AK10" s="144"/>
      <c r="AL10" s="145"/>
      <c r="AM10" s="451"/>
      <c r="AO10" s="146">
        <v>10</v>
      </c>
    </row>
    <row r="11" spans="1:41" s="146" customFormat="1" ht="63" customHeight="1" thickBot="1">
      <c r="A11" s="147">
        <v>3</v>
      </c>
      <c r="B11" s="1109" t="s">
        <v>605</v>
      </c>
      <c r="C11" s="1110"/>
      <c r="D11" s="1110"/>
      <c r="E11" s="1110"/>
      <c r="F11" s="1110"/>
      <c r="G11" s="1111"/>
      <c r="H11" s="139">
        <v>30</v>
      </c>
      <c r="I11" s="205"/>
      <c r="J11" s="205"/>
      <c r="K11" s="1061"/>
      <c r="L11" s="1062"/>
      <c r="M11" s="206"/>
      <c r="N11" s="206"/>
      <c r="O11" s="206"/>
      <c r="P11" s="206"/>
      <c r="Q11" s="206"/>
      <c r="R11" s="206"/>
      <c r="S11" s="206"/>
      <c r="T11" s="206"/>
      <c r="U11" s="206"/>
      <c r="V11" s="206"/>
      <c r="W11" s="206"/>
      <c r="X11" s="142"/>
      <c r="Y11" s="141"/>
      <c r="Z11" s="207"/>
      <c r="AA11" s="207"/>
      <c r="AB11" s="207"/>
      <c r="AC11" s="207"/>
      <c r="AD11" s="207"/>
      <c r="AE11" s="207"/>
      <c r="AF11" s="207"/>
      <c r="AG11" s="207"/>
      <c r="AH11" s="207"/>
      <c r="AI11" s="207"/>
      <c r="AJ11" s="143"/>
      <c r="AK11" s="144"/>
      <c r="AL11" s="145"/>
      <c r="AM11" s="451"/>
      <c r="AO11" s="146">
        <f>(30/11)*3</f>
        <v>8.1818181818181817</v>
      </c>
    </row>
    <row r="12" spans="1:41" ht="19.5" thickTop="1" thickBot="1">
      <c r="A12" s="1070"/>
      <c r="B12" s="1071"/>
      <c r="C12" s="1071"/>
      <c r="D12" s="1071"/>
      <c r="E12" s="1072"/>
      <c r="F12" s="1072"/>
      <c r="G12" s="1071"/>
      <c r="H12" s="1073"/>
      <c r="I12" s="1073"/>
      <c r="J12" s="1073"/>
      <c r="K12" s="1074"/>
      <c r="L12" s="1074"/>
      <c r="M12" s="1074"/>
      <c r="N12" s="1074"/>
      <c r="O12" s="1074"/>
      <c r="P12" s="1074"/>
      <c r="Q12" s="1074"/>
      <c r="R12" s="1074"/>
      <c r="S12" s="1074"/>
      <c r="T12" s="1074"/>
      <c r="U12" s="1074"/>
      <c r="V12" s="1074"/>
      <c r="W12" s="1074"/>
      <c r="X12" s="1074"/>
      <c r="Y12" s="1074"/>
      <c r="Z12" s="1074"/>
      <c r="AA12" s="1074"/>
      <c r="AB12" s="1074"/>
      <c r="AC12" s="1074"/>
      <c r="AD12" s="1074"/>
      <c r="AE12" s="1074"/>
      <c r="AF12" s="1074"/>
      <c r="AG12" s="1074"/>
      <c r="AH12" s="1074"/>
      <c r="AI12" s="1074"/>
      <c r="AJ12" s="1072"/>
      <c r="AK12" s="1072"/>
      <c r="AL12" s="1075"/>
      <c r="AM12" s="451"/>
    </row>
    <row r="13" spans="1:41" ht="30" thickTop="1" thickBot="1">
      <c r="A13" s="1076" t="s">
        <v>72</v>
      </c>
      <c r="B13" s="1077"/>
      <c r="C13" s="1077"/>
      <c r="D13" s="1078"/>
      <c r="E13" s="1083" t="s">
        <v>73</v>
      </c>
      <c r="F13" s="1084"/>
      <c r="G13" s="1084"/>
      <c r="H13" s="1084"/>
      <c r="I13" s="1084"/>
      <c r="J13" s="1083" t="s">
        <v>74</v>
      </c>
      <c r="K13" s="1084"/>
      <c r="L13" s="1084"/>
      <c r="M13" s="1084"/>
      <c r="N13" s="1084"/>
      <c r="O13" s="1085"/>
      <c r="P13" s="1086" t="s">
        <v>75</v>
      </c>
      <c r="Q13" s="1087"/>
      <c r="R13" s="1087"/>
      <c r="S13" s="1087"/>
      <c r="T13" s="1087"/>
      <c r="U13" s="1087"/>
      <c r="V13" s="1087"/>
      <c r="W13" s="1087"/>
      <c r="X13" s="1087"/>
      <c r="Y13" s="1087"/>
      <c r="Z13" s="1087"/>
      <c r="AA13" s="1087"/>
      <c r="AB13" s="1087"/>
      <c r="AC13" s="1087"/>
      <c r="AD13" s="1087"/>
      <c r="AE13" s="1087"/>
      <c r="AF13" s="1087"/>
      <c r="AG13" s="1087"/>
      <c r="AH13" s="1087"/>
      <c r="AI13" s="1088"/>
      <c r="AJ13" s="1086" t="s">
        <v>76</v>
      </c>
      <c r="AK13" s="1087"/>
      <c r="AL13" s="1088"/>
      <c r="AM13" s="451"/>
    </row>
    <row r="14" spans="1:41" s="20" customFormat="1" ht="29.25" thickTop="1">
      <c r="A14" s="1079"/>
      <c r="B14" s="1047"/>
      <c r="C14" s="1047"/>
      <c r="D14" s="1055"/>
      <c r="E14" s="1095"/>
      <c r="F14" s="1096"/>
      <c r="G14" s="1095"/>
      <c r="H14" s="1101"/>
      <c r="I14" s="1096"/>
      <c r="J14" s="1104" t="s">
        <v>197</v>
      </c>
      <c r="K14" s="1106" t="s">
        <v>588</v>
      </c>
      <c r="L14" s="1101"/>
      <c r="M14" s="1101"/>
      <c r="N14" s="1101"/>
      <c r="O14" s="1096"/>
      <c r="P14" s="1089"/>
      <c r="Q14" s="1090"/>
      <c r="R14" s="1090"/>
      <c r="S14" s="1090"/>
      <c r="T14" s="1090"/>
      <c r="U14" s="1090"/>
      <c r="V14" s="1090"/>
      <c r="W14" s="1090"/>
      <c r="X14" s="1090"/>
      <c r="Y14" s="1090"/>
      <c r="Z14" s="1090"/>
      <c r="AA14" s="1090"/>
      <c r="AB14" s="1090"/>
      <c r="AC14" s="1090"/>
      <c r="AD14" s="1090"/>
      <c r="AE14" s="1090"/>
      <c r="AF14" s="1090"/>
      <c r="AG14" s="1090"/>
      <c r="AH14" s="1090"/>
      <c r="AI14" s="1091"/>
      <c r="AJ14" s="1089"/>
      <c r="AK14" s="1090"/>
      <c r="AL14" s="1091"/>
    </row>
    <row r="15" spans="1:41" s="20" customFormat="1" ht="29.25" thickBot="1">
      <c r="A15" s="1079"/>
      <c r="B15" s="1047"/>
      <c r="C15" s="1047"/>
      <c r="D15" s="1055"/>
      <c r="E15" s="1097"/>
      <c r="F15" s="1098"/>
      <c r="G15" s="1097"/>
      <c r="H15" s="1102"/>
      <c r="I15" s="1098"/>
      <c r="J15" s="1105"/>
      <c r="K15" s="1099"/>
      <c r="L15" s="1103"/>
      <c r="M15" s="1103"/>
      <c r="N15" s="1103"/>
      <c r="O15" s="1100"/>
      <c r="P15" s="1089"/>
      <c r="Q15" s="1090"/>
      <c r="R15" s="1090"/>
      <c r="S15" s="1090"/>
      <c r="T15" s="1090"/>
      <c r="U15" s="1090"/>
      <c r="V15" s="1090"/>
      <c r="W15" s="1090"/>
      <c r="X15" s="1090"/>
      <c r="Y15" s="1090"/>
      <c r="Z15" s="1090"/>
      <c r="AA15" s="1090"/>
      <c r="AB15" s="1090"/>
      <c r="AC15" s="1090"/>
      <c r="AD15" s="1090"/>
      <c r="AE15" s="1090"/>
      <c r="AF15" s="1090"/>
      <c r="AG15" s="1090"/>
      <c r="AH15" s="1090"/>
      <c r="AI15" s="1091"/>
      <c r="AJ15" s="1089"/>
      <c r="AK15" s="1090"/>
      <c r="AL15" s="1091"/>
    </row>
    <row r="16" spans="1:41" s="20" customFormat="1" ht="29.25" thickTop="1">
      <c r="A16" s="1079"/>
      <c r="B16" s="1047"/>
      <c r="C16" s="1047"/>
      <c r="D16" s="1055"/>
      <c r="E16" s="1097"/>
      <c r="F16" s="1098"/>
      <c r="G16" s="1097"/>
      <c r="H16" s="1102"/>
      <c r="I16" s="1098"/>
      <c r="J16" s="1107" t="s">
        <v>198</v>
      </c>
      <c r="K16" s="1095"/>
      <c r="L16" s="1101"/>
      <c r="M16" s="1101"/>
      <c r="N16" s="1101"/>
      <c r="O16" s="1096"/>
      <c r="P16" s="1089"/>
      <c r="Q16" s="1090"/>
      <c r="R16" s="1090"/>
      <c r="S16" s="1090"/>
      <c r="T16" s="1090"/>
      <c r="U16" s="1090"/>
      <c r="V16" s="1090"/>
      <c r="W16" s="1090"/>
      <c r="X16" s="1090"/>
      <c r="Y16" s="1090"/>
      <c r="Z16" s="1090"/>
      <c r="AA16" s="1090"/>
      <c r="AB16" s="1090"/>
      <c r="AC16" s="1090"/>
      <c r="AD16" s="1090"/>
      <c r="AE16" s="1090"/>
      <c r="AF16" s="1090"/>
      <c r="AG16" s="1090"/>
      <c r="AH16" s="1090"/>
      <c r="AI16" s="1091"/>
      <c r="AJ16" s="1089"/>
      <c r="AK16" s="1090"/>
      <c r="AL16" s="1091"/>
    </row>
    <row r="17" spans="1:38" s="20" customFormat="1" ht="29.25" thickBot="1">
      <c r="A17" s="1080"/>
      <c r="B17" s="1081"/>
      <c r="C17" s="1081"/>
      <c r="D17" s="1082"/>
      <c r="E17" s="1099"/>
      <c r="F17" s="1100"/>
      <c r="G17" s="1099"/>
      <c r="H17" s="1103"/>
      <c r="I17" s="1100"/>
      <c r="J17" s="1108"/>
      <c r="K17" s="1099"/>
      <c r="L17" s="1103"/>
      <c r="M17" s="1103"/>
      <c r="N17" s="1103"/>
      <c r="O17" s="1100"/>
      <c r="P17" s="1092"/>
      <c r="Q17" s="1093"/>
      <c r="R17" s="1093"/>
      <c r="S17" s="1093"/>
      <c r="T17" s="1093"/>
      <c r="U17" s="1093"/>
      <c r="V17" s="1093"/>
      <c r="W17" s="1093"/>
      <c r="X17" s="1093"/>
      <c r="Y17" s="1093"/>
      <c r="Z17" s="1093"/>
      <c r="AA17" s="1093"/>
      <c r="AB17" s="1093"/>
      <c r="AC17" s="1093"/>
      <c r="AD17" s="1093"/>
      <c r="AE17" s="1093"/>
      <c r="AF17" s="1093"/>
      <c r="AG17" s="1093"/>
      <c r="AH17" s="1093"/>
      <c r="AI17" s="1094"/>
      <c r="AJ17" s="1092"/>
      <c r="AK17" s="1093"/>
      <c r="AL17" s="1094"/>
    </row>
  </sheetData>
  <mergeCells count="40">
    <mergeCell ref="A1:AL1"/>
    <mergeCell ref="AM1:AM13"/>
    <mergeCell ref="A2:AL2"/>
    <mergeCell ref="A3:E3"/>
    <mergeCell ref="F3:G3"/>
    <mergeCell ref="H3:AL4"/>
    <mergeCell ref="A4:E4"/>
    <mergeCell ref="F4:G4"/>
    <mergeCell ref="A5:E5"/>
    <mergeCell ref="F5:G5"/>
    <mergeCell ref="H5:AL5"/>
    <mergeCell ref="A6:A8"/>
    <mergeCell ref="B6:G8"/>
    <mergeCell ref="H6:H8"/>
    <mergeCell ref="I6:I8"/>
    <mergeCell ref="J6:J8"/>
    <mergeCell ref="K6:AI6"/>
    <mergeCell ref="AJ6:AL8"/>
    <mergeCell ref="K7:W7"/>
    <mergeCell ref="X7:AI7"/>
    <mergeCell ref="K8:L8"/>
    <mergeCell ref="B9:G9"/>
    <mergeCell ref="K9:L9"/>
    <mergeCell ref="AJ9:AL9"/>
    <mergeCell ref="B10:G10"/>
    <mergeCell ref="K10:L10"/>
    <mergeCell ref="J14:J15"/>
    <mergeCell ref="K14:O15"/>
    <mergeCell ref="J16:J17"/>
    <mergeCell ref="K16:O17"/>
    <mergeCell ref="B11:G11"/>
    <mergeCell ref="K11:L11"/>
    <mergeCell ref="A12:AL12"/>
    <mergeCell ref="A13:D17"/>
    <mergeCell ref="E13:I13"/>
    <mergeCell ref="J13:O13"/>
    <mergeCell ref="P13:AI17"/>
    <mergeCell ref="AJ13:AL17"/>
    <mergeCell ref="E14:F17"/>
    <mergeCell ref="G14:I17"/>
  </mergeCells>
  <printOptions horizontalCentered="1" verticalCentered="1"/>
  <pageMargins left="0.25" right="0.25" top="0.75" bottom="0.75" header="0.3" footer="0.3"/>
  <pageSetup paperSize="9" scale="38"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7199-286B-413B-AB54-4DE52B87EB3D}">
  <dimension ref="A1:AO19"/>
  <sheetViews>
    <sheetView rightToLeft="1" zoomScale="85" zoomScaleNormal="85" zoomScaleSheetLayoutView="70" workbookViewId="0">
      <selection activeCell="AB11" sqref="AB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8.42578125" style="21" customWidth="1"/>
    <col min="6" max="6" width="14.7109375" style="21" customWidth="1"/>
    <col min="7" max="7" width="27.7109375" style="21" customWidth="1"/>
    <col min="8" max="8" width="21.140625" style="21" customWidth="1"/>
    <col min="9" max="9" width="12.5703125" style="21" customWidth="1"/>
    <col min="10" max="10" width="15.7109375" style="21" customWidth="1"/>
    <col min="11" max="11" width="6.7109375" style="21" customWidth="1"/>
    <col min="12" max="14" width="4.7109375" style="21" customWidth="1"/>
    <col min="15" max="15" width="6.140625" style="21" customWidth="1"/>
    <col min="16" max="35" width="4.7109375" style="21" customWidth="1"/>
    <col min="36" max="36" width="4.42578125" style="21" bestFit="1" customWidth="1"/>
    <col min="37" max="37" width="7.140625" style="21" customWidth="1"/>
    <col min="38" max="38" width="6.140625" style="21" customWidth="1"/>
    <col min="39" max="39" width="3.140625" style="2" customWidth="1"/>
    <col min="40" max="40" width="4.140625" style="2" customWidth="1"/>
    <col min="41" max="16384" width="9.140625" style="2"/>
  </cols>
  <sheetData>
    <row r="1" spans="1:41" ht="74.25" thickTop="1" thickBot="1">
      <c r="A1" s="552" t="s">
        <v>577</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3"/>
      <c r="AC1" s="553"/>
      <c r="AD1" s="553"/>
      <c r="AE1" s="553"/>
      <c r="AF1" s="553"/>
      <c r="AG1" s="553"/>
      <c r="AH1" s="553"/>
      <c r="AI1" s="553"/>
      <c r="AJ1" s="553"/>
      <c r="AK1" s="553"/>
      <c r="AL1" s="554"/>
      <c r="AM1" s="451"/>
    </row>
    <row r="2" spans="1:41"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555"/>
      <c r="AC2" s="555"/>
      <c r="AD2" s="555"/>
      <c r="AE2" s="555"/>
      <c r="AF2" s="555"/>
      <c r="AG2" s="555"/>
      <c r="AH2" s="555"/>
      <c r="AI2" s="555"/>
      <c r="AJ2" s="555"/>
      <c r="AK2" s="555"/>
      <c r="AL2" s="556"/>
      <c r="AM2" s="451"/>
    </row>
    <row r="3" spans="1:41" s="3" customFormat="1" ht="29.25" thickTop="1">
      <c r="A3" s="656" t="s">
        <v>589</v>
      </c>
      <c r="B3" s="657"/>
      <c r="C3" s="657"/>
      <c r="D3" s="657"/>
      <c r="E3" s="658"/>
      <c r="F3" s="659" t="s">
        <v>178</v>
      </c>
      <c r="G3" s="660"/>
      <c r="H3" s="661" t="s">
        <v>590</v>
      </c>
      <c r="I3" s="662"/>
      <c r="J3" s="662"/>
      <c r="K3" s="662"/>
      <c r="L3" s="662"/>
      <c r="M3" s="662"/>
      <c r="N3" s="662"/>
      <c r="O3" s="662"/>
      <c r="P3" s="662"/>
      <c r="Q3" s="662"/>
      <c r="R3" s="662"/>
      <c r="S3" s="662"/>
      <c r="T3" s="662"/>
      <c r="U3" s="662"/>
      <c r="V3" s="662"/>
      <c r="W3" s="662"/>
      <c r="X3" s="662"/>
      <c r="Y3" s="662"/>
      <c r="Z3" s="662"/>
      <c r="AA3" s="662"/>
      <c r="AB3" s="662"/>
      <c r="AC3" s="662"/>
      <c r="AD3" s="662"/>
      <c r="AE3" s="662"/>
      <c r="AF3" s="662"/>
      <c r="AG3" s="662"/>
      <c r="AH3" s="662"/>
      <c r="AI3" s="662"/>
      <c r="AJ3" s="662"/>
      <c r="AK3" s="662"/>
      <c r="AL3" s="663"/>
      <c r="AM3" s="451"/>
    </row>
    <row r="4" spans="1:41" s="3" customFormat="1" ht="28.5">
      <c r="A4" s="667" t="s">
        <v>558</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5"/>
      <c r="AA4" s="665"/>
      <c r="AB4" s="665"/>
      <c r="AC4" s="665"/>
      <c r="AD4" s="665"/>
      <c r="AE4" s="665"/>
      <c r="AF4" s="665"/>
      <c r="AG4" s="665"/>
      <c r="AH4" s="665"/>
      <c r="AI4" s="665"/>
      <c r="AJ4" s="665"/>
      <c r="AK4" s="665"/>
      <c r="AL4" s="666"/>
      <c r="AM4" s="451"/>
    </row>
    <row r="5" spans="1:41" s="3" customFormat="1" ht="29.25" thickBot="1">
      <c r="A5" s="672" t="s">
        <v>591</v>
      </c>
      <c r="B5" s="673"/>
      <c r="C5" s="673"/>
      <c r="D5" s="673"/>
      <c r="E5" s="674"/>
      <c r="F5" s="675" t="s">
        <v>581</v>
      </c>
      <c r="G5" s="675"/>
      <c r="H5" s="676" t="s">
        <v>592</v>
      </c>
      <c r="I5" s="677"/>
      <c r="J5" s="677"/>
      <c r="K5" s="677"/>
      <c r="L5" s="677"/>
      <c r="M5" s="677"/>
      <c r="N5" s="677"/>
      <c r="O5" s="677"/>
      <c r="P5" s="677"/>
      <c r="Q5" s="677"/>
      <c r="R5" s="677"/>
      <c r="S5" s="677"/>
      <c r="T5" s="677"/>
      <c r="U5" s="677"/>
      <c r="V5" s="677"/>
      <c r="W5" s="677"/>
      <c r="X5" s="677"/>
      <c r="Y5" s="677"/>
      <c r="Z5" s="677"/>
      <c r="AA5" s="677"/>
      <c r="AB5" s="677"/>
      <c r="AC5" s="677"/>
      <c r="AD5" s="677"/>
      <c r="AE5" s="677"/>
      <c r="AF5" s="677"/>
      <c r="AG5" s="677"/>
      <c r="AH5" s="677"/>
      <c r="AI5" s="677"/>
      <c r="AJ5" s="677"/>
      <c r="AK5" s="677"/>
      <c r="AL5" s="678"/>
      <c r="AM5" s="451"/>
    </row>
    <row r="6" spans="1:41" ht="28.5">
      <c r="A6" s="1041" t="s">
        <v>9</v>
      </c>
      <c r="B6" s="1043" t="s">
        <v>58</v>
      </c>
      <c r="C6" s="1044"/>
      <c r="D6" s="1044"/>
      <c r="E6" s="1044"/>
      <c r="F6" s="1044"/>
      <c r="G6" s="1045"/>
      <c r="H6" s="1049" t="s">
        <v>59</v>
      </c>
      <c r="I6" s="1049" t="s">
        <v>185</v>
      </c>
      <c r="J6" s="1049" t="s">
        <v>562</v>
      </c>
      <c r="K6" s="1053" t="s">
        <v>583</v>
      </c>
      <c r="L6" s="1053"/>
      <c r="M6" s="1053"/>
      <c r="N6" s="1053"/>
      <c r="O6" s="1053"/>
      <c r="P6" s="1053"/>
      <c r="Q6" s="1053"/>
      <c r="R6" s="1053"/>
      <c r="S6" s="1053"/>
      <c r="T6" s="1053"/>
      <c r="U6" s="1053"/>
      <c r="V6" s="1053"/>
      <c r="W6" s="1053"/>
      <c r="X6" s="1053"/>
      <c r="Y6" s="1053"/>
      <c r="Z6" s="1053"/>
      <c r="AA6" s="1053"/>
      <c r="AB6" s="1053"/>
      <c r="AC6" s="1053"/>
      <c r="AD6" s="1053"/>
      <c r="AE6" s="1053"/>
      <c r="AF6" s="1053"/>
      <c r="AG6" s="1053"/>
      <c r="AH6" s="1053"/>
      <c r="AI6" s="1053"/>
      <c r="AJ6" s="1043" t="s">
        <v>186</v>
      </c>
      <c r="AK6" s="1044"/>
      <c r="AL6" s="1054"/>
      <c r="AM6" s="451"/>
    </row>
    <row r="7" spans="1:41" ht="36" customHeight="1">
      <c r="A7" s="1042"/>
      <c r="B7" s="1046"/>
      <c r="C7" s="1047"/>
      <c r="D7" s="1047"/>
      <c r="E7" s="1047"/>
      <c r="F7" s="1047"/>
      <c r="G7" s="1048"/>
      <c r="H7" s="1050"/>
      <c r="I7" s="1050"/>
      <c r="J7" s="1050"/>
      <c r="K7" s="1056">
        <v>1404</v>
      </c>
      <c r="L7" s="1057"/>
      <c r="M7" s="1057"/>
      <c r="N7" s="1057"/>
      <c r="O7" s="1057"/>
      <c r="P7" s="1057"/>
      <c r="Q7" s="1057"/>
      <c r="R7" s="1057"/>
      <c r="S7" s="1057"/>
      <c r="T7" s="1057"/>
      <c r="U7" s="1057"/>
      <c r="V7" s="1057"/>
      <c r="W7" s="1057"/>
      <c r="X7" s="1057">
        <v>1405</v>
      </c>
      <c r="Y7" s="1057"/>
      <c r="Z7" s="1057"/>
      <c r="AA7" s="1057"/>
      <c r="AB7" s="1057"/>
      <c r="AC7" s="1057"/>
      <c r="AD7" s="1057"/>
      <c r="AE7" s="1057"/>
      <c r="AF7" s="1057"/>
      <c r="AG7" s="1057"/>
      <c r="AH7" s="1057"/>
      <c r="AI7" s="1058"/>
      <c r="AJ7" s="1046"/>
      <c r="AK7" s="1047"/>
      <c r="AL7" s="1055"/>
      <c r="AM7" s="451"/>
    </row>
    <row r="8" spans="1:41" ht="65.25" customHeight="1">
      <c r="A8" s="1042"/>
      <c r="B8" s="1046"/>
      <c r="C8" s="1047"/>
      <c r="D8" s="1047"/>
      <c r="E8" s="1047"/>
      <c r="F8" s="1047"/>
      <c r="G8" s="1048"/>
      <c r="H8" s="1051"/>
      <c r="I8" s="1050"/>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37" t="s">
        <v>16</v>
      </c>
      <c r="Y8" s="137" t="s">
        <v>188</v>
      </c>
      <c r="Z8" s="137" t="s">
        <v>18</v>
      </c>
      <c r="AA8" s="137" t="s">
        <v>189</v>
      </c>
      <c r="AB8" s="137" t="s">
        <v>20</v>
      </c>
      <c r="AC8" s="137" t="s">
        <v>190</v>
      </c>
      <c r="AD8" s="137" t="s">
        <v>22</v>
      </c>
      <c r="AE8" s="137" t="s">
        <v>23</v>
      </c>
      <c r="AF8" s="137" t="s">
        <v>24</v>
      </c>
      <c r="AG8" s="137" t="s">
        <v>25</v>
      </c>
      <c r="AH8" s="137" t="s">
        <v>26</v>
      </c>
      <c r="AI8" s="137" t="s">
        <v>27</v>
      </c>
      <c r="AJ8" s="1046"/>
      <c r="AK8" s="1047"/>
      <c r="AL8" s="1055"/>
      <c r="AM8" s="451"/>
    </row>
    <row r="9" spans="1:41" s="146" customFormat="1" ht="63" customHeight="1">
      <c r="A9" s="138" t="s">
        <v>28</v>
      </c>
      <c r="B9" s="1109" t="s">
        <v>593</v>
      </c>
      <c r="C9" s="1110"/>
      <c r="D9" s="1110"/>
      <c r="E9" s="1110"/>
      <c r="F9" s="1110"/>
      <c r="G9" s="1111"/>
      <c r="H9" s="139">
        <v>15</v>
      </c>
      <c r="I9" s="205"/>
      <c r="J9" s="205"/>
      <c r="K9" s="1061"/>
      <c r="L9" s="1062"/>
      <c r="M9" s="206"/>
      <c r="N9" s="206"/>
      <c r="O9" s="206"/>
      <c r="P9" s="206"/>
      <c r="Q9" s="142"/>
      <c r="R9" s="142"/>
      <c r="S9" s="142"/>
      <c r="T9" s="142"/>
      <c r="U9" s="141"/>
      <c r="V9" s="207"/>
      <c r="W9" s="207"/>
      <c r="X9" s="207"/>
      <c r="Y9" s="207"/>
      <c r="Z9" s="206"/>
      <c r="AA9" s="206"/>
      <c r="AB9" s="206"/>
      <c r="AC9" s="206"/>
      <c r="AD9" s="206"/>
      <c r="AE9" s="206"/>
      <c r="AF9" s="206"/>
      <c r="AG9" s="206"/>
      <c r="AH9" s="206"/>
      <c r="AI9" s="206"/>
      <c r="AJ9" s="1063"/>
      <c r="AK9" s="1064"/>
      <c r="AL9" s="1065"/>
      <c r="AM9" s="451"/>
      <c r="AO9" s="146">
        <f>(15/5)*2</f>
        <v>6</v>
      </c>
    </row>
    <row r="10" spans="1:41" s="146" customFormat="1" ht="63" customHeight="1">
      <c r="A10" s="138" t="s">
        <v>66</v>
      </c>
      <c r="B10" s="1117" t="s">
        <v>594</v>
      </c>
      <c r="C10" s="1118"/>
      <c r="D10" s="1118"/>
      <c r="E10" s="1118"/>
      <c r="F10" s="1118"/>
      <c r="G10" s="1119"/>
      <c r="H10" s="139">
        <v>25</v>
      </c>
      <c r="I10" s="205" t="s">
        <v>595</v>
      </c>
      <c r="J10" s="205"/>
      <c r="K10" s="1061"/>
      <c r="L10" s="1062"/>
      <c r="M10" s="206"/>
      <c r="N10" s="206"/>
      <c r="O10" s="206"/>
      <c r="P10" s="206"/>
      <c r="Q10" s="206"/>
      <c r="R10" s="206"/>
      <c r="S10" s="206"/>
      <c r="T10" s="142"/>
      <c r="U10" s="142"/>
      <c r="V10" s="142"/>
      <c r="W10" s="142"/>
      <c r="X10" s="142"/>
      <c r="Y10" s="142"/>
      <c r="Z10" s="141"/>
      <c r="AA10" s="141"/>
      <c r="AB10" s="206"/>
      <c r="AC10" s="206"/>
      <c r="AD10" s="206"/>
      <c r="AE10" s="206"/>
      <c r="AF10" s="206"/>
      <c r="AG10" s="206"/>
      <c r="AH10" s="206"/>
      <c r="AI10" s="206"/>
      <c r="AJ10" s="143"/>
      <c r="AK10" s="144"/>
      <c r="AL10" s="145"/>
      <c r="AM10" s="451"/>
      <c r="AO10" s="146">
        <v>25</v>
      </c>
    </row>
    <row r="11" spans="1:41" s="146" customFormat="1" ht="63" customHeight="1">
      <c r="A11" s="147">
        <v>3</v>
      </c>
      <c r="B11" s="1120" t="s">
        <v>596</v>
      </c>
      <c r="C11" s="1121"/>
      <c r="D11" s="1121"/>
      <c r="E11" s="1121"/>
      <c r="F11" s="1121"/>
      <c r="G11" s="1122"/>
      <c r="H11" s="139">
        <v>20</v>
      </c>
      <c r="I11" s="205"/>
      <c r="J11" s="205"/>
      <c r="K11" s="1061"/>
      <c r="L11" s="1062"/>
      <c r="M11" s="206"/>
      <c r="N11" s="206"/>
      <c r="O11" s="206"/>
      <c r="P11" s="206"/>
      <c r="Q11" s="206"/>
      <c r="R11" s="206"/>
      <c r="S11" s="206"/>
      <c r="T11" s="206"/>
      <c r="U11" s="206"/>
      <c r="V11" s="206"/>
      <c r="W11" s="206"/>
      <c r="X11" s="142"/>
      <c r="Y11" s="142"/>
      <c r="Z11" s="142"/>
      <c r="AA11" s="141"/>
      <c r="AB11" s="141"/>
      <c r="AC11" s="206"/>
      <c r="AD11" s="206"/>
      <c r="AE11" s="206"/>
      <c r="AF11" s="206"/>
      <c r="AG11" s="206"/>
      <c r="AH11" s="206"/>
      <c r="AI11" s="206"/>
      <c r="AJ11" s="143"/>
      <c r="AK11" s="144"/>
      <c r="AL11" s="145"/>
      <c r="AM11" s="451"/>
    </row>
    <row r="12" spans="1:41" s="146" customFormat="1" ht="63" customHeight="1">
      <c r="A12" s="138" t="s">
        <v>70</v>
      </c>
      <c r="B12" s="1123" t="s">
        <v>597</v>
      </c>
      <c r="C12" s="1123"/>
      <c r="D12" s="1123"/>
      <c r="E12" s="1123"/>
      <c r="F12" s="1123"/>
      <c r="G12" s="1123"/>
      <c r="H12" s="139">
        <v>25</v>
      </c>
      <c r="I12" s="205"/>
      <c r="J12" s="205"/>
      <c r="K12" s="1061"/>
      <c r="L12" s="1062"/>
      <c r="M12" s="206"/>
      <c r="N12" s="206"/>
      <c r="O12" s="206"/>
      <c r="P12" s="206"/>
      <c r="Q12" s="206"/>
      <c r="R12" s="206"/>
      <c r="S12" s="206"/>
      <c r="T12" s="206"/>
      <c r="U12" s="206"/>
      <c r="V12" s="206"/>
      <c r="W12" s="206"/>
      <c r="X12" s="206"/>
      <c r="Y12" s="206"/>
      <c r="Z12" s="142"/>
      <c r="AA12" s="142"/>
      <c r="AB12" s="142"/>
      <c r="AC12" s="141"/>
      <c r="AD12" s="141"/>
      <c r="AE12" s="206"/>
      <c r="AF12" s="206"/>
      <c r="AG12" s="206"/>
      <c r="AH12" s="206"/>
      <c r="AI12" s="206"/>
      <c r="AJ12" s="1069"/>
      <c r="AK12" s="1069"/>
      <c r="AL12" s="1069"/>
      <c r="AM12" s="451"/>
    </row>
    <row r="13" spans="1:41" s="146" customFormat="1" ht="63" customHeight="1" thickBot="1">
      <c r="A13" s="138" t="s">
        <v>153</v>
      </c>
      <c r="B13" s="1115" t="s">
        <v>598</v>
      </c>
      <c r="C13" s="1115"/>
      <c r="D13" s="1115"/>
      <c r="E13" s="1115"/>
      <c r="F13" s="1115"/>
      <c r="G13" s="1115"/>
      <c r="H13" s="139">
        <v>15</v>
      </c>
      <c r="I13" s="205"/>
      <c r="J13" s="205"/>
      <c r="K13" s="211"/>
      <c r="L13" s="212"/>
      <c r="M13" s="206"/>
      <c r="N13" s="206"/>
      <c r="O13" s="206"/>
      <c r="P13" s="206"/>
      <c r="Q13" s="206"/>
      <c r="R13" s="206"/>
      <c r="S13" s="206"/>
      <c r="T13" s="206"/>
      <c r="U13" s="206"/>
      <c r="V13" s="206"/>
      <c r="W13" s="206"/>
      <c r="X13" s="206"/>
      <c r="Y13" s="206"/>
      <c r="Z13" s="206"/>
      <c r="AA13" s="206"/>
      <c r="AB13" s="142"/>
      <c r="AC13" s="142"/>
      <c r="AD13" s="141"/>
      <c r="AE13" s="141"/>
      <c r="AF13" s="141"/>
      <c r="AG13" s="207"/>
      <c r="AH13" s="206"/>
      <c r="AI13" s="206"/>
      <c r="AJ13" s="1116"/>
      <c r="AK13" s="1116"/>
      <c r="AL13" s="1116"/>
      <c r="AM13" s="451"/>
    </row>
    <row r="14" spans="1:41"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4"/>
      <c r="Y14" s="1074"/>
      <c r="Z14" s="1074"/>
      <c r="AA14" s="1074"/>
      <c r="AB14" s="1074"/>
      <c r="AC14" s="1074"/>
      <c r="AD14" s="1074"/>
      <c r="AE14" s="1074"/>
      <c r="AF14" s="1074"/>
      <c r="AG14" s="1074"/>
      <c r="AH14" s="1074"/>
      <c r="AI14" s="1074"/>
      <c r="AJ14" s="1072"/>
      <c r="AK14" s="1072"/>
      <c r="AL14" s="1075"/>
      <c r="AM14" s="451"/>
    </row>
    <row r="15" spans="1:41"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7"/>
      <c r="X15" s="1087"/>
      <c r="Y15" s="1087"/>
      <c r="Z15" s="1087"/>
      <c r="AA15" s="1087"/>
      <c r="AB15" s="1087"/>
      <c r="AC15" s="1087"/>
      <c r="AD15" s="1087"/>
      <c r="AE15" s="1087"/>
      <c r="AF15" s="1087"/>
      <c r="AG15" s="1087"/>
      <c r="AH15" s="1087"/>
      <c r="AI15" s="1088"/>
      <c r="AJ15" s="1086" t="s">
        <v>76</v>
      </c>
      <c r="AK15" s="1087"/>
      <c r="AL15" s="1088"/>
      <c r="AM15" s="451"/>
    </row>
    <row r="16" spans="1:41" s="20" customFormat="1" ht="29.25" thickTop="1">
      <c r="A16" s="1079"/>
      <c r="B16" s="1047"/>
      <c r="C16" s="1047"/>
      <c r="D16" s="1055"/>
      <c r="E16" s="1095"/>
      <c r="F16" s="1096"/>
      <c r="G16" s="1095"/>
      <c r="H16" s="1101"/>
      <c r="I16" s="1096"/>
      <c r="J16" s="1104" t="s">
        <v>197</v>
      </c>
      <c r="K16" s="1106" t="s">
        <v>588</v>
      </c>
      <c r="L16" s="1101"/>
      <c r="M16" s="1101"/>
      <c r="N16" s="1101"/>
      <c r="O16" s="1096"/>
      <c r="P16" s="1089"/>
      <c r="Q16" s="1090"/>
      <c r="R16" s="1090"/>
      <c r="S16" s="1090"/>
      <c r="T16" s="1090"/>
      <c r="U16" s="1090"/>
      <c r="V16" s="1090"/>
      <c r="W16" s="1090"/>
      <c r="X16" s="1090"/>
      <c r="Y16" s="1090"/>
      <c r="Z16" s="1090"/>
      <c r="AA16" s="1090"/>
      <c r="AB16" s="1090"/>
      <c r="AC16" s="1090"/>
      <c r="AD16" s="1090"/>
      <c r="AE16" s="1090"/>
      <c r="AF16" s="1090"/>
      <c r="AG16" s="1090"/>
      <c r="AH16" s="1090"/>
      <c r="AI16" s="1091"/>
      <c r="AJ16" s="1089"/>
      <c r="AK16" s="1090"/>
      <c r="AL16" s="1091"/>
    </row>
    <row r="17" spans="1:38"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0"/>
      <c r="X17" s="1090"/>
      <c r="Y17" s="1090"/>
      <c r="Z17" s="1090"/>
      <c r="AA17" s="1090"/>
      <c r="AB17" s="1090"/>
      <c r="AC17" s="1090"/>
      <c r="AD17" s="1090"/>
      <c r="AE17" s="1090"/>
      <c r="AF17" s="1090"/>
      <c r="AG17" s="1090"/>
      <c r="AH17" s="1090"/>
      <c r="AI17" s="1091"/>
      <c r="AJ17" s="1089"/>
      <c r="AK17" s="1090"/>
      <c r="AL17" s="1091"/>
    </row>
    <row r="18" spans="1:38"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0"/>
      <c r="X18" s="1090"/>
      <c r="Y18" s="1090"/>
      <c r="Z18" s="1090"/>
      <c r="AA18" s="1090"/>
      <c r="AB18" s="1090"/>
      <c r="AC18" s="1090"/>
      <c r="AD18" s="1090"/>
      <c r="AE18" s="1090"/>
      <c r="AF18" s="1090"/>
      <c r="AG18" s="1090"/>
      <c r="AH18" s="1090"/>
      <c r="AI18" s="1091"/>
      <c r="AJ18" s="1089"/>
      <c r="AK18" s="1090"/>
      <c r="AL18" s="1091"/>
    </row>
    <row r="19" spans="1:38"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3"/>
      <c r="X19" s="1093"/>
      <c r="Y19" s="1093"/>
      <c r="Z19" s="1093"/>
      <c r="AA19" s="1093"/>
      <c r="AB19" s="1093"/>
      <c r="AC19" s="1093"/>
      <c r="AD19" s="1093"/>
      <c r="AE19" s="1093"/>
      <c r="AF19" s="1093"/>
      <c r="AG19" s="1093"/>
      <c r="AH19" s="1093"/>
      <c r="AI19" s="1094"/>
      <c r="AJ19" s="1092"/>
      <c r="AK19" s="1093"/>
      <c r="AL19" s="1094"/>
    </row>
  </sheetData>
  <mergeCells count="45">
    <mergeCell ref="A1:AL1"/>
    <mergeCell ref="AM1:AM15"/>
    <mergeCell ref="A2:AL2"/>
    <mergeCell ref="A3:E3"/>
    <mergeCell ref="F3:G3"/>
    <mergeCell ref="H3:AL4"/>
    <mergeCell ref="A4:E4"/>
    <mergeCell ref="F4:G4"/>
    <mergeCell ref="A5:E5"/>
    <mergeCell ref="F5:G5"/>
    <mergeCell ref="H5:AL5"/>
    <mergeCell ref="A6:A8"/>
    <mergeCell ref="B6:G8"/>
    <mergeCell ref="H6:H8"/>
    <mergeCell ref="I6:I8"/>
    <mergeCell ref="J6:J8"/>
    <mergeCell ref="K6:AI6"/>
    <mergeCell ref="AJ6:AL8"/>
    <mergeCell ref="K7:W7"/>
    <mergeCell ref="X7:AI7"/>
    <mergeCell ref="B13:G13"/>
    <mergeCell ref="AJ13:AL13"/>
    <mergeCell ref="K8:L8"/>
    <mergeCell ref="B9:G9"/>
    <mergeCell ref="K9:L9"/>
    <mergeCell ref="AJ9:AL9"/>
    <mergeCell ref="B10:G10"/>
    <mergeCell ref="K10:L10"/>
    <mergeCell ref="B11:G11"/>
    <mergeCell ref="K11:L11"/>
    <mergeCell ref="B12:G12"/>
    <mergeCell ref="K12:L12"/>
    <mergeCell ref="AJ12:AL12"/>
    <mergeCell ref="J18:J19"/>
    <mergeCell ref="K18:O19"/>
    <mergeCell ref="A14:AL14"/>
    <mergeCell ref="A15:D19"/>
    <mergeCell ref="E15:I15"/>
    <mergeCell ref="J15:O15"/>
    <mergeCell ref="P15:AI19"/>
    <mergeCell ref="AJ15:AL19"/>
    <mergeCell ref="E16:F19"/>
    <mergeCell ref="G16:I19"/>
    <mergeCell ref="J16:J17"/>
    <mergeCell ref="K16:O17"/>
  </mergeCells>
  <printOptions horizontalCentered="1" verticalCentered="1"/>
  <pageMargins left="0.25" right="0.25" top="0.75" bottom="0.75" header="0.3" footer="0.3"/>
  <pageSetup paperSize="9" scale="38" orientation="landscape"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A86E-DFCC-4D79-B05B-F7B4C4A15871}">
  <dimension ref="A1:AO18"/>
  <sheetViews>
    <sheetView rightToLeft="1" zoomScale="85" zoomScaleNormal="85" zoomScaleSheetLayoutView="70" workbookViewId="0">
      <selection activeCell="AO12" sqref="AO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8.42578125" style="21" customWidth="1"/>
    <col min="6" max="6" width="14.7109375" style="21" customWidth="1"/>
    <col min="7" max="7" width="27.7109375" style="21" customWidth="1"/>
    <col min="8" max="8" width="21.140625" style="21" customWidth="1"/>
    <col min="9" max="9" width="12.5703125" style="21" customWidth="1"/>
    <col min="10" max="10" width="15.7109375" style="21" customWidth="1"/>
    <col min="11" max="11" width="6.7109375" style="21" customWidth="1"/>
    <col min="12" max="14" width="4.7109375" style="21" customWidth="1"/>
    <col min="15" max="15" width="6.140625" style="21" customWidth="1"/>
    <col min="16" max="35" width="4.7109375" style="21" customWidth="1"/>
    <col min="36" max="36" width="4.42578125" style="21" bestFit="1" customWidth="1"/>
    <col min="37" max="37" width="7.140625" style="21" customWidth="1"/>
    <col min="38" max="38" width="6.140625" style="21" customWidth="1"/>
    <col min="39" max="39" width="3.140625" style="2" customWidth="1"/>
    <col min="40" max="40" width="4.140625" style="2" customWidth="1"/>
    <col min="41" max="16384" width="9.140625" style="2"/>
  </cols>
  <sheetData>
    <row r="1" spans="1:41" ht="74.25" thickTop="1" thickBot="1">
      <c r="A1" s="552" t="s">
        <v>577</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3"/>
      <c r="AC1" s="553"/>
      <c r="AD1" s="553"/>
      <c r="AE1" s="553"/>
      <c r="AF1" s="553"/>
      <c r="AG1" s="553"/>
      <c r="AH1" s="553"/>
      <c r="AI1" s="553"/>
      <c r="AJ1" s="553"/>
      <c r="AK1" s="553"/>
      <c r="AL1" s="554"/>
      <c r="AM1" s="451"/>
    </row>
    <row r="2" spans="1:41"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555"/>
      <c r="AC2" s="555"/>
      <c r="AD2" s="555"/>
      <c r="AE2" s="555"/>
      <c r="AF2" s="555"/>
      <c r="AG2" s="555"/>
      <c r="AH2" s="555"/>
      <c r="AI2" s="555"/>
      <c r="AJ2" s="555"/>
      <c r="AK2" s="555"/>
      <c r="AL2" s="556"/>
      <c r="AM2" s="451"/>
    </row>
    <row r="3" spans="1:41" s="3" customFormat="1" ht="29.25" customHeight="1" thickTop="1">
      <c r="A3" s="656" t="s">
        <v>578</v>
      </c>
      <c r="B3" s="657"/>
      <c r="C3" s="657"/>
      <c r="D3" s="657"/>
      <c r="E3" s="658"/>
      <c r="F3" s="659" t="s">
        <v>178</v>
      </c>
      <c r="G3" s="660"/>
      <c r="H3" s="661" t="s">
        <v>579</v>
      </c>
      <c r="I3" s="662"/>
      <c r="J3" s="662"/>
      <c r="K3" s="662"/>
      <c r="L3" s="662"/>
      <c r="M3" s="662"/>
      <c r="N3" s="662"/>
      <c r="O3" s="662"/>
      <c r="P3" s="662"/>
      <c r="Q3" s="662"/>
      <c r="R3" s="662"/>
      <c r="S3" s="662"/>
      <c r="T3" s="662"/>
      <c r="U3" s="662"/>
      <c r="V3" s="662"/>
      <c r="W3" s="662"/>
      <c r="X3" s="662"/>
      <c r="Y3" s="662"/>
      <c r="Z3" s="662"/>
      <c r="AA3" s="662"/>
      <c r="AB3" s="662"/>
      <c r="AC3" s="662"/>
      <c r="AD3" s="662"/>
      <c r="AE3" s="662"/>
      <c r="AF3" s="662"/>
      <c r="AG3" s="662"/>
      <c r="AH3" s="662"/>
      <c r="AI3" s="662"/>
      <c r="AJ3" s="662"/>
      <c r="AK3" s="662"/>
      <c r="AL3" s="663"/>
      <c r="AM3" s="451"/>
    </row>
    <row r="4" spans="1:41" s="3" customFormat="1" ht="28.5">
      <c r="A4" s="667" t="s">
        <v>558</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5"/>
      <c r="AA4" s="665"/>
      <c r="AB4" s="665"/>
      <c r="AC4" s="665"/>
      <c r="AD4" s="665"/>
      <c r="AE4" s="665"/>
      <c r="AF4" s="665"/>
      <c r="AG4" s="665"/>
      <c r="AH4" s="665"/>
      <c r="AI4" s="665"/>
      <c r="AJ4" s="665"/>
      <c r="AK4" s="665"/>
      <c r="AL4" s="666"/>
      <c r="AM4" s="451"/>
    </row>
    <row r="5" spans="1:41" s="3" customFormat="1" ht="29.25" thickBot="1">
      <c r="A5" s="672" t="s">
        <v>580</v>
      </c>
      <c r="B5" s="673"/>
      <c r="C5" s="673"/>
      <c r="D5" s="673"/>
      <c r="E5" s="674"/>
      <c r="F5" s="675" t="s">
        <v>581</v>
      </c>
      <c r="G5" s="675"/>
      <c r="H5" s="676" t="s">
        <v>582</v>
      </c>
      <c r="I5" s="677"/>
      <c r="J5" s="677"/>
      <c r="K5" s="677"/>
      <c r="L5" s="677"/>
      <c r="M5" s="677"/>
      <c r="N5" s="677"/>
      <c r="O5" s="677"/>
      <c r="P5" s="677"/>
      <c r="Q5" s="677"/>
      <c r="R5" s="677"/>
      <c r="S5" s="677"/>
      <c r="T5" s="677"/>
      <c r="U5" s="677"/>
      <c r="V5" s="677"/>
      <c r="W5" s="677"/>
      <c r="X5" s="677"/>
      <c r="Y5" s="677"/>
      <c r="Z5" s="677"/>
      <c r="AA5" s="677"/>
      <c r="AB5" s="677"/>
      <c r="AC5" s="677"/>
      <c r="AD5" s="677"/>
      <c r="AE5" s="677"/>
      <c r="AF5" s="677"/>
      <c r="AG5" s="677"/>
      <c r="AH5" s="677"/>
      <c r="AI5" s="677"/>
      <c r="AJ5" s="677"/>
      <c r="AK5" s="677"/>
      <c r="AL5" s="678"/>
      <c r="AM5" s="451"/>
    </row>
    <row r="6" spans="1:41" ht="28.5">
      <c r="A6" s="1041" t="s">
        <v>9</v>
      </c>
      <c r="B6" s="1043" t="s">
        <v>58</v>
      </c>
      <c r="C6" s="1044"/>
      <c r="D6" s="1044"/>
      <c r="E6" s="1044"/>
      <c r="F6" s="1044"/>
      <c r="G6" s="1045"/>
      <c r="H6" s="1049" t="s">
        <v>59</v>
      </c>
      <c r="I6" s="1049" t="s">
        <v>185</v>
      </c>
      <c r="J6" s="1049" t="s">
        <v>562</v>
      </c>
      <c r="K6" s="1053" t="s">
        <v>583</v>
      </c>
      <c r="L6" s="1053"/>
      <c r="M6" s="1053"/>
      <c r="N6" s="1053"/>
      <c r="O6" s="1053"/>
      <c r="P6" s="1053"/>
      <c r="Q6" s="1053"/>
      <c r="R6" s="1053"/>
      <c r="S6" s="1053"/>
      <c r="T6" s="1053"/>
      <c r="U6" s="1053"/>
      <c r="V6" s="1053"/>
      <c r="W6" s="1053"/>
      <c r="X6" s="1053"/>
      <c r="Y6" s="1053"/>
      <c r="Z6" s="1053"/>
      <c r="AA6" s="1053"/>
      <c r="AB6" s="1053"/>
      <c r="AC6" s="1053"/>
      <c r="AD6" s="1053"/>
      <c r="AE6" s="1053"/>
      <c r="AF6" s="1053"/>
      <c r="AG6" s="1053"/>
      <c r="AH6" s="1053"/>
      <c r="AI6" s="1053"/>
      <c r="AJ6" s="1043" t="s">
        <v>186</v>
      </c>
      <c r="AK6" s="1044"/>
      <c r="AL6" s="1054"/>
      <c r="AM6" s="451"/>
    </row>
    <row r="7" spans="1:41" ht="36" customHeight="1">
      <c r="A7" s="1042"/>
      <c r="B7" s="1046"/>
      <c r="C7" s="1047"/>
      <c r="D7" s="1047"/>
      <c r="E7" s="1047"/>
      <c r="F7" s="1047"/>
      <c r="G7" s="1048"/>
      <c r="H7" s="1050"/>
      <c r="I7" s="1050"/>
      <c r="J7" s="1050"/>
      <c r="K7" s="1056">
        <v>1404</v>
      </c>
      <c r="L7" s="1057"/>
      <c r="M7" s="1057"/>
      <c r="N7" s="1057"/>
      <c r="O7" s="1057"/>
      <c r="P7" s="1057"/>
      <c r="Q7" s="1057"/>
      <c r="R7" s="1057"/>
      <c r="S7" s="1057"/>
      <c r="T7" s="1057"/>
      <c r="U7" s="1057"/>
      <c r="V7" s="1057"/>
      <c r="W7" s="1057"/>
      <c r="X7" s="1057">
        <v>1405</v>
      </c>
      <c r="Y7" s="1057"/>
      <c r="Z7" s="1057"/>
      <c r="AA7" s="1057"/>
      <c r="AB7" s="1057"/>
      <c r="AC7" s="1057"/>
      <c r="AD7" s="1057"/>
      <c r="AE7" s="1057"/>
      <c r="AF7" s="1057"/>
      <c r="AG7" s="1057"/>
      <c r="AH7" s="1057"/>
      <c r="AI7" s="1058"/>
      <c r="AJ7" s="1046"/>
      <c r="AK7" s="1047"/>
      <c r="AL7" s="1055"/>
      <c r="AM7" s="451"/>
    </row>
    <row r="8" spans="1:41" ht="65.25" customHeight="1">
      <c r="A8" s="1042"/>
      <c r="B8" s="1046"/>
      <c r="C8" s="1047"/>
      <c r="D8" s="1047"/>
      <c r="E8" s="1047"/>
      <c r="F8" s="1047"/>
      <c r="G8" s="1048"/>
      <c r="H8" s="1051"/>
      <c r="I8" s="1050"/>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37" t="s">
        <v>16</v>
      </c>
      <c r="Y8" s="137" t="s">
        <v>188</v>
      </c>
      <c r="Z8" s="137" t="s">
        <v>18</v>
      </c>
      <c r="AA8" s="137" t="s">
        <v>189</v>
      </c>
      <c r="AB8" s="137" t="s">
        <v>20</v>
      </c>
      <c r="AC8" s="137" t="s">
        <v>190</v>
      </c>
      <c r="AD8" s="137" t="s">
        <v>22</v>
      </c>
      <c r="AE8" s="137" t="s">
        <v>23</v>
      </c>
      <c r="AF8" s="137" t="s">
        <v>24</v>
      </c>
      <c r="AG8" s="137" t="s">
        <v>25</v>
      </c>
      <c r="AH8" s="137" t="s">
        <v>26</v>
      </c>
      <c r="AI8" s="137" t="s">
        <v>27</v>
      </c>
      <c r="AJ8" s="1046"/>
      <c r="AK8" s="1047"/>
      <c r="AL8" s="1055"/>
      <c r="AM8" s="451"/>
    </row>
    <row r="9" spans="1:41" s="146" customFormat="1" ht="63" customHeight="1">
      <c r="A9" s="138" t="s">
        <v>28</v>
      </c>
      <c r="B9" s="1036" t="s">
        <v>584</v>
      </c>
      <c r="C9" s="1037"/>
      <c r="D9" s="1037"/>
      <c r="E9" s="1037"/>
      <c r="F9" s="1037"/>
      <c r="G9" s="1038"/>
      <c r="H9" s="139">
        <v>25</v>
      </c>
      <c r="I9" s="205"/>
      <c r="J9" s="205"/>
      <c r="K9" s="1061"/>
      <c r="L9" s="1062"/>
      <c r="M9" s="206"/>
      <c r="N9" s="206"/>
      <c r="O9" s="206"/>
      <c r="P9" s="206"/>
      <c r="Q9" s="142"/>
      <c r="R9" s="141"/>
      <c r="S9" s="141"/>
      <c r="T9" s="141"/>
      <c r="U9" s="141"/>
      <c r="V9" s="207"/>
      <c r="W9" s="207"/>
      <c r="X9" s="206"/>
      <c r="Y9" s="206"/>
      <c r="Z9" s="206"/>
      <c r="AA9" s="206"/>
      <c r="AB9" s="206"/>
      <c r="AC9" s="206"/>
      <c r="AD9" s="206"/>
      <c r="AE9" s="206"/>
      <c r="AF9" s="206"/>
      <c r="AG9" s="206"/>
      <c r="AH9" s="206"/>
      <c r="AI9" s="206"/>
      <c r="AJ9" s="1063"/>
      <c r="AK9" s="1064"/>
      <c r="AL9" s="1065"/>
      <c r="AM9" s="451"/>
    </row>
    <row r="10" spans="1:41" s="146" customFormat="1" ht="63" customHeight="1">
      <c r="A10" s="138" t="s">
        <v>66</v>
      </c>
      <c r="B10" s="1066" t="s">
        <v>585</v>
      </c>
      <c r="C10" s="1067"/>
      <c r="D10" s="1067"/>
      <c r="E10" s="1067"/>
      <c r="F10" s="1067"/>
      <c r="G10" s="1068"/>
      <c r="H10" s="139">
        <v>35</v>
      </c>
      <c r="I10" s="205"/>
      <c r="J10" s="205"/>
      <c r="K10" s="1061"/>
      <c r="L10" s="1062"/>
      <c r="M10" s="206"/>
      <c r="N10" s="206"/>
      <c r="O10" s="206"/>
      <c r="P10" s="206"/>
      <c r="Q10" s="206"/>
      <c r="R10" s="206"/>
      <c r="S10" s="206"/>
      <c r="T10" s="141"/>
      <c r="U10" s="141"/>
      <c r="V10" s="141"/>
      <c r="W10" s="141"/>
      <c r="X10" s="141"/>
      <c r="Y10" s="141"/>
      <c r="Z10" s="141"/>
      <c r="AA10" s="141"/>
      <c r="AB10" s="206"/>
      <c r="AC10" s="206"/>
      <c r="AD10" s="206"/>
      <c r="AE10" s="206"/>
      <c r="AF10" s="206"/>
      <c r="AG10" s="206"/>
      <c r="AH10" s="206"/>
      <c r="AI10" s="206"/>
      <c r="AJ10" s="143"/>
      <c r="AK10" s="144"/>
      <c r="AL10" s="145"/>
      <c r="AM10" s="451"/>
      <c r="AO10" s="146">
        <f>(35/8)*3</f>
        <v>13.125</v>
      </c>
    </row>
    <row r="11" spans="1:41" s="146" customFormat="1" ht="63" customHeight="1">
      <c r="A11" s="147">
        <v>3</v>
      </c>
      <c r="B11" s="1036" t="s">
        <v>586</v>
      </c>
      <c r="C11" s="1037"/>
      <c r="D11" s="1037"/>
      <c r="E11" s="1037"/>
      <c r="F11" s="1037"/>
      <c r="G11" s="1038"/>
      <c r="H11" s="139">
        <v>20</v>
      </c>
      <c r="I11" s="205"/>
      <c r="J11" s="205"/>
      <c r="K11" s="1061"/>
      <c r="L11" s="1062"/>
      <c r="M11" s="206"/>
      <c r="N11" s="206"/>
      <c r="O11" s="206"/>
      <c r="P11" s="206"/>
      <c r="Q11" s="206"/>
      <c r="R11" s="206"/>
      <c r="S11" s="206"/>
      <c r="T11" s="206"/>
      <c r="U11" s="206"/>
      <c r="V11" s="206"/>
      <c r="W11" s="206"/>
      <c r="X11" s="142"/>
      <c r="Y11" s="141"/>
      <c r="Z11" s="141"/>
      <c r="AA11" s="141"/>
      <c r="AB11" s="141"/>
      <c r="AC11" s="206"/>
      <c r="AD11" s="206"/>
      <c r="AE11" s="206"/>
      <c r="AF11" s="206"/>
      <c r="AG11" s="206"/>
      <c r="AH11" s="206"/>
      <c r="AI11" s="206"/>
      <c r="AJ11" s="143"/>
      <c r="AK11" s="144"/>
      <c r="AL11" s="145"/>
      <c r="AM11" s="451"/>
      <c r="AO11" s="146">
        <v>10</v>
      </c>
    </row>
    <row r="12" spans="1:41" s="146" customFormat="1" ht="63" customHeight="1" thickBot="1">
      <c r="A12" s="138" t="s">
        <v>70</v>
      </c>
      <c r="B12" s="1066" t="s">
        <v>587</v>
      </c>
      <c r="C12" s="1067"/>
      <c r="D12" s="1067"/>
      <c r="E12" s="1067"/>
      <c r="F12" s="1067"/>
      <c r="G12" s="1068"/>
      <c r="H12" s="139">
        <v>20</v>
      </c>
      <c r="I12" s="205"/>
      <c r="J12" s="205"/>
      <c r="K12" s="1061"/>
      <c r="L12" s="1062"/>
      <c r="M12" s="206"/>
      <c r="N12" s="206"/>
      <c r="O12" s="206"/>
      <c r="P12" s="206"/>
      <c r="Q12" s="206"/>
      <c r="R12" s="206"/>
      <c r="S12" s="206"/>
      <c r="T12" s="206"/>
      <c r="U12" s="206"/>
      <c r="V12" s="206"/>
      <c r="W12" s="206"/>
      <c r="X12" s="206"/>
      <c r="Y12" s="206"/>
      <c r="Z12" s="141"/>
      <c r="AA12" s="141"/>
      <c r="AB12" s="141"/>
      <c r="AC12" s="141"/>
      <c r="AD12" s="206"/>
      <c r="AE12" s="206"/>
      <c r="AF12" s="206"/>
      <c r="AG12" s="206"/>
      <c r="AH12" s="206"/>
      <c r="AI12" s="206"/>
      <c r="AJ12" s="1069"/>
      <c r="AK12" s="1069"/>
      <c r="AL12" s="1069"/>
      <c r="AM12" s="451"/>
    </row>
    <row r="13" spans="1:41" ht="19.5" thickTop="1" thickBot="1">
      <c r="A13" s="1070"/>
      <c r="B13" s="1071"/>
      <c r="C13" s="1071"/>
      <c r="D13" s="1071"/>
      <c r="E13" s="1072"/>
      <c r="F13" s="1072"/>
      <c r="G13" s="1071"/>
      <c r="H13" s="1073"/>
      <c r="I13" s="1073"/>
      <c r="J13" s="1073"/>
      <c r="K13" s="1074"/>
      <c r="L13" s="1074"/>
      <c r="M13" s="1074"/>
      <c r="N13" s="1074"/>
      <c r="O13" s="1074"/>
      <c r="P13" s="1074"/>
      <c r="Q13" s="1074"/>
      <c r="R13" s="1074"/>
      <c r="S13" s="1074"/>
      <c r="T13" s="1074"/>
      <c r="U13" s="1074"/>
      <c r="V13" s="1074"/>
      <c r="W13" s="1074"/>
      <c r="X13" s="1074"/>
      <c r="Y13" s="1074"/>
      <c r="Z13" s="1074"/>
      <c r="AA13" s="1074"/>
      <c r="AB13" s="1074"/>
      <c r="AC13" s="1074"/>
      <c r="AD13" s="1074"/>
      <c r="AE13" s="1074"/>
      <c r="AF13" s="1074"/>
      <c r="AG13" s="1074"/>
      <c r="AH13" s="1074"/>
      <c r="AI13" s="1074"/>
      <c r="AJ13" s="1072"/>
      <c r="AK13" s="1072"/>
      <c r="AL13" s="1075"/>
      <c r="AM13" s="451"/>
    </row>
    <row r="14" spans="1:41" ht="30" thickTop="1" thickBot="1">
      <c r="A14" s="1076" t="s">
        <v>72</v>
      </c>
      <c r="B14" s="1077"/>
      <c r="C14" s="1077"/>
      <c r="D14" s="1078"/>
      <c r="E14" s="1083" t="s">
        <v>73</v>
      </c>
      <c r="F14" s="1084"/>
      <c r="G14" s="1084"/>
      <c r="H14" s="1084"/>
      <c r="I14" s="1084"/>
      <c r="J14" s="1083" t="s">
        <v>74</v>
      </c>
      <c r="K14" s="1084"/>
      <c r="L14" s="1084"/>
      <c r="M14" s="1084"/>
      <c r="N14" s="1084"/>
      <c r="O14" s="1085"/>
      <c r="P14" s="1086" t="s">
        <v>75</v>
      </c>
      <c r="Q14" s="1087"/>
      <c r="R14" s="1087"/>
      <c r="S14" s="1087"/>
      <c r="T14" s="1087"/>
      <c r="U14" s="1087"/>
      <c r="V14" s="1087"/>
      <c r="W14" s="1087"/>
      <c r="X14" s="1087"/>
      <c r="Y14" s="1087"/>
      <c r="Z14" s="1087"/>
      <c r="AA14" s="1087"/>
      <c r="AB14" s="1087"/>
      <c r="AC14" s="1087"/>
      <c r="AD14" s="1087"/>
      <c r="AE14" s="1087"/>
      <c r="AF14" s="1087"/>
      <c r="AG14" s="1087"/>
      <c r="AH14" s="1087"/>
      <c r="AI14" s="1088"/>
      <c r="AJ14" s="1086" t="s">
        <v>76</v>
      </c>
      <c r="AK14" s="1087"/>
      <c r="AL14" s="1088"/>
      <c r="AM14" s="451"/>
    </row>
    <row r="15" spans="1:41" s="20" customFormat="1" ht="29.25" thickTop="1">
      <c r="A15" s="1079"/>
      <c r="B15" s="1047"/>
      <c r="C15" s="1047"/>
      <c r="D15" s="1055"/>
      <c r="E15" s="1095"/>
      <c r="F15" s="1096"/>
      <c r="G15" s="1095"/>
      <c r="H15" s="1101"/>
      <c r="I15" s="1096"/>
      <c r="J15" s="1104" t="s">
        <v>197</v>
      </c>
      <c r="K15" s="1106" t="s">
        <v>588</v>
      </c>
      <c r="L15" s="1101"/>
      <c r="M15" s="1101"/>
      <c r="N15" s="1101"/>
      <c r="O15" s="1096"/>
      <c r="P15" s="1089"/>
      <c r="Q15" s="1090"/>
      <c r="R15" s="1090"/>
      <c r="S15" s="1090"/>
      <c r="T15" s="1090"/>
      <c r="U15" s="1090"/>
      <c r="V15" s="1090"/>
      <c r="W15" s="1090"/>
      <c r="X15" s="1090"/>
      <c r="Y15" s="1090"/>
      <c r="Z15" s="1090"/>
      <c r="AA15" s="1090"/>
      <c r="AB15" s="1090"/>
      <c r="AC15" s="1090"/>
      <c r="AD15" s="1090"/>
      <c r="AE15" s="1090"/>
      <c r="AF15" s="1090"/>
      <c r="AG15" s="1090"/>
      <c r="AH15" s="1090"/>
      <c r="AI15" s="1091"/>
      <c r="AJ15" s="1089"/>
      <c r="AK15" s="1090"/>
      <c r="AL15" s="1091"/>
    </row>
    <row r="16" spans="1:41" s="20" customFormat="1" ht="29.25" thickBot="1">
      <c r="A16" s="1079"/>
      <c r="B16" s="1047"/>
      <c r="C16" s="1047"/>
      <c r="D16" s="1055"/>
      <c r="E16" s="1097"/>
      <c r="F16" s="1098"/>
      <c r="G16" s="1097"/>
      <c r="H16" s="1102"/>
      <c r="I16" s="1098"/>
      <c r="J16" s="1105"/>
      <c r="K16" s="1099"/>
      <c r="L16" s="1103"/>
      <c r="M16" s="1103"/>
      <c r="N16" s="1103"/>
      <c r="O16" s="1100"/>
      <c r="P16" s="1089"/>
      <c r="Q16" s="1090"/>
      <c r="R16" s="1090"/>
      <c r="S16" s="1090"/>
      <c r="T16" s="1090"/>
      <c r="U16" s="1090"/>
      <c r="V16" s="1090"/>
      <c r="W16" s="1090"/>
      <c r="X16" s="1090"/>
      <c r="Y16" s="1090"/>
      <c r="Z16" s="1090"/>
      <c r="AA16" s="1090"/>
      <c r="AB16" s="1090"/>
      <c r="AC16" s="1090"/>
      <c r="AD16" s="1090"/>
      <c r="AE16" s="1090"/>
      <c r="AF16" s="1090"/>
      <c r="AG16" s="1090"/>
      <c r="AH16" s="1090"/>
      <c r="AI16" s="1091"/>
      <c r="AJ16" s="1089"/>
      <c r="AK16" s="1090"/>
      <c r="AL16" s="1091"/>
    </row>
    <row r="17" spans="1:38" s="20" customFormat="1" ht="29.25" thickTop="1">
      <c r="A17" s="1079"/>
      <c r="B17" s="1047"/>
      <c r="C17" s="1047"/>
      <c r="D17" s="1055"/>
      <c r="E17" s="1097"/>
      <c r="F17" s="1098"/>
      <c r="G17" s="1097"/>
      <c r="H17" s="1102"/>
      <c r="I17" s="1098"/>
      <c r="J17" s="1107" t="s">
        <v>198</v>
      </c>
      <c r="K17" s="1095"/>
      <c r="L17" s="1101"/>
      <c r="M17" s="1101"/>
      <c r="N17" s="1101"/>
      <c r="O17" s="1096"/>
      <c r="P17" s="1089"/>
      <c r="Q17" s="1090"/>
      <c r="R17" s="1090"/>
      <c r="S17" s="1090"/>
      <c r="T17" s="1090"/>
      <c r="U17" s="1090"/>
      <c r="V17" s="1090"/>
      <c r="W17" s="1090"/>
      <c r="X17" s="1090"/>
      <c r="Y17" s="1090"/>
      <c r="Z17" s="1090"/>
      <c r="AA17" s="1090"/>
      <c r="AB17" s="1090"/>
      <c r="AC17" s="1090"/>
      <c r="AD17" s="1090"/>
      <c r="AE17" s="1090"/>
      <c r="AF17" s="1090"/>
      <c r="AG17" s="1090"/>
      <c r="AH17" s="1090"/>
      <c r="AI17" s="1091"/>
      <c r="AJ17" s="1089"/>
      <c r="AK17" s="1090"/>
      <c r="AL17" s="1091"/>
    </row>
    <row r="18" spans="1:38" s="20" customFormat="1" ht="29.25" thickBot="1">
      <c r="A18" s="1080"/>
      <c r="B18" s="1081"/>
      <c r="C18" s="1081"/>
      <c r="D18" s="1082"/>
      <c r="E18" s="1099"/>
      <c r="F18" s="1100"/>
      <c r="G18" s="1099"/>
      <c r="H18" s="1103"/>
      <c r="I18" s="1100"/>
      <c r="J18" s="1108"/>
      <c r="K18" s="1099"/>
      <c r="L18" s="1103"/>
      <c r="M18" s="1103"/>
      <c r="N18" s="1103"/>
      <c r="O18" s="1100"/>
      <c r="P18" s="1092"/>
      <c r="Q18" s="1093"/>
      <c r="R18" s="1093"/>
      <c r="S18" s="1093"/>
      <c r="T18" s="1093"/>
      <c r="U18" s="1093"/>
      <c r="V18" s="1093"/>
      <c r="W18" s="1093"/>
      <c r="X18" s="1093"/>
      <c r="Y18" s="1093"/>
      <c r="Z18" s="1093"/>
      <c r="AA18" s="1093"/>
      <c r="AB18" s="1093"/>
      <c r="AC18" s="1093"/>
      <c r="AD18" s="1093"/>
      <c r="AE18" s="1093"/>
      <c r="AF18" s="1093"/>
      <c r="AG18" s="1093"/>
      <c r="AH18" s="1093"/>
      <c r="AI18" s="1094"/>
      <c r="AJ18" s="1092"/>
      <c r="AK18" s="1093"/>
      <c r="AL18" s="1094"/>
    </row>
  </sheetData>
  <mergeCells count="43">
    <mergeCell ref="A1:AL1"/>
    <mergeCell ref="AM1:AM14"/>
    <mergeCell ref="A2:AL2"/>
    <mergeCell ref="A3:E3"/>
    <mergeCell ref="F3:G3"/>
    <mergeCell ref="H3:AL4"/>
    <mergeCell ref="A4:E4"/>
    <mergeCell ref="F4:G4"/>
    <mergeCell ref="A5:E5"/>
    <mergeCell ref="F5:G5"/>
    <mergeCell ref="H5:AL5"/>
    <mergeCell ref="A6:A8"/>
    <mergeCell ref="B6:G8"/>
    <mergeCell ref="H6:H8"/>
    <mergeCell ref="I6:I8"/>
    <mergeCell ref="J6:J8"/>
    <mergeCell ref="K6:AI6"/>
    <mergeCell ref="AJ6:AL8"/>
    <mergeCell ref="K7:W7"/>
    <mergeCell ref="X7:AI7"/>
    <mergeCell ref="A13:AL13"/>
    <mergeCell ref="K8:L8"/>
    <mergeCell ref="B9:G9"/>
    <mergeCell ref="K9:L9"/>
    <mergeCell ref="AJ9:AL9"/>
    <mergeCell ref="B10:G10"/>
    <mergeCell ref="K10:L10"/>
    <mergeCell ref="B11:G11"/>
    <mergeCell ref="K11:L11"/>
    <mergeCell ref="B12:G12"/>
    <mergeCell ref="K12:L12"/>
    <mergeCell ref="AJ12:AL12"/>
    <mergeCell ref="A14:D18"/>
    <mergeCell ref="E14:I14"/>
    <mergeCell ref="J14:O14"/>
    <mergeCell ref="P14:AI18"/>
    <mergeCell ref="AJ14:AL18"/>
    <mergeCell ref="E15:F18"/>
    <mergeCell ref="G15:I18"/>
    <mergeCell ref="J15:J16"/>
    <mergeCell ref="K15:O16"/>
    <mergeCell ref="J17:J18"/>
    <mergeCell ref="K17:O18"/>
  </mergeCells>
  <printOptions horizontalCentered="1" verticalCentered="1"/>
  <pageMargins left="0.25" right="0.25" top="0.75" bottom="0.75" header="0.3" footer="0.3"/>
  <pageSetup paperSize="9" scale="38" orientation="landscape"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3894E-4B03-43E0-B247-841631A2CB1D}">
  <dimension ref="A1:AD19"/>
  <sheetViews>
    <sheetView rightToLeft="1" zoomScale="70" zoomScaleNormal="70" zoomScaleSheetLayoutView="55" workbookViewId="0">
      <selection activeCell="AD10" sqref="AD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2.85546875" style="21" customWidth="1"/>
    <col min="11" max="11" width="6.7109375" style="21" customWidth="1"/>
    <col min="12" max="12" width="2.140625" style="21" customWidth="1"/>
    <col min="13"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30" ht="74.25" thickTop="1" thickBot="1">
      <c r="A1" s="552" t="s">
        <v>568</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30"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30" s="3" customFormat="1" ht="33" thickTop="1">
      <c r="A3" s="1124" t="s">
        <v>569</v>
      </c>
      <c r="B3" s="1125"/>
      <c r="C3" s="1125"/>
      <c r="D3" s="1125"/>
      <c r="E3" s="1126"/>
      <c r="F3" s="659" t="s">
        <v>178</v>
      </c>
      <c r="G3" s="660"/>
      <c r="H3" s="661" t="s">
        <v>570</v>
      </c>
      <c r="I3" s="662"/>
      <c r="J3" s="662"/>
      <c r="K3" s="662"/>
      <c r="L3" s="662"/>
      <c r="M3" s="662"/>
      <c r="N3" s="662"/>
      <c r="O3" s="662"/>
      <c r="P3" s="662"/>
      <c r="Q3" s="662"/>
      <c r="R3" s="662"/>
      <c r="S3" s="662"/>
      <c r="T3" s="662"/>
      <c r="U3" s="662"/>
      <c r="V3" s="662"/>
      <c r="W3" s="662"/>
      <c r="X3" s="662"/>
      <c r="Y3" s="662"/>
      <c r="Z3" s="663"/>
      <c r="AA3" s="451"/>
    </row>
    <row r="4" spans="1:30"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30" s="3" customFormat="1" ht="29.25" thickBot="1">
      <c r="A5" s="672" t="s">
        <v>182</v>
      </c>
      <c r="B5" s="673"/>
      <c r="C5" s="673"/>
      <c r="D5" s="673"/>
      <c r="E5" s="674"/>
      <c r="F5" s="675" t="s">
        <v>183</v>
      </c>
      <c r="G5" s="675"/>
      <c r="H5" s="676" t="s">
        <v>184</v>
      </c>
      <c r="I5" s="677"/>
      <c r="J5" s="677"/>
      <c r="K5" s="677"/>
      <c r="L5" s="677"/>
      <c r="M5" s="677"/>
      <c r="N5" s="677"/>
      <c r="O5" s="677"/>
      <c r="P5" s="677"/>
      <c r="Q5" s="677"/>
      <c r="R5" s="677"/>
      <c r="S5" s="677"/>
      <c r="T5" s="677"/>
      <c r="U5" s="677"/>
      <c r="V5" s="677"/>
      <c r="W5" s="677"/>
      <c r="X5" s="677"/>
      <c r="Y5" s="677"/>
      <c r="Z5" s="678"/>
      <c r="AA5" s="451"/>
    </row>
    <row r="6" spans="1:30"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30"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30" ht="55.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30" ht="58.5" customHeight="1">
      <c r="A9" s="138">
        <v>1</v>
      </c>
      <c r="B9" s="1036" t="s">
        <v>571</v>
      </c>
      <c r="C9" s="1037"/>
      <c r="D9" s="1037"/>
      <c r="E9" s="1037" t="s">
        <v>563</v>
      </c>
      <c r="F9" s="1037"/>
      <c r="G9" s="1038"/>
      <c r="H9" s="139">
        <v>20</v>
      </c>
      <c r="I9" s="139"/>
      <c r="J9" s="136"/>
      <c r="K9" s="208"/>
      <c r="L9" s="209"/>
      <c r="M9" s="210"/>
      <c r="N9" s="210"/>
      <c r="O9" s="210"/>
      <c r="P9" s="137"/>
      <c r="Q9" s="137"/>
      <c r="R9" s="137"/>
      <c r="S9" s="137"/>
      <c r="T9" s="137"/>
      <c r="U9" s="137"/>
      <c r="V9" s="137"/>
      <c r="W9" s="137"/>
      <c r="X9" s="135"/>
      <c r="Y9" s="129"/>
      <c r="Z9" s="129"/>
      <c r="AA9" s="451"/>
      <c r="AD9" s="2">
        <f>(20/4)*3</f>
        <v>15</v>
      </c>
    </row>
    <row r="10" spans="1:30" s="146" customFormat="1" ht="63" customHeight="1">
      <c r="A10" s="138" t="s">
        <v>66</v>
      </c>
      <c r="B10" s="1066" t="s">
        <v>572</v>
      </c>
      <c r="C10" s="1067"/>
      <c r="D10" s="1067"/>
      <c r="E10" s="1067"/>
      <c r="F10" s="1067"/>
      <c r="G10" s="1068"/>
      <c r="H10" s="139">
        <v>10</v>
      </c>
      <c r="I10" s="140"/>
      <c r="J10" s="140"/>
      <c r="K10" s="1039"/>
      <c r="L10" s="1040"/>
      <c r="M10" s="142"/>
      <c r="N10" s="142"/>
      <c r="O10" s="141"/>
      <c r="P10" s="141"/>
      <c r="Q10" s="142"/>
      <c r="R10" s="142"/>
      <c r="S10" s="142"/>
      <c r="T10" s="142"/>
      <c r="U10" s="142"/>
      <c r="V10" s="142"/>
      <c r="W10" s="142"/>
      <c r="X10" s="1063"/>
      <c r="Y10" s="1064"/>
      <c r="Z10" s="1065"/>
      <c r="AA10" s="451"/>
    </row>
    <row r="11" spans="1:30" s="146" customFormat="1" ht="63" customHeight="1">
      <c r="A11" s="138" t="s">
        <v>68</v>
      </c>
      <c r="B11" s="1066" t="s">
        <v>573</v>
      </c>
      <c r="C11" s="1067"/>
      <c r="D11" s="1067"/>
      <c r="E11" s="1067"/>
      <c r="F11" s="1067"/>
      <c r="G11" s="1068"/>
      <c r="H11" s="139">
        <v>25</v>
      </c>
      <c r="I11" s="140"/>
      <c r="J11" s="140"/>
      <c r="K11" s="1039"/>
      <c r="L11" s="1040"/>
      <c r="M11" s="142"/>
      <c r="N11" s="142"/>
      <c r="O11" s="142"/>
      <c r="P11" s="141"/>
      <c r="Q11" s="141"/>
      <c r="R11" s="141"/>
      <c r="S11" s="142"/>
      <c r="T11" s="142"/>
      <c r="U11" s="142"/>
      <c r="V11" s="142"/>
      <c r="W11" s="142"/>
      <c r="X11" s="143"/>
      <c r="Y11" s="144"/>
      <c r="Z11" s="145"/>
      <c r="AA11" s="451"/>
    </row>
    <row r="12" spans="1:30" s="146" customFormat="1" ht="63" customHeight="1">
      <c r="A12" s="147">
        <v>4</v>
      </c>
      <c r="B12" s="1036" t="s">
        <v>574</v>
      </c>
      <c r="C12" s="1037"/>
      <c r="D12" s="1037"/>
      <c r="E12" s="1037"/>
      <c r="F12" s="1037"/>
      <c r="G12" s="1038"/>
      <c r="H12" s="139">
        <v>30</v>
      </c>
      <c r="I12" s="140"/>
      <c r="J12" s="140"/>
      <c r="K12" s="1039"/>
      <c r="L12" s="1040"/>
      <c r="M12" s="142"/>
      <c r="N12" s="142"/>
      <c r="O12" s="142"/>
      <c r="P12" s="141"/>
      <c r="Q12" s="141"/>
      <c r="R12" s="141"/>
      <c r="S12" s="141"/>
      <c r="T12" s="141"/>
      <c r="U12" s="141"/>
      <c r="V12" s="142"/>
      <c r="W12" s="142"/>
      <c r="X12" s="143"/>
      <c r="Y12" s="144"/>
      <c r="Z12" s="145"/>
      <c r="AA12" s="451"/>
    </row>
    <row r="13" spans="1:30" s="146" customFormat="1" ht="63" customHeight="1" thickBot="1">
      <c r="A13" s="138" t="s">
        <v>153</v>
      </c>
      <c r="B13" s="1066" t="s">
        <v>575</v>
      </c>
      <c r="C13" s="1067"/>
      <c r="D13" s="1067"/>
      <c r="E13" s="1067"/>
      <c r="F13" s="1067"/>
      <c r="G13" s="1068"/>
      <c r="H13" s="139">
        <v>15</v>
      </c>
      <c r="I13" s="140"/>
      <c r="J13" s="140"/>
      <c r="K13" s="1039"/>
      <c r="L13" s="1040"/>
      <c r="M13" s="142"/>
      <c r="N13" s="142"/>
      <c r="O13" s="142"/>
      <c r="P13" s="142"/>
      <c r="Q13" s="142"/>
      <c r="R13" s="141"/>
      <c r="S13" s="141"/>
      <c r="T13" s="141"/>
      <c r="U13" s="141"/>
      <c r="V13" s="141"/>
      <c r="W13" s="141"/>
      <c r="X13" s="1069"/>
      <c r="Y13" s="1069"/>
      <c r="Z13" s="1069"/>
      <c r="AA13" s="451"/>
    </row>
    <row r="14" spans="1:30"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2"/>
      <c r="Y14" s="1072"/>
      <c r="Z14" s="1075"/>
      <c r="AA14" s="451"/>
    </row>
    <row r="15" spans="1:30"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8"/>
      <c r="X15" s="1086" t="s">
        <v>76</v>
      </c>
      <c r="Y15" s="1087"/>
      <c r="Z15" s="1088"/>
      <c r="AA15" s="451"/>
    </row>
    <row r="16" spans="1:30" s="20" customFormat="1" ht="29.25" thickTop="1">
      <c r="A16" s="1079"/>
      <c r="B16" s="1047"/>
      <c r="C16" s="1047"/>
      <c r="D16" s="1055"/>
      <c r="E16" s="1095"/>
      <c r="F16" s="1096"/>
      <c r="G16" s="1095"/>
      <c r="H16" s="1101"/>
      <c r="I16" s="1096"/>
      <c r="J16" s="1104" t="s">
        <v>576</v>
      </c>
      <c r="K16" s="1106"/>
      <c r="L16" s="1101"/>
      <c r="M16" s="1101"/>
      <c r="N16" s="1101"/>
      <c r="O16" s="1096"/>
      <c r="P16" s="1089"/>
      <c r="Q16" s="1090"/>
      <c r="R16" s="1090"/>
      <c r="S16" s="1090"/>
      <c r="T16" s="1090"/>
      <c r="U16" s="1090"/>
      <c r="V16" s="1090"/>
      <c r="W16" s="1091"/>
      <c r="X16" s="1089"/>
      <c r="Y16" s="1090"/>
      <c r="Z16" s="1091"/>
    </row>
    <row r="17" spans="1:26"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1"/>
      <c r="X17" s="1089"/>
      <c r="Y17" s="1090"/>
      <c r="Z17" s="1091"/>
    </row>
    <row r="18" spans="1:26"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1"/>
      <c r="X18" s="1089"/>
      <c r="Y18" s="1090"/>
      <c r="Z18" s="1091"/>
    </row>
    <row r="19" spans="1:26"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4"/>
      <c r="X19" s="1092"/>
      <c r="Y19" s="1093"/>
      <c r="Z19" s="1094"/>
    </row>
  </sheetData>
  <mergeCells count="43">
    <mergeCell ref="A1:Z1"/>
    <mergeCell ref="AA1:AA15"/>
    <mergeCell ref="A2:Z2"/>
    <mergeCell ref="A3:E3"/>
    <mergeCell ref="F3:G3"/>
    <mergeCell ref="H3:Z4"/>
    <mergeCell ref="A4:E4"/>
    <mergeCell ref="F4:G4"/>
    <mergeCell ref="A5:E5"/>
    <mergeCell ref="F5:G5"/>
    <mergeCell ref="H5:Z5"/>
    <mergeCell ref="A6:A8"/>
    <mergeCell ref="B6:G8"/>
    <mergeCell ref="H6:H8"/>
    <mergeCell ref="I6:I8"/>
    <mergeCell ref="J6:J8"/>
    <mergeCell ref="K6:W6"/>
    <mergeCell ref="X6:Z8"/>
    <mergeCell ref="K7:W7"/>
    <mergeCell ref="K8:L8"/>
    <mergeCell ref="A14:Z14"/>
    <mergeCell ref="B9:G9"/>
    <mergeCell ref="B10:G10"/>
    <mergeCell ref="K10:L10"/>
    <mergeCell ref="X10:Z10"/>
    <mergeCell ref="B11:G11"/>
    <mergeCell ref="K11:L11"/>
    <mergeCell ref="B12:G12"/>
    <mergeCell ref="K12:L12"/>
    <mergeCell ref="B13:G13"/>
    <mergeCell ref="K13:L13"/>
    <mergeCell ref="X13:Z13"/>
    <mergeCell ref="A15:D19"/>
    <mergeCell ref="E15:I15"/>
    <mergeCell ref="J15:O15"/>
    <mergeCell ref="P15:W19"/>
    <mergeCell ref="X15:Z19"/>
    <mergeCell ref="E16:F19"/>
    <mergeCell ref="G16:I19"/>
    <mergeCell ref="J16:J17"/>
    <mergeCell ref="K16:O17"/>
    <mergeCell ref="J18:J19"/>
    <mergeCell ref="K18:O19"/>
  </mergeCells>
  <printOptions horizontalCentered="1" verticalCentered="1"/>
  <pageMargins left="0.25" right="0.25" top="0.75" bottom="0.75" header="0.3" footer="0.3"/>
  <pageSetup paperSize="9" scale="38" orientation="landscape"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88E66-ABCB-4AAC-993C-2D300584E00B}">
  <dimension ref="A1:AC19"/>
  <sheetViews>
    <sheetView rightToLeft="1" zoomScale="85" zoomScaleNormal="85" zoomScaleSheetLayoutView="70" workbookViewId="0">
      <selection activeCell="AC10" sqref="AC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15.140625" style="21" customWidth="1"/>
    <col min="6" max="6" width="14.7109375" style="21" customWidth="1"/>
    <col min="7" max="7" width="27.7109375" style="21" customWidth="1"/>
    <col min="8" max="8" width="21.140625" style="21" customWidth="1"/>
    <col min="9" max="9" width="17" style="21" customWidth="1"/>
    <col min="10" max="10" width="15.7109375" style="21" customWidth="1"/>
    <col min="11" max="22" width="4.7109375" style="21" customWidth="1"/>
    <col min="23" max="23" width="4.42578125" style="21" bestFit="1" customWidth="1"/>
    <col min="24" max="24" width="7.140625" style="21" customWidth="1"/>
    <col min="25" max="25" width="18.85546875" style="21" customWidth="1"/>
    <col min="26" max="26" width="3.140625" style="2" customWidth="1"/>
    <col min="27" max="27" width="4.140625" style="2" customWidth="1"/>
    <col min="28" max="16384" width="9.140625" style="2"/>
  </cols>
  <sheetData>
    <row r="1" spans="1:29" ht="74.25" thickTop="1" thickBot="1">
      <c r="A1" s="552" t="s">
        <v>555</v>
      </c>
      <c r="B1" s="553"/>
      <c r="C1" s="553"/>
      <c r="D1" s="553"/>
      <c r="E1" s="553"/>
      <c r="F1" s="553"/>
      <c r="G1" s="553"/>
      <c r="H1" s="553"/>
      <c r="I1" s="553"/>
      <c r="J1" s="553"/>
      <c r="K1" s="553"/>
      <c r="L1" s="553"/>
      <c r="M1" s="553"/>
      <c r="N1" s="553"/>
      <c r="O1" s="553"/>
      <c r="P1" s="553"/>
      <c r="Q1" s="553"/>
      <c r="R1" s="553"/>
      <c r="S1" s="553"/>
      <c r="T1" s="553"/>
      <c r="U1" s="553"/>
      <c r="V1" s="553"/>
      <c r="W1" s="553"/>
      <c r="X1" s="553"/>
      <c r="Y1" s="554"/>
      <c r="Z1" s="451"/>
    </row>
    <row r="2" spans="1:29"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6"/>
      <c r="Z2" s="451"/>
    </row>
    <row r="3" spans="1:29" s="3" customFormat="1" ht="29.25" thickTop="1">
      <c r="A3" s="656" t="s">
        <v>556</v>
      </c>
      <c r="B3" s="657"/>
      <c r="C3" s="657"/>
      <c r="D3" s="657"/>
      <c r="E3" s="658"/>
      <c r="F3" s="659" t="s">
        <v>178</v>
      </c>
      <c r="G3" s="660"/>
      <c r="H3" s="661" t="s">
        <v>557</v>
      </c>
      <c r="I3" s="662"/>
      <c r="J3" s="662"/>
      <c r="K3" s="662"/>
      <c r="L3" s="662"/>
      <c r="M3" s="662"/>
      <c r="N3" s="662"/>
      <c r="O3" s="662"/>
      <c r="P3" s="662"/>
      <c r="Q3" s="662"/>
      <c r="R3" s="662"/>
      <c r="S3" s="662"/>
      <c r="T3" s="662"/>
      <c r="U3" s="662"/>
      <c r="V3" s="662"/>
      <c r="W3" s="662"/>
      <c r="X3" s="662"/>
      <c r="Y3" s="663"/>
      <c r="Z3" s="451"/>
    </row>
    <row r="4" spans="1:29" s="3" customFormat="1" ht="28.5">
      <c r="A4" s="667" t="s">
        <v>558</v>
      </c>
      <c r="B4" s="668"/>
      <c r="C4" s="668"/>
      <c r="D4" s="668"/>
      <c r="E4" s="669"/>
      <c r="F4" s="670" t="s">
        <v>181</v>
      </c>
      <c r="G4" s="671"/>
      <c r="H4" s="664"/>
      <c r="I4" s="665"/>
      <c r="J4" s="665"/>
      <c r="K4" s="665"/>
      <c r="L4" s="665"/>
      <c r="M4" s="665"/>
      <c r="N4" s="665"/>
      <c r="O4" s="665"/>
      <c r="P4" s="665"/>
      <c r="Q4" s="665"/>
      <c r="R4" s="665"/>
      <c r="S4" s="665"/>
      <c r="T4" s="665"/>
      <c r="U4" s="665"/>
      <c r="V4" s="665"/>
      <c r="W4" s="665"/>
      <c r="X4" s="665"/>
      <c r="Y4" s="666"/>
      <c r="Z4" s="451"/>
    </row>
    <row r="5" spans="1:29" s="3" customFormat="1" ht="29.25" thickBot="1">
      <c r="A5" s="672" t="s">
        <v>559</v>
      </c>
      <c r="B5" s="673"/>
      <c r="C5" s="673"/>
      <c r="D5" s="673"/>
      <c r="E5" s="674"/>
      <c r="F5" s="675" t="s">
        <v>560</v>
      </c>
      <c r="G5" s="675"/>
      <c r="H5" s="676" t="s">
        <v>561</v>
      </c>
      <c r="I5" s="677"/>
      <c r="J5" s="677"/>
      <c r="K5" s="677"/>
      <c r="L5" s="677"/>
      <c r="M5" s="677"/>
      <c r="N5" s="677"/>
      <c r="O5" s="677"/>
      <c r="P5" s="677"/>
      <c r="Q5" s="677"/>
      <c r="R5" s="677"/>
      <c r="S5" s="677"/>
      <c r="T5" s="677"/>
      <c r="U5" s="677"/>
      <c r="V5" s="677"/>
      <c r="W5" s="677"/>
      <c r="X5" s="677"/>
      <c r="Y5" s="678"/>
      <c r="Z5" s="451"/>
    </row>
    <row r="6" spans="1:29" ht="28.5">
      <c r="A6" s="1041" t="s">
        <v>9</v>
      </c>
      <c r="B6" s="1043" t="s">
        <v>58</v>
      </c>
      <c r="C6" s="1044"/>
      <c r="D6" s="1044"/>
      <c r="E6" s="1044"/>
      <c r="F6" s="1044"/>
      <c r="G6" s="1045"/>
      <c r="H6" s="1049" t="s">
        <v>59</v>
      </c>
      <c r="I6" s="1049" t="s">
        <v>185</v>
      </c>
      <c r="J6" s="1049" t="s">
        <v>562</v>
      </c>
      <c r="K6" s="1053"/>
      <c r="L6" s="1053"/>
      <c r="M6" s="1053"/>
      <c r="N6" s="1053"/>
      <c r="O6" s="1053"/>
      <c r="P6" s="1053"/>
      <c r="Q6" s="1053"/>
      <c r="R6" s="1053"/>
      <c r="S6" s="1053"/>
      <c r="T6" s="1053"/>
      <c r="U6" s="1053"/>
      <c r="V6" s="1053"/>
      <c r="W6" s="1043" t="s">
        <v>186</v>
      </c>
      <c r="X6" s="1044"/>
      <c r="Y6" s="1054"/>
      <c r="Z6" s="451"/>
    </row>
    <row r="7" spans="1:29" ht="36" customHeight="1">
      <c r="A7" s="1042"/>
      <c r="B7" s="1046"/>
      <c r="C7" s="1047"/>
      <c r="D7" s="1047"/>
      <c r="E7" s="1047"/>
      <c r="F7" s="1047"/>
      <c r="G7" s="1048"/>
      <c r="H7" s="1050"/>
      <c r="I7" s="1050"/>
      <c r="J7" s="1050"/>
      <c r="K7" s="1057">
        <v>1405</v>
      </c>
      <c r="L7" s="1057"/>
      <c r="M7" s="1057"/>
      <c r="N7" s="1057"/>
      <c r="O7" s="1057"/>
      <c r="P7" s="1057"/>
      <c r="Q7" s="1057"/>
      <c r="R7" s="1057"/>
      <c r="S7" s="1057"/>
      <c r="T7" s="1057"/>
      <c r="U7" s="1057"/>
      <c r="V7" s="1058"/>
      <c r="W7" s="1046"/>
      <c r="X7" s="1047"/>
      <c r="Y7" s="1055"/>
      <c r="Z7" s="451"/>
    </row>
    <row r="8" spans="1:29" ht="65.25" customHeight="1">
      <c r="A8" s="1042"/>
      <c r="B8" s="1046"/>
      <c r="C8" s="1047"/>
      <c r="D8" s="1047"/>
      <c r="E8" s="1047"/>
      <c r="F8" s="1047"/>
      <c r="G8" s="1048"/>
      <c r="H8" s="1051"/>
      <c r="I8" s="1050"/>
      <c r="J8" s="1051"/>
      <c r="K8" s="137" t="s">
        <v>16</v>
      </c>
      <c r="L8" s="137" t="s">
        <v>188</v>
      </c>
      <c r="M8" s="137" t="s">
        <v>18</v>
      </c>
      <c r="N8" s="137" t="s">
        <v>189</v>
      </c>
      <c r="O8" s="137" t="s">
        <v>20</v>
      </c>
      <c r="P8" s="137" t="s">
        <v>190</v>
      </c>
      <c r="Q8" s="137" t="s">
        <v>22</v>
      </c>
      <c r="R8" s="137" t="s">
        <v>23</v>
      </c>
      <c r="S8" s="137" t="s">
        <v>24</v>
      </c>
      <c r="T8" s="137" t="s">
        <v>25</v>
      </c>
      <c r="U8" s="137" t="s">
        <v>26</v>
      </c>
      <c r="V8" s="137" t="s">
        <v>27</v>
      </c>
      <c r="W8" s="1046"/>
      <c r="X8" s="1047"/>
      <c r="Y8" s="1055"/>
      <c r="Z8" s="451"/>
    </row>
    <row r="9" spans="1:29" s="146" customFormat="1" ht="63" customHeight="1">
      <c r="A9" s="138" t="s">
        <v>28</v>
      </c>
      <c r="B9" s="1109" t="s">
        <v>563</v>
      </c>
      <c r="C9" s="1110"/>
      <c r="D9" s="1110"/>
      <c r="E9" s="1110"/>
      <c r="F9" s="1110"/>
      <c r="G9" s="1111"/>
      <c r="H9" s="139">
        <v>20</v>
      </c>
      <c r="I9" s="205"/>
      <c r="J9" s="205"/>
      <c r="K9" s="206"/>
      <c r="L9" s="207"/>
      <c r="M9" s="207"/>
      <c r="N9" s="207"/>
      <c r="O9" s="206"/>
      <c r="P9" s="206"/>
      <c r="Q9" s="206"/>
      <c r="R9" s="206"/>
      <c r="S9" s="206"/>
      <c r="T9" s="206"/>
      <c r="U9" s="206"/>
      <c r="V9" s="206"/>
      <c r="W9" s="1063"/>
      <c r="X9" s="1064"/>
      <c r="Y9" s="1065"/>
      <c r="Z9" s="451"/>
      <c r="AC9" s="146">
        <f>(20/3)*1</f>
        <v>6.666666666666667</v>
      </c>
    </row>
    <row r="10" spans="1:29" s="146" customFormat="1" ht="63" customHeight="1">
      <c r="A10" s="138" t="s">
        <v>66</v>
      </c>
      <c r="B10" s="1112" t="s">
        <v>564</v>
      </c>
      <c r="C10" s="1113"/>
      <c r="D10" s="1113"/>
      <c r="E10" s="1113"/>
      <c r="F10" s="1113"/>
      <c r="G10" s="1114"/>
      <c r="H10" s="139">
        <v>30</v>
      </c>
      <c r="I10" s="9" t="s">
        <v>565</v>
      </c>
      <c r="J10" s="205"/>
      <c r="K10" s="206"/>
      <c r="L10" s="206"/>
      <c r="M10" s="142"/>
      <c r="N10" s="207"/>
      <c r="O10" s="207"/>
      <c r="P10" s="207"/>
      <c r="Q10" s="206"/>
      <c r="R10" s="206"/>
      <c r="S10" s="206"/>
      <c r="T10" s="206"/>
      <c r="U10" s="206"/>
      <c r="V10" s="206"/>
      <c r="W10" s="143"/>
      <c r="X10" s="144"/>
      <c r="Y10" s="145"/>
      <c r="Z10" s="451"/>
    </row>
    <row r="11" spans="1:29" s="146" customFormat="1" ht="63" customHeight="1">
      <c r="A11" s="147">
        <v>3</v>
      </c>
      <c r="B11" s="1109" t="s">
        <v>566</v>
      </c>
      <c r="C11" s="1110"/>
      <c r="D11" s="1110"/>
      <c r="E11" s="1110"/>
      <c r="F11" s="1110"/>
      <c r="G11" s="1111"/>
      <c r="H11" s="139">
        <v>40</v>
      </c>
      <c r="I11" s="9" t="s">
        <v>565</v>
      </c>
      <c r="J11" s="205"/>
      <c r="K11" s="206"/>
      <c r="L11" s="206"/>
      <c r="M11" s="206"/>
      <c r="N11" s="142"/>
      <c r="O11" s="142"/>
      <c r="P11" s="207"/>
      <c r="Q11" s="207"/>
      <c r="R11" s="207"/>
      <c r="S11" s="207"/>
      <c r="T11" s="206"/>
      <c r="U11" s="206"/>
      <c r="V11" s="206"/>
      <c r="W11" s="143"/>
      <c r="X11" s="144"/>
      <c r="Y11" s="145"/>
      <c r="Z11" s="451"/>
    </row>
    <row r="12" spans="1:29" s="146" customFormat="1" ht="63" customHeight="1" thickBot="1">
      <c r="A12" s="138" t="s">
        <v>70</v>
      </c>
      <c r="B12" s="1127" t="s">
        <v>567</v>
      </c>
      <c r="C12" s="1127"/>
      <c r="D12" s="1127"/>
      <c r="E12" s="1127"/>
      <c r="F12" s="1127"/>
      <c r="G12" s="1127"/>
      <c r="H12" s="139">
        <v>10</v>
      </c>
      <c r="I12" s="205"/>
      <c r="J12" s="205"/>
      <c r="K12" s="206"/>
      <c r="L12" s="206"/>
      <c r="M12" s="206"/>
      <c r="N12" s="206"/>
      <c r="O12" s="142"/>
      <c r="P12" s="142"/>
      <c r="Q12" s="206"/>
      <c r="R12" s="206"/>
      <c r="S12" s="207"/>
      <c r="T12" s="142"/>
      <c r="U12" s="206"/>
      <c r="V12" s="206"/>
      <c r="W12" s="1069"/>
      <c r="X12" s="1069"/>
      <c r="Y12" s="1069"/>
      <c r="Z12" s="451"/>
    </row>
    <row r="13" spans="1:29" ht="19.5" thickTop="1" thickBot="1">
      <c r="A13" s="1070"/>
      <c r="B13" s="1071"/>
      <c r="C13" s="1071"/>
      <c r="D13" s="1071"/>
      <c r="E13" s="1072"/>
      <c r="F13" s="1072"/>
      <c r="G13" s="1071"/>
      <c r="H13" s="1073"/>
      <c r="I13" s="1073"/>
      <c r="J13" s="1073"/>
      <c r="K13" s="1074"/>
      <c r="L13" s="1074"/>
      <c r="M13" s="1074"/>
      <c r="N13" s="1074"/>
      <c r="O13" s="1074"/>
      <c r="P13" s="1074"/>
      <c r="Q13" s="1074"/>
      <c r="R13" s="1074"/>
      <c r="S13" s="1074"/>
      <c r="T13" s="1074"/>
      <c r="U13" s="1074"/>
      <c r="V13" s="1074"/>
      <c r="W13" s="1072"/>
      <c r="X13" s="1072"/>
      <c r="Y13" s="1075"/>
      <c r="Z13" s="451"/>
    </row>
    <row r="14" spans="1:29" ht="87" thickTop="1" thickBot="1">
      <c r="A14" s="1076" t="s">
        <v>72</v>
      </c>
      <c r="B14" s="1077"/>
      <c r="C14" s="1077"/>
      <c r="D14" s="1078"/>
      <c r="E14" s="1083" t="s">
        <v>73</v>
      </c>
      <c r="F14" s="1084"/>
      <c r="G14" s="1084"/>
      <c r="H14" s="1084"/>
      <c r="I14" s="1084"/>
      <c r="J14" s="151" t="s">
        <v>74</v>
      </c>
      <c r="K14" s="1087"/>
      <c r="L14" s="1087"/>
      <c r="M14" s="1087"/>
      <c r="N14" s="1087"/>
      <c r="O14" s="1087"/>
      <c r="P14" s="1087"/>
      <c r="Q14" s="1087"/>
      <c r="R14" s="1087"/>
      <c r="S14" s="1087"/>
      <c r="T14" s="1087"/>
      <c r="U14" s="1087"/>
      <c r="V14" s="1088"/>
      <c r="W14" s="1086" t="s">
        <v>76</v>
      </c>
      <c r="X14" s="1087"/>
      <c r="Y14" s="1088"/>
      <c r="Z14" s="451"/>
    </row>
    <row r="15" spans="1:29" s="20" customFormat="1" ht="29.25" thickTop="1">
      <c r="A15" s="1079"/>
      <c r="B15" s="1047"/>
      <c r="C15" s="1047"/>
      <c r="D15" s="1055"/>
      <c r="E15" s="1095"/>
      <c r="F15" s="1096"/>
      <c r="G15" s="1095"/>
      <c r="H15" s="1101"/>
      <c r="I15" s="1096"/>
      <c r="J15" s="1104" t="s">
        <v>197</v>
      </c>
      <c r="K15" s="1090"/>
      <c r="L15" s="1090"/>
      <c r="M15" s="1090"/>
      <c r="N15" s="1090"/>
      <c r="O15" s="1090"/>
      <c r="P15" s="1090"/>
      <c r="Q15" s="1090"/>
      <c r="R15" s="1090"/>
      <c r="S15" s="1090"/>
      <c r="T15" s="1090"/>
      <c r="U15" s="1090"/>
      <c r="V15" s="1091"/>
      <c r="W15" s="1089"/>
      <c r="X15" s="1090"/>
      <c r="Y15" s="1091"/>
    </row>
    <row r="16" spans="1:29" s="20" customFormat="1" ht="29.25" thickBot="1">
      <c r="A16" s="1079"/>
      <c r="B16" s="1047"/>
      <c r="C16" s="1047"/>
      <c r="D16" s="1055"/>
      <c r="E16" s="1097"/>
      <c r="F16" s="1098"/>
      <c r="G16" s="1097"/>
      <c r="H16" s="1102"/>
      <c r="I16" s="1098"/>
      <c r="J16" s="1105"/>
      <c r="K16" s="1090"/>
      <c r="L16" s="1090"/>
      <c r="M16" s="1090"/>
      <c r="N16" s="1090"/>
      <c r="O16" s="1090"/>
      <c r="P16" s="1090"/>
      <c r="Q16" s="1090"/>
      <c r="R16" s="1090"/>
      <c r="S16" s="1090"/>
      <c r="T16" s="1090"/>
      <c r="U16" s="1090"/>
      <c r="V16" s="1091"/>
      <c r="W16" s="1089"/>
      <c r="X16" s="1090"/>
      <c r="Y16" s="1091"/>
    </row>
    <row r="17" spans="1:25" s="20" customFormat="1" ht="29.25" thickTop="1">
      <c r="A17" s="1079"/>
      <c r="B17" s="1047"/>
      <c r="C17" s="1047"/>
      <c r="D17" s="1055"/>
      <c r="E17" s="1097"/>
      <c r="F17" s="1098"/>
      <c r="G17" s="1097"/>
      <c r="H17" s="1102"/>
      <c r="I17" s="1098"/>
      <c r="J17" s="1107" t="s">
        <v>198</v>
      </c>
      <c r="K17" s="1090"/>
      <c r="L17" s="1090"/>
      <c r="M17" s="1090"/>
      <c r="N17" s="1090"/>
      <c r="O17" s="1090"/>
      <c r="P17" s="1090"/>
      <c r="Q17" s="1090"/>
      <c r="R17" s="1090"/>
      <c r="S17" s="1090"/>
      <c r="T17" s="1090"/>
      <c r="U17" s="1090"/>
      <c r="V17" s="1091"/>
      <c r="W17" s="1089"/>
      <c r="X17" s="1090"/>
      <c r="Y17" s="1091"/>
    </row>
    <row r="18" spans="1:25" s="20" customFormat="1" ht="29.25" thickBot="1">
      <c r="A18" s="1080"/>
      <c r="B18" s="1081"/>
      <c r="C18" s="1081"/>
      <c r="D18" s="1082"/>
      <c r="E18" s="1099"/>
      <c r="F18" s="1100"/>
      <c r="G18" s="1099"/>
      <c r="H18" s="1103"/>
      <c r="I18" s="1100"/>
      <c r="J18" s="1108"/>
      <c r="K18" s="1093"/>
      <c r="L18" s="1093"/>
      <c r="M18" s="1093"/>
      <c r="N18" s="1093"/>
      <c r="O18" s="1093"/>
      <c r="P18" s="1093"/>
      <c r="Q18" s="1093"/>
      <c r="R18" s="1093"/>
      <c r="S18" s="1093"/>
      <c r="T18" s="1093"/>
      <c r="U18" s="1093"/>
      <c r="V18" s="1094"/>
      <c r="W18" s="1092"/>
      <c r="X18" s="1093"/>
      <c r="Y18" s="1094"/>
    </row>
    <row r="19" spans="1:25" ht="18.75" thickTop="1"/>
  </sheetData>
  <mergeCells count="34">
    <mergeCell ref="A1:Y1"/>
    <mergeCell ref="Z1:Z14"/>
    <mergeCell ref="A2:Y2"/>
    <mergeCell ref="A3:E3"/>
    <mergeCell ref="F3:G3"/>
    <mergeCell ref="H3:Y4"/>
    <mergeCell ref="A4:E4"/>
    <mergeCell ref="F4:G4"/>
    <mergeCell ref="A5:E5"/>
    <mergeCell ref="F5:G5"/>
    <mergeCell ref="H5:Y5"/>
    <mergeCell ref="A6:A8"/>
    <mergeCell ref="B6:G8"/>
    <mergeCell ref="H6:H8"/>
    <mergeCell ref="I6:I8"/>
    <mergeCell ref="J6:J8"/>
    <mergeCell ref="K6:V6"/>
    <mergeCell ref="W6:Y8"/>
    <mergeCell ref="K7:V7"/>
    <mergeCell ref="B9:G9"/>
    <mergeCell ref="W9:Y9"/>
    <mergeCell ref="B10:G10"/>
    <mergeCell ref="B11:G11"/>
    <mergeCell ref="B12:G12"/>
    <mergeCell ref="W12:Y12"/>
    <mergeCell ref="A13:Y13"/>
    <mergeCell ref="A14:D18"/>
    <mergeCell ref="E14:I14"/>
    <mergeCell ref="K14:V18"/>
    <mergeCell ref="W14:Y18"/>
    <mergeCell ref="E15:F18"/>
    <mergeCell ref="G15:I18"/>
    <mergeCell ref="J15:J16"/>
    <mergeCell ref="J17:J18"/>
  </mergeCells>
  <printOptions horizontalCentered="1" verticalCentered="1"/>
  <pageMargins left="0.25" right="0.25" top="0.75" bottom="0.75" header="0.3" footer="0.3"/>
  <pageSetup paperSize="9" scale="38" orientation="landscape"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F5A2F-63AB-4C29-AF3A-2EC9592A7AC4}">
  <dimension ref="A1:AC19"/>
  <sheetViews>
    <sheetView rightToLeft="1" zoomScale="70" zoomScaleNormal="70" workbookViewId="0">
      <selection activeCell="AC11" sqref="AC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2.85546875" style="21" customWidth="1"/>
    <col min="11" max="11" width="6.7109375" style="21" customWidth="1"/>
    <col min="12"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29"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29"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29" s="3" customFormat="1" ht="29.25" thickTop="1">
      <c r="A3" s="656" t="s">
        <v>230</v>
      </c>
      <c r="B3" s="657"/>
      <c r="C3" s="657"/>
      <c r="D3" s="657"/>
      <c r="E3" s="658"/>
      <c r="F3" s="659" t="s">
        <v>178</v>
      </c>
      <c r="G3" s="660"/>
      <c r="H3" s="661" t="s">
        <v>231</v>
      </c>
      <c r="I3" s="662"/>
      <c r="J3" s="662"/>
      <c r="K3" s="662"/>
      <c r="L3" s="662"/>
      <c r="M3" s="662"/>
      <c r="N3" s="662"/>
      <c r="O3" s="662"/>
      <c r="P3" s="662"/>
      <c r="Q3" s="662"/>
      <c r="R3" s="662"/>
      <c r="S3" s="662"/>
      <c r="T3" s="662"/>
      <c r="U3" s="662"/>
      <c r="V3" s="662"/>
      <c r="W3" s="662"/>
      <c r="X3" s="662"/>
      <c r="Y3" s="662"/>
      <c r="Z3" s="663"/>
      <c r="AA3" s="451"/>
    </row>
    <row r="4" spans="1:29"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29" s="3" customFormat="1" ht="29.25" thickBot="1">
      <c r="A5" s="672" t="s">
        <v>182</v>
      </c>
      <c r="B5" s="673"/>
      <c r="C5" s="673"/>
      <c r="D5" s="673"/>
      <c r="E5" s="674"/>
      <c r="F5" s="675" t="s">
        <v>183</v>
      </c>
      <c r="G5" s="675"/>
      <c r="H5" s="676" t="s">
        <v>184</v>
      </c>
      <c r="I5" s="677"/>
      <c r="J5" s="677"/>
      <c r="K5" s="677"/>
      <c r="L5" s="677"/>
      <c r="M5" s="677"/>
      <c r="N5" s="677"/>
      <c r="O5" s="677"/>
      <c r="P5" s="677"/>
      <c r="Q5" s="677"/>
      <c r="R5" s="677"/>
      <c r="S5" s="677"/>
      <c r="T5" s="677"/>
      <c r="U5" s="677"/>
      <c r="V5" s="677"/>
      <c r="W5" s="677"/>
      <c r="X5" s="677"/>
      <c r="Y5" s="677"/>
      <c r="Z5" s="678"/>
      <c r="AA5" s="451"/>
    </row>
    <row r="6" spans="1:29"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29"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29" ht="55.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29" s="146" customFormat="1" ht="63" customHeight="1">
      <c r="A9" s="138" t="s">
        <v>28</v>
      </c>
      <c r="B9" s="1036" t="s">
        <v>232</v>
      </c>
      <c r="C9" s="1037"/>
      <c r="D9" s="1037"/>
      <c r="E9" s="1037"/>
      <c r="F9" s="1037"/>
      <c r="G9" s="1038"/>
      <c r="H9" s="139">
        <v>15</v>
      </c>
      <c r="I9" s="140"/>
      <c r="J9" s="140"/>
      <c r="K9" s="1128"/>
      <c r="L9" s="1129"/>
      <c r="M9" s="141"/>
      <c r="N9" s="141"/>
      <c r="O9" s="142"/>
      <c r="P9" s="142"/>
      <c r="Q9" s="142"/>
      <c r="R9" s="142"/>
      <c r="S9" s="142"/>
      <c r="T9" s="142"/>
      <c r="U9" s="142"/>
      <c r="V9" s="142"/>
      <c r="W9" s="142"/>
      <c r="X9" s="1063"/>
      <c r="Y9" s="1064"/>
      <c r="Z9" s="1065"/>
      <c r="AA9" s="451"/>
      <c r="AC9" s="146">
        <v>15</v>
      </c>
    </row>
    <row r="10" spans="1:29" s="146" customFormat="1" ht="63" customHeight="1">
      <c r="A10" s="138" t="s">
        <v>66</v>
      </c>
      <c r="B10" s="1066" t="s">
        <v>233</v>
      </c>
      <c r="C10" s="1067"/>
      <c r="D10" s="1067"/>
      <c r="E10" s="1067"/>
      <c r="F10" s="1067"/>
      <c r="G10" s="1068"/>
      <c r="H10" s="139">
        <v>15</v>
      </c>
      <c r="I10" s="140"/>
      <c r="J10" s="140"/>
      <c r="K10" s="1039"/>
      <c r="L10" s="1040"/>
      <c r="M10" s="142"/>
      <c r="N10" s="141"/>
      <c r="O10" s="141"/>
      <c r="P10" s="141"/>
      <c r="Q10" s="141"/>
      <c r="R10" s="142"/>
      <c r="S10" s="142"/>
      <c r="T10" s="142"/>
      <c r="U10" s="142"/>
      <c r="V10" s="142"/>
      <c r="W10" s="142"/>
      <c r="X10" s="143"/>
      <c r="Y10" s="144"/>
      <c r="Z10" s="145"/>
      <c r="AA10" s="451"/>
      <c r="AC10" s="146">
        <f>(15/4)*1</f>
        <v>3.75</v>
      </c>
    </row>
    <row r="11" spans="1:29" s="146" customFormat="1" ht="63" customHeight="1">
      <c r="A11" s="147">
        <v>3</v>
      </c>
      <c r="B11" s="1036" t="s">
        <v>234</v>
      </c>
      <c r="C11" s="1037"/>
      <c r="D11" s="1037"/>
      <c r="E11" s="1037"/>
      <c r="F11" s="1037"/>
      <c r="G11" s="1038"/>
      <c r="H11" s="139">
        <v>30</v>
      </c>
      <c r="I11" s="140" t="s">
        <v>235</v>
      </c>
      <c r="J11" s="140"/>
      <c r="K11" s="1039"/>
      <c r="L11" s="1040"/>
      <c r="M11" s="142"/>
      <c r="N11" s="142"/>
      <c r="O11" s="142"/>
      <c r="P11" s="141"/>
      <c r="Q11" s="141"/>
      <c r="R11" s="141"/>
      <c r="S11" s="141"/>
      <c r="T11" s="141"/>
      <c r="U11" s="141"/>
      <c r="V11" s="142"/>
      <c r="W11" s="142"/>
      <c r="X11" s="143"/>
      <c r="Y11" s="144"/>
      <c r="Z11" s="145"/>
      <c r="AA11" s="451"/>
    </row>
    <row r="12" spans="1:29" s="146" customFormat="1" ht="63" customHeight="1">
      <c r="A12" s="138" t="s">
        <v>70</v>
      </c>
      <c r="B12" s="1066" t="s">
        <v>236</v>
      </c>
      <c r="C12" s="1067"/>
      <c r="D12" s="1067"/>
      <c r="E12" s="1067"/>
      <c r="F12" s="1067"/>
      <c r="G12" s="1068"/>
      <c r="H12" s="139">
        <v>20</v>
      </c>
      <c r="I12" s="140" t="s">
        <v>235</v>
      </c>
      <c r="J12" s="140"/>
      <c r="K12" s="1039"/>
      <c r="L12" s="1040"/>
      <c r="M12" s="142"/>
      <c r="N12" s="142"/>
      <c r="O12" s="142"/>
      <c r="P12" s="142"/>
      <c r="Q12" s="142"/>
      <c r="R12" s="141"/>
      <c r="S12" s="141"/>
      <c r="T12" s="141"/>
      <c r="U12" s="141"/>
      <c r="V12" s="141"/>
      <c r="W12" s="142"/>
      <c r="X12" s="1069"/>
      <c r="Y12" s="1069"/>
      <c r="Z12" s="1069"/>
      <c r="AA12" s="451"/>
    </row>
    <row r="13" spans="1:29" s="146" customFormat="1" ht="63" customHeight="1" thickBot="1">
      <c r="A13" s="138" t="s">
        <v>153</v>
      </c>
      <c r="B13" s="1039" t="s">
        <v>237</v>
      </c>
      <c r="C13" s="1130"/>
      <c r="D13" s="1130"/>
      <c r="E13" s="1130"/>
      <c r="F13" s="1130"/>
      <c r="G13" s="1040"/>
      <c r="H13" s="139">
        <v>20</v>
      </c>
      <c r="I13" s="140"/>
      <c r="J13" s="140"/>
      <c r="K13" s="149"/>
      <c r="L13" s="150"/>
      <c r="M13" s="142"/>
      <c r="N13" s="142"/>
      <c r="O13" s="142"/>
      <c r="P13" s="142"/>
      <c r="Q13" s="142"/>
      <c r="R13" s="142"/>
      <c r="S13" s="142"/>
      <c r="T13" s="142"/>
      <c r="U13" s="141"/>
      <c r="V13" s="141"/>
      <c r="W13" s="141"/>
      <c r="X13" s="1116"/>
      <c r="Y13" s="1116"/>
      <c r="Z13" s="1116"/>
      <c r="AA13" s="451"/>
    </row>
    <row r="14" spans="1:29"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2"/>
      <c r="Y14" s="1072"/>
      <c r="Z14" s="1075"/>
      <c r="AA14" s="451"/>
    </row>
    <row r="15" spans="1:29"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8"/>
      <c r="X15" s="1086" t="s">
        <v>76</v>
      </c>
      <c r="Y15" s="1087"/>
      <c r="Z15" s="1088"/>
      <c r="AA15" s="451"/>
    </row>
    <row r="16" spans="1:29" s="20" customFormat="1" ht="29.25" thickTop="1">
      <c r="A16" s="1079"/>
      <c r="B16" s="1047"/>
      <c r="C16" s="1047"/>
      <c r="D16" s="1055"/>
      <c r="E16" s="1095"/>
      <c r="F16" s="1096"/>
      <c r="G16" s="1095"/>
      <c r="H16" s="1101"/>
      <c r="I16" s="1096"/>
      <c r="J16" s="1104" t="s">
        <v>197</v>
      </c>
      <c r="K16" s="1106"/>
      <c r="L16" s="1101"/>
      <c r="M16" s="1101"/>
      <c r="N16" s="1101"/>
      <c r="O16" s="1096"/>
      <c r="P16" s="1089"/>
      <c r="Q16" s="1090"/>
      <c r="R16" s="1090"/>
      <c r="S16" s="1090"/>
      <c r="T16" s="1090"/>
      <c r="U16" s="1090"/>
      <c r="V16" s="1090"/>
      <c r="W16" s="1091"/>
      <c r="X16" s="1089"/>
      <c r="Y16" s="1090"/>
      <c r="Z16" s="1091"/>
    </row>
    <row r="17" spans="1:26"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1"/>
      <c r="X17" s="1089"/>
      <c r="Y17" s="1090"/>
      <c r="Z17" s="1091"/>
    </row>
    <row r="18" spans="1:26"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1"/>
      <c r="X18" s="1089"/>
      <c r="Y18" s="1090"/>
      <c r="Z18" s="1091"/>
    </row>
    <row r="19" spans="1:26"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4"/>
      <c r="X19" s="1092"/>
      <c r="Y19" s="1093"/>
      <c r="Z19" s="1094"/>
    </row>
  </sheetData>
  <mergeCells count="44">
    <mergeCell ref="A15:D19"/>
    <mergeCell ref="E15:I15"/>
    <mergeCell ref="J15:O15"/>
    <mergeCell ref="P15:W19"/>
    <mergeCell ref="X13:Z13"/>
    <mergeCell ref="X15:Z19"/>
    <mergeCell ref="E16:F19"/>
    <mergeCell ref="G16:I19"/>
    <mergeCell ref="J16:J17"/>
    <mergeCell ref="K16:O17"/>
    <mergeCell ref="J18:J19"/>
    <mergeCell ref="K18:O19"/>
    <mergeCell ref="K6:W6"/>
    <mergeCell ref="X6:Z8"/>
    <mergeCell ref="K7:W7"/>
    <mergeCell ref="K8:L8"/>
    <mergeCell ref="A14:Z14"/>
    <mergeCell ref="B9:G9"/>
    <mergeCell ref="K9:L9"/>
    <mergeCell ref="X9:Z9"/>
    <mergeCell ref="B10:G10"/>
    <mergeCell ref="K10:L10"/>
    <mergeCell ref="B11:G11"/>
    <mergeCell ref="K11:L11"/>
    <mergeCell ref="B12:G12"/>
    <mergeCell ref="K12:L12"/>
    <mergeCell ref="X12:Z12"/>
    <mergeCell ref="B13:G13"/>
    <mergeCell ref="A1:Z1"/>
    <mergeCell ref="AA1:AA15"/>
    <mergeCell ref="A2:Z2"/>
    <mergeCell ref="A3:E3"/>
    <mergeCell ref="F3:G3"/>
    <mergeCell ref="H3:Z4"/>
    <mergeCell ref="A4:E4"/>
    <mergeCell ref="F4:G4"/>
    <mergeCell ref="A5:E5"/>
    <mergeCell ref="F5:G5"/>
    <mergeCell ref="H5:Z5"/>
    <mergeCell ref="A6:A8"/>
    <mergeCell ref="B6:G8"/>
    <mergeCell ref="H6:H8"/>
    <mergeCell ref="I6:I8"/>
    <mergeCell ref="J6:J8"/>
  </mergeCells>
  <printOptions horizontalCentered="1" verticalCentered="1"/>
  <pageMargins left="0.25" right="0.25" top="0.75" bottom="0.75" header="0.3" footer="0.3"/>
  <pageSetup paperSize="9" scale="38" orientation="landscape"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87D1-C953-4520-966D-8376E05EFA97}">
  <dimension ref="A1:AD19"/>
  <sheetViews>
    <sheetView rightToLeft="1" zoomScale="70" zoomScaleNormal="70" workbookViewId="0">
      <selection activeCell="AD12" sqref="AD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2.85546875" style="21" customWidth="1"/>
    <col min="11" max="11" width="6.7109375" style="21" customWidth="1"/>
    <col min="12"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30"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30"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30" s="3" customFormat="1" ht="29.25" thickTop="1">
      <c r="A3" s="656" t="s">
        <v>223</v>
      </c>
      <c r="B3" s="657"/>
      <c r="C3" s="657"/>
      <c r="D3" s="657"/>
      <c r="E3" s="658"/>
      <c r="F3" s="659" t="s">
        <v>178</v>
      </c>
      <c r="G3" s="660"/>
      <c r="H3" s="661" t="s">
        <v>224</v>
      </c>
      <c r="I3" s="662"/>
      <c r="J3" s="662"/>
      <c r="K3" s="662"/>
      <c r="L3" s="662"/>
      <c r="M3" s="662"/>
      <c r="N3" s="662"/>
      <c r="O3" s="662"/>
      <c r="P3" s="662"/>
      <c r="Q3" s="662"/>
      <c r="R3" s="662"/>
      <c r="S3" s="662"/>
      <c r="T3" s="662"/>
      <c r="U3" s="662"/>
      <c r="V3" s="662"/>
      <c r="W3" s="662"/>
      <c r="X3" s="662"/>
      <c r="Y3" s="662"/>
      <c r="Z3" s="663"/>
      <c r="AA3" s="451"/>
    </row>
    <row r="4" spans="1:30"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30" s="3" customFormat="1" ht="29.25" thickBot="1">
      <c r="A5" s="672" t="s">
        <v>182</v>
      </c>
      <c r="B5" s="673"/>
      <c r="C5" s="673"/>
      <c r="D5" s="673"/>
      <c r="E5" s="674"/>
      <c r="F5" s="675" t="s">
        <v>183</v>
      </c>
      <c r="G5" s="675"/>
      <c r="H5" s="676" t="s">
        <v>184</v>
      </c>
      <c r="I5" s="677"/>
      <c r="J5" s="677"/>
      <c r="K5" s="677"/>
      <c r="L5" s="677"/>
      <c r="M5" s="677"/>
      <c r="N5" s="677"/>
      <c r="O5" s="677"/>
      <c r="P5" s="677"/>
      <c r="Q5" s="677"/>
      <c r="R5" s="677"/>
      <c r="S5" s="677"/>
      <c r="T5" s="677"/>
      <c r="U5" s="677"/>
      <c r="V5" s="677"/>
      <c r="W5" s="677"/>
      <c r="X5" s="677"/>
      <c r="Y5" s="677"/>
      <c r="Z5" s="678"/>
      <c r="AA5" s="451"/>
    </row>
    <row r="6" spans="1:30"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30"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30" ht="55.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30" s="146" customFormat="1" ht="63" customHeight="1">
      <c r="A9" s="138" t="s">
        <v>28</v>
      </c>
      <c r="B9" s="1036" t="s">
        <v>225</v>
      </c>
      <c r="C9" s="1037"/>
      <c r="D9" s="1037"/>
      <c r="E9" s="1037"/>
      <c r="F9" s="1037"/>
      <c r="G9" s="1038"/>
      <c r="H9" s="139">
        <v>15</v>
      </c>
      <c r="I9" s="140"/>
      <c r="J9" s="140"/>
      <c r="K9" s="1128"/>
      <c r="L9" s="1129"/>
      <c r="M9" s="141"/>
      <c r="N9" s="141"/>
      <c r="O9" s="142"/>
      <c r="P9" s="142"/>
      <c r="Q9" s="142"/>
      <c r="R9" s="142"/>
      <c r="S9" s="142"/>
      <c r="T9" s="142"/>
      <c r="U9" s="142"/>
      <c r="V9" s="142"/>
      <c r="W9" s="142"/>
      <c r="X9" s="1063"/>
      <c r="Y9" s="1064"/>
      <c r="Z9" s="1065"/>
      <c r="AA9" s="451"/>
      <c r="AD9" s="146">
        <v>15</v>
      </c>
    </row>
    <row r="10" spans="1:30" s="146" customFormat="1" ht="63" customHeight="1">
      <c r="A10" s="138" t="s">
        <v>66</v>
      </c>
      <c r="B10" s="1066" t="s">
        <v>226</v>
      </c>
      <c r="C10" s="1067"/>
      <c r="D10" s="1067"/>
      <c r="E10" s="1067"/>
      <c r="F10" s="1067"/>
      <c r="G10" s="1068"/>
      <c r="H10" s="139">
        <v>15</v>
      </c>
      <c r="I10" s="140"/>
      <c r="J10" s="140"/>
      <c r="K10" s="1039"/>
      <c r="L10" s="1040"/>
      <c r="M10" s="141"/>
      <c r="N10" s="141"/>
      <c r="O10" s="141"/>
      <c r="P10" s="141"/>
      <c r="Q10" s="142"/>
      <c r="R10" s="142"/>
      <c r="S10" s="142"/>
      <c r="T10" s="142"/>
      <c r="U10" s="142"/>
      <c r="V10" s="142"/>
      <c r="W10" s="142"/>
      <c r="X10" s="143"/>
      <c r="Y10" s="144"/>
      <c r="Z10" s="145"/>
      <c r="AA10" s="451"/>
      <c r="AD10" s="146">
        <f>7.5</f>
        <v>7.5</v>
      </c>
    </row>
    <row r="11" spans="1:30" s="146" customFormat="1" ht="63" customHeight="1">
      <c r="A11" s="147">
        <v>3</v>
      </c>
      <c r="B11" s="1036" t="s">
        <v>227</v>
      </c>
      <c r="C11" s="1037"/>
      <c r="D11" s="1037"/>
      <c r="E11" s="1037"/>
      <c r="F11" s="1037"/>
      <c r="G11" s="1038"/>
      <c r="H11" s="139">
        <v>40</v>
      </c>
      <c r="I11" s="140"/>
      <c r="J11" s="140"/>
      <c r="K11" s="1039"/>
      <c r="L11" s="1040"/>
      <c r="M11" s="142"/>
      <c r="N11" s="141"/>
      <c r="O11" s="141"/>
      <c r="P11" s="141"/>
      <c r="Q11" s="141"/>
      <c r="R11" s="141"/>
      <c r="S11" s="141"/>
      <c r="T11" s="141"/>
      <c r="U11" s="141"/>
      <c r="V11" s="142"/>
      <c r="W11" s="142"/>
      <c r="X11" s="143"/>
      <c r="Y11" s="144"/>
      <c r="Z11" s="145"/>
      <c r="AA11" s="451"/>
      <c r="AD11" s="146">
        <f>(40/6)*1</f>
        <v>6.666666666666667</v>
      </c>
    </row>
    <row r="12" spans="1:30" s="146" customFormat="1" ht="63" customHeight="1">
      <c r="A12" s="138" t="s">
        <v>70</v>
      </c>
      <c r="B12" s="1066" t="s">
        <v>228</v>
      </c>
      <c r="C12" s="1067"/>
      <c r="D12" s="1067"/>
      <c r="E12" s="1067"/>
      <c r="F12" s="1067"/>
      <c r="G12" s="1068"/>
      <c r="H12" s="139">
        <v>15</v>
      </c>
      <c r="I12" s="140"/>
      <c r="J12" s="140"/>
      <c r="K12" s="1039"/>
      <c r="L12" s="1040"/>
      <c r="M12" s="142"/>
      <c r="N12" s="142"/>
      <c r="O12" s="141"/>
      <c r="P12" s="141"/>
      <c r="Q12" s="141"/>
      <c r="R12" s="141"/>
      <c r="S12" s="141"/>
      <c r="T12" s="141"/>
      <c r="U12" s="141"/>
      <c r="V12" s="141"/>
      <c r="W12" s="142"/>
      <c r="X12" s="1069"/>
      <c r="Y12" s="1069"/>
      <c r="Z12" s="1069"/>
      <c r="AA12" s="451"/>
    </row>
    <row r="13" spans="1:30" s="146" customFormat="1" ht="63" customHeight="1" thickBot="1">
      <c r="A13" s="138" t="s">
        <v>153</v>
      </c>
      <c r="B13" s="1039" t="s">
        <v>229</v>
      </c>
      <c r="C13" s="1130"/>
      <c r="D13" s="1130"/>
      <c r="E13" s="1130"/>
      <c r="F13" s="1130"/>
      <c r="G13" s="1040"/>
      <c r="H13" s="139">
        <v>15</v>
      </c>
      <c r="I13" s="140"/>
      <c r="J13" s="140"/>
      <c r="K13" s="149"/>
      <c r="L13" s="150"/>
      <c r="M13" s="142"/>
      <c r="N13" s="142"/>
      <c r="O13" s="142"/>
      <c r="P13" s="142"/>
      <c r="Q13" s="142"/>
      <c r="R13" s="142"/>
      <c r="S13" s="142"/>
      <c r="T13" s="142"/>
      <c r="U13" s="142"/>
      <c r="V13" s="141"/>
      <c r="W13" s="141"/>
      <c r="X13" s="1116"/>
      <c r="Y13" s="1116"/>
      <c r="Z13" s="1116"/>
      <c r="AA13" s="451"/>
    </row>
    <row r="14" spans="1:30"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2"/>
      <c r="Y14" s="1072"/>
      <c r="Z14" s="1075"/>
      <c r="AA14" s="451"/>
    </row>
    <row r="15" spans="1:30"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8"/>
      <c r="X15" s="1086" t="s">
        <v>76</v>
      </c>
      <c r="Y15" s="1087"/>
      <c r="Z15" s="1088"/>
      <c r="AA15" s="451"/>
    </row>
    <row r="16" spans="1:30" s="20" customFormat="1" ht="29.25" thickTop="1">
      <c r="A16" s="1079"/>
      <c r="B16" s="1047"/>
      <c r="C16" s="1047"/>
      <c r="D16" s="1055"/>
      <c r="E16" s="1095"/>
      <c r="F16" s="1096"/>
      <c r="G16" s="1095"/>
      <c r="H16" s="1101"/>
      <c r="I16" s="1096"/>
      <c r="J16" s="1104" t="s">
        <v>197</v>
      </c>
      <c r="K16" s="1106"/>
      <c r="L16" s="1101"/>
      <c r="M16" s="1101"/>
      <c r="N16" s="1101"/>
      <c r="O16" s="1096"/>
      <c r="P16" s="1089"/>
      <c r="Q16" s="1090"/>
      <c r="R16" s="1090"/>
      <c r="S16" s="1090"/>
      <c r="T16" s="1090"/>
      <c r="U16" s="1090"/>
      <c r="V16" s="1090"/>
      <c r="W16" s="1091"/>
      <c r="X16" s="1089"/>
      <c r="Y16" s="1090"/>
      <c r="Z16" s="1091"/>
    </row>
    <row r="17" spans="1:26"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1"/>
      <c r="X17" s="1089"/>
      <c r="Y17" s="1090"/>
      <c r="Z17" s="1091"/>
    </row>
    <row r="18" spans="1:26"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1"/>
      <c r="X18" s="1089"/>
      <c r="Y18" s="1090"/>
      <c r="Z18" s="1091"/>
    </row>
    <row r="19" spans="1:26"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4"/>
      <c r="X19" s="1092"/>
      <c r="Y19" s="1093"/>
      <c r="Z19" s="1094"/>
    </row>
  </sheetData>
  <mergeCells count="44">
    <mergeCell ref="A15:D19"/>
    <mergeCell ref="E15:I15"/>
    <mergeCell ref="J15:O15"/>
    <mergeCell ref="P15:W19"/>
    <mergeCell ref="X13:Z13"/>
    <mergeCell ref="X15:Z19"/>
    <mergeCell ref="E16:F19"/>
    <mergeCell ref="G16:I19"/>
    <mergeCell ref="J16:J17"/>
    <mergeCell ref="K16:O17"/>
    <mergeCell ref="J18:J19"/>
    <mergeCell ref="K18:O19"/>
    <mergeCell ref="K6:W6"/>
    <mergeCell ref="X6:Z8"/>
    <mergeCell ref="K7:W7"/>
    <mergeCell ref="K8:L8"/>
    <mergeCell ref="A14:Z14"/>
    <mergeCell ref="B9:G9"/>
    <mergeCell ref="K9:L9"/>
    <mergeCell ref="X9:Z9"/>
    <mergeCell ref="B10:G10"/>
    <mergeCell ref="K10:L10"/>
    <mergeCell ref="B11:G11"/>
    <mergeCell ref="K11:L11"/>
    <mergeCell ref="B12:G12"/>
    <mergeCell ref="K12:L12"/>
    <mergeCell ref="X12:Z12"/>
    <mergeCell ref="B13:G13"/>
    <mergeCell ref="A1:Z1"/>
    <mergeCell ref="AA1:AA15"/>
    <mergeCell ref="A2:Z2"/>
    <mergeCell ref="A3:E3"/>
    <mergeCell ref="F3:G3"/>
    <mergeCell ref="H3:Z4"/>
    <mergeCell ref="A4:E4"/>
    <mergeCell ref="F4:G4"/>
    <mergeCell ref="A5:E5"/>
    <mergeCell ref="F5:G5"/>
    <mergeCell ref="H5:Z5"/>
    <mergeCell ref="A6:A8"/>
    <mergeCell ref="B6:G8"/>
    <mergeCell ref="H6:H8"/>
    <mergeCell ref="I6:I8"/>
    <mergeCell ref="J6:J8"/>
  </mergeCells>
  <printOptions horizontalCentered="1" verticalCentered="1"/>
  <pageMargins left="0.25" right="0.25" top="0.75" bottom="0.75" header="0.3" footer="0.3"/>
  <pageSetup paperSize="9" scale="38" orientation="landscape"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2A539-23D4-4916-B88B-68B91AEE6D25}">
  <dimension ref="A1:AD19"/>
  <sheetViews>
    <sheetView rightToLeft="1" zoomScale="70" zoomScaleNormal="70" workbookViewId="0">
      <selection activeCell="AD11" sqref="AD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2.85546875" style="21" customWidth="1"/>
    <col min="11" max="11" width="6.7109375" style="21" customWidth="1"/>
    <col min="12"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30"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30"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30" s="3" customFormat="1" ht="29.25" thickTop="1">
      <c r="A3" s="656" t="s">
        <v>215</v>
      </c>
      <c r="B3" s="657"/>
      <c r="C3" s="657"/>
      <c r="D3" s="657"/>
      <c r="E3" s="658"/>
      <c r="F3" s="659" t="s">
        <v>178</v>
      </c>
      <c r="G3" s="660"/>
      <c r="H3" s="661" t="s">
        <v>216</v>
      </c>
      <c r="I3" s="662"/>
      <c r="J3" s="662"/>
      <c r="K3" s="662"/>
      <c r="L3" s="662"/>
      <c r="M3" s="662"/>
      <c r="N3" s="662"/>
      <c r="O3" s="662"/>
      <c r="P3" s="662"/>
      <c r="Q3" s="662"/>
      <c r="R3" s="662"/>
      <c r="S3" s="662"/>
      <c r="T3" s="662"/>
      <c r="U3" s="662"/>
      <c r="V3" s="662"/>
      <c r="W3" s="662"/>
      <c r="X3" s="662"/>
      <c r="Y3" s="662"/>
      <c r="Z3" s="663"/>
      <c r="AA3" s="451"/>
    </row>
    <row r="4" spans="1:30"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30" s="3" customFormat="1" ht="29.25" thickBot="1">
      <c r="A5" s="672" t="s">
        <v>182</v>
      </c>
      <c r="B5" s="673"/>
      <c r="C5" s="673"/>
      <c r="D5" s="673"/>
      <c r="E5" s="674"/>
      <c r="F5" s="675" t="s">
        <v>183</v>
      </c>
      <c r="G5" s="675"/>
      <c r="H5" s="676" t="s">
        <v>184</v>
      </c>
      <c r="I5" s="677"/>
      <c r="J5" s="677"/>
      <c r="K5" s="677"/>
      <c r="L5" s="677"/>
      <c r="M5" s="677"/>
      <c r="N5" s="677"/>
      <c r="O5" s="677"/>
      <c r="P5" s="677"/>
      <c r="Q5" s="677"/>
      <c r="R5" s="677"/>
      <c r="S5" s="677"/>
      <c r="T5" s="677"/>
      <c r="U5" s="677"/>
      <c r="V5" s="677"/>
      <c r="W5" s="677"/>
      <c r="X5" s="677"/>
      <c r="Y5" s="677"/>
      <c r="Z5" s="678"/>
      <c r="AA5" s="451"/>
    </row>
    <row r="6" spans="1:30"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30"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30" ht="55.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30" s="146" customFormat="1" ht="63" customHeight="1">
      <c r="A9" s="138" t="s">
        <v>28</v>
      </c>
      <c r="B9" s="1131" t="s">
        <v>217</v>
      </c>
      <c r="C9" s="1132"/>
      <c r="D9" s="1132"/>
      <c r="E9" s="1132"/>
      <c r="F9" s="1132"/>
      <c r="G9" s="1133"/>
      <c r="H9" s="139">
        <v>15</v>
      </c>
      <c r="I9" s="140"/>
      <c r="J9" s="140"/>
      <c r="K9" s="1134"/>
      <c r="L9" s="1135"/>
      <c r="M9" s="152"/>
      <c r="N9" s="152"/>
      <c r="O9" s="152"/>
      <c r="P9" s="142"/>
      <c r="Q9" s="142"/>
      <c r="R9" s="142"/>
      <c r="S9" s="142"/>
      <c r="T9" s="142"/>
      <c r="U9" s="142"/>
      <c r="V9" s="142"/>
      <c r="W9" s="142"/>
      <c r="X9" s="1063"/>
      <c r="Y9" s="1064"/>
      <c r="Z9" s="1065"/>
      <c r="AA9" s="451"/>
      <c r="AD9" s="146">
        <f>(15/4)*3</f>
        <v>11.25</v>
      </c>
    </row>
    <row r="10" spans="1:30" s="146" customFormat="1" ht="63" customHeight="1">
      <c r="A10" s="138" t="s">
        <v>66</v>
      </c>
      <c r="B10" s="1136" t="s">
        <v>218</v>
      </c>
      <c r="C10" s="1137"/>
      <c r="D10" s="1137"/>
      <c r="E10" s="1137"/>
      <c r="F10" s="1137"/>
      <c r="G10" s="1138"/>
      <c r="H10" s="139">
        <v>15</v>
      </c>
      <c r="I10" s="140"/>
      <c r="J10" s="140"/>
      <c r="K10" s="1039"/>
      <c r="L10" s="1040"/>
      <c r="M10" s="142"/>
      <c r="N10" s="152"/>
      <c r="O10" s="152"/>
      <c r="P10" s="152"/>
      <c r="Q10" s="142"/>
      <c r="R10" s="142"/>
      <c r="S10" s="142"/>
      <c r="T10" s="142"/>
      <c r="U10" s="142"/>
      <c r="V10" s="142"/>
      <c r="W10" s="142"/>
      <c r="X10" s="143"/>
      <c r="Y10" s="144"/>
      <c r="Z10" s="145"/>
      <c r="AA10" s="451"/>
      <c r="AD10" s="146">
        <f>(15/3)*1</f>
        <v>5</v>
      </c>
    </row>
    <row r="11" spans="1:30" s="146" customFormat="1" ht="63" customHeight="1">
      <c r="A11" s="147">
        <v>3</v>
      </c>
      <c r="B11" s="1131" t="s">
        <v>219</v>
      </c>
      <c r="C11" s="1132"/>
      <c r="D11" s="1132"/>
      <c r="E11" s="1132"/>
      <c r="F11" s="1132"/>
      <c r="G11" s="1133"/>
      <c r="H11" s="139">
        <v>15</v>
      </c>
      <c r="I11" s="140"/>
      <c r="J11" s="140"/>
      <c r="K11" s="1039"/>
      <c r="L11" s="1040"/>
      <c r="M11" s="142"/>
      <c r="N11" s="142"/>
      <c r="O11" s="152"/>
      <c r="P11" s="152"/>
      <c r="Q11" s="152"/>
      <c r="R11" s="142"/>
      <c r="S11" s="142"/>
      <c r="T11" s="142"/>
      <c r="U11" s="142"/>
      <c r="V11" s="142"/>
      <c r="W11" s="142"/>
      <c r="X11" s="143"/>
      <c r="Y11" s="144"/>
      <c r="Z11" s="145"/>
      <c r="AA11" s="451"/>
    </row>
    <row r="12" spans="1:30" s="146" customFormat="1" ht="63" customHeight="1">
      <c r="A12" s="138" t="s">
        <v>70</v>
      </c>
      <c r="B12" s="1136" t="s">
        <v>220</v>
      </c>
      <c r="C12" s="1137"/>
      <c r="D12" s="1137"/>
      <c r="E12" s="1137"/>
      <c r="F12" s="1137"/>
      <c r="G12" s="1138"/>
      <c r="H12" s="139">
        <v>45</v>
      </c>
      <c r="I12" s="140" t="s">
        <v>221</v>
      </c>
      <c r="J12" s="140"/>
      <c r="K12" s="1039"/>
      <c r="L12" s="1040"/>
      <c r="M12" s="142"/>
      <c r="N12" s="142"/>
      <c r="O12" s="142"/>
      <c r="P12" s="152"/>
      <c r="Q12" s="152"/>
      <c r="R12" s="152"/>
      <c r="S12" s="152"/>
      <c r="T12" s="152"/>
      <c r="U12" s="152"/>
      <c r="V12" s="152"/>
      <c r="W12" s="142"/>
      <c r="X12" s="1069"/>
      <c r="Y12" s="1069"/>
      <c r="Z12" s="1069"/>
      <c r="AA12" s="451"/>
    </row>
    <row r="13" spans="1:30" s="146" customFormat="1" ht="63" customHeight="1" thickBot="1">
      <c r="A13" s="138" t="s">
        <v>153</v>
      </c>
      <c r="B13" s="1139" t="s">
        <v>222</v>
      </c>
      <c r="C13" s="1140"/>
      <c r="D13" s="1140"/>
      <c r="E13" s="1140"/>
      <c r="F13" s="1140"/>
      <c r="G13" s="1141"/>
      <c r="H13" s="139">
        <v>10</v>
      </c>
      <c r="I13" s="140"/>
      <c r="J13" s="140"/>
      <c r="K13" s="149"/>
      <c r="L13" s="150"/>
      <c r="M13" s="142"/>
      <c r="N13" s="142"/>
      <c r="O13" s="142"/>
      <c r="P13" s="142"/>
      <c r="Q13" s="142"/>
      <c r="R13" s="142"/>
      <c r="S13" s="142"/>
      <c r="T13" s="142"/>
      <c r="U13" s="152"/>
      <c r="V13" s="152"/>
      <c r="W13" s="152"/>
      <c r="X13" s="1116"/>
      <c r="Y13" s="1116"/>
      <c r="Z13" s="1116"/>
      <c r="AA13" s="451"/>
    </row>
    <row r="14" spans="1:30"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2"/>
      <c r="Y14" s="1072"/>
      <c r="Z14" s="1075"/>
      <c r="AA14" s="451"/>
    </row>
    <row r="15" spans="1:30"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8"/>
      <c r="X15" s="1086" t="s">
        <v>76</v>
      </c>
      <c r="Y15" s="1087"/>
      <c r="Z15" s="1088"/>
      <c r="AA15" s="451"/>
    </row>
    <row r="16" spans="1:30" s="20" customFormat="1" ht="29.25" thickTop="1">
      <c r="A16" s="1079"/>
      <c r="B16" s="1047"/>
      <c r="C16" s="1047"/>
      <c r="D16" s="1055"/>
      <c r="E16" s="1095"/>
      <c r="F16" s="1096"/>
      <c r="G16" s="1095"/>
      <c r="H16" s="1101"/>
      <c r="I16" s="1096"/>
      <c r="J16" s="1104" t="s">
        <v>197</v>
      </c>
      <c r="K16" s="1106"/>
      <c r="L16" s="1101"/>
      <c r="M16" s="1101"/>
      <c r="N16" s="1101"/>
      <c r="O16" s="1096"/>
      <c r="P16" s="1089"/>
      <c r="Q16" s="1090"/>
      <c r="R16" s="1090"/>
      <c r="S16" s="1090"/>
      <c r="T16" s="1090"/>
      <c r="U16" s="1090"/>
      <c r="V16" s="1090"/>
      <c r="W16" s="1091"/>
      <c r="X16" s="1089"/>
      <c r="Y16" s="1090"/>
      <c r="Z16" s="1091"/>
    </row>
    <row r="17" spans="1:26"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1"/>
      <c r="X17" s="1089"/>
      <c r="Y17" s="1090"/>
      <c r="Z17" s="1091"/>
    </row>
    <row r="18" spans="1:26"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1"/>
      <c r="X18" s="1089"/>
      <c r="Y18" s="1090"/>
      <c r="Z18" s="1091"/>
    </row>
    <row r="19" spans="1:26"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4"/>
      <c r="X19" s="1092"/>
      <c r="Y19" s="1093"/>
      <c r="Z19" s="1094"/>
    </row>
  </sheetData>
  <mergeCells count="44">
    <mergeCell ref="A15:D19"/>
    <mergeCell ref="E15:I15"/>
    <mergeCell ref="J15:O15"/>
    <mergeCell ref="P15:W19"/>
    <mergeCell ref="X13:Z13"/>
    <mergeCell ref="X15:Z19"/>
    <mergeCell ref="E16:F19"/>
    <mergeCell ref="G16:I19"/>
    <mergeCell ref="J16:J17"/>
    <mergeCell ref="K16:O17"/>
    <mergeCell ref="J18:J19"/>
    <mergeCell ref="K18:O19"/>
    <mergeCell ref="K6:W6"/>
    <mergeCell ref="X6:Z8"/>
    <mergeCell ref="K7:W7"/>
    <mergeCell ref="K8:L8"/>
    <mergeCell ref="A14:Z14"/>
    <mergeCell ref="B9:G9"/>
    <mergeCell ref="K9:L9"/>
    <mergeCell ref="X9:Z9"/>
    <mergeCell ref="B10:G10"/>
    <mergeCell ref="K10:L10"/>
    <mergeCell ref="B11:G11"/>
    <mergeCell ref="K11:L11"/>
    <mergeCell ref="B12:G12"/>
    <mergeCell ref="K12:L12"/>
    <mergeCell ref="X12:Z12"/>
    <mergeCell ref="B13:G13"/>
    <mergeCell ref="A1:Z1"/>
    <mergeCell ref="AA1:AA15"/>
    <mergeCell ref="A2:Z2"/>
    <mergeCell ref="A3:E3"/>
    <mergeCell ref="F3:G3"/>
    <mergeCell ref="H3:Z4"/>
    <mergeCell ref="A4:E4"/>
    <mergeCell ref="F4:G4"/>
    <mergeCell ref="A5:E5"/>
    <mergeCell ref="F5:G5"/>
    <mergeCell ref="H5:Z5"/>
    <mergeCell ref="A6:A8"/>
    <mergeCell ref="B6:G8"/>
    <mergeCell ref="H6:H8"/>
    <mergeCell ref="I6:I8"/>
    <mergeCell ref="J6:J8"/>
  </mergeCells>
  <printOptions horizontalCentered="1" verticalCentered="1"/>
  <pageMargins left="0.25" right="0.25" top="0.75" bottom="0.75" header="0.3" footer="0.3"/>
  <pageSetup paperSize="9" scale="38" orientation="landscape"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2E8C-A53B-4AF5-93B7-565A6ABD55E1}">
  <dimension ref="A1:AD19"/>
  <sheetViews>
    <sheetView rightToLeft="1" zoomScale="70" zoomScaleNormal="70" workbookViewId="0">
      <selection activeCell="AD12" sqref="AD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2.85546875" style="21" customWidth="1"/>
    <col min="11" max="11" width="6.7109375" style="21" customWidth="1"/>
    <col min="12"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30"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30"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30" s="3" customFormat="1" ht="29.25" thickTop="1">
      <c r="A3" s="656" t="s">
        <v>208</v>
      </c>
      <c r="B3" s="657"/>
      <c r="C3" s="657"/>
      <c r="D3" s="657"/>
      <c r="E3" s="658"/>
      <c r="F3" s="659" t="s">
        <v>178</v>
      </c>
      <c r="G3" s="660"/>
      <c r="H3" s="661" t="s">
        <v>209</v>
      </c>
      <c r="I3" s="662"/>
      <c r="J3" s="662"/>
      <c r="K3" s="662"/>
      <c r="L3" s="662"/>
      <c r="M3" s="662"/>
      <c r="N3" s="662"/>
      <c r="O3" s="662"/>
      <c r="P3" s="662"/>
      <c r="Q3" s="662"/>
      <c r="R3" s="662"/>
      <c r="S3" s="662"/>
      <c r="T3" s="662"/>
      <c r="U3" s="662"/>
      <c r="V3" s="662"/>
      <c r="W3" s="662"/>
      <c r="X3" s="662"/>
      <c r="Y3" s="662"/>
      <c r="Z3" s="663"/>
      <c r="AA3" s="451"/>
    </row>
    <row r="4" spans="1:30"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30" s="3" customFormat="1" ht="29.25" thickBot="1">
      <c r="A5" s="672" t="s">
        <v>182</v>
      </c>
      <c r="B5" s="673"/>
      <c r="C5" s="673"/>
      <c r="D5" s="673"/>
      <c r="E5" s="674"/>
      <c r="F5" s="675" t="s">
        <v>183</v>
      </c>
      <c r="G5" s="675"/>
      <c r="H5" s="676" t="s">
        <v>184</v>
      </c>
      <c r="I5" s="677"/>
      <c r="J5" s="677"/>
      <c r="K5" s="677"/>
      <c r="L5" s="677"/>
      <c r="M5" s="677"/>
      <c r="N5" s="677"/>
      <c r="O5" s="677"/>
      <c r="P5" s="677"/>
      <c r="Q5" s="677"/>
      <c r="R5" s="677"/>
      <c r="S5" s="677"/>
      <c r="T5" s="677"/>
      <c r="U5" s="677"/>
      <c r="V5" s="677"/>
      <c r="W5" s="677"/>
      <c r="X5" s="677"/>
      <c r="Y5" s="677"/>
      <c r="Z5" s="678"/>
      <c r="AA5" s="451"/>
    </row>
    <row r="6" spans="1:30"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30"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30" ht="55.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30" s="146" customFormat="1" ht="63" customHeight="1">
      <c r="A9" s="138" t="s">
        <v>28</v>
      </c>
      <c r="B9" s="1036" t="s">
        <v>210</v>
      </c>
      <c r="C9" s="1037"/>
      <c r="D9" s="1037"/>
      <c r="E9" s="1037"/>
      <c r="F9" s="1037"/>
      <c r="G9" s="1038"/>
      <c r="H9" s="139">
        <v>20</v>
      </c>
      <c r="I9" s="140"/>
      <c r="J9" s="140"/>
      <c r="K9" s="1128"/>
      <c r="L9" s="1129"/>
      <c r="M9" s="141"/>
      <c r="N9" s="141"/>
      <c r="O9" s="142"/>
      <c r="P9" s="142"/>
      <c r="Q9" s="142"/>
      <c r="R9" s="142"/>
      <c r="S9" s="142"/>
      <c r="T9" s="142"/>
      <c r="U9" s="142"/>
      <c r="V9" s="142"/>
      <c r="W9" s="142"/>
      <c r="X9" s="1063"/>
      <c r="Y9" s="1064"/>
      <c r="Z9" s="1065"/>
      <c r="AA9" s="451"/>
      <c r="AD9" s="146">
        <v>20</v>
      </c>
    </row>
    <row r="10" spans="1:30" s="146" customFormat="1" ht="63" customHeight="1">
      <c r="A10" s="138" t="s">
        <v>66</v>
      </c>
      <c r="B10" s="1066" t="s">
        <v>211</v>
      </c>
      <c r="C10" s="1067"/>
      <c r="D10" s="1067"/>
      <c r="E10" s="1067"/>
      <c r="F10" s="1067"/>
      <c r="G10" s="1068"/>
      <c r="H10" s="139">
        <v>10</v>
      </c>
      <c r="I10" s="140"/>
      <c r="J10" s="140"/>
      <c r="K10" s="1039"/>
      <c r="L10" s="1040"/>
      <c r="M10" s="141"/>
      <c r="N10" s="141"/>
      <c r="O10" s="141"/>
      <c r="P10" s="142"/>
      <c r="Q10" s="142"/>
      <c r="R10" s="142"/>
      <c r="S10" s="142"/>
      <c r="T10" s="142"/>
      <c r="U10" s="142"/>
      <c r="V10" s="142"/>
      <c r="W10" s="142"/>
      <c r="X10" s="143"/>
      <c r="Y10" s="144"/>
      <c r="Z10" s="145"/>
      <c r="AA10" s="451"/>
      <c r="AD10" s="146">
        <f>(10/3)*2</f>
        <v>6.666666666666667</v>
      </c>
    </row>
    <row r="11" spans="1:30" s="146" customFormat="1" ht="63" customHeight="1">
      <c r="A11" s="147">
        <v>3</v>
      </c>
      <c r="B11" s="1036" t="s">
        <v>212</v>
      </c>
      <c r="C11" s="1037"/>
      <c r="D11" s="1037"/>
      <c r="E11" s="1037"/>
      <c r="F11" s="1037"/>
      <c r="G11" s="1038"/>
      <c r="H11" s="139">
        <v>20</v>
      </c>
      <c r="I11" s="140"/>
      <c r="J11" s="140"/>
      <c r="K11" s="1039"/>
      <c r="L11" s="1040"/>
      <c r="M11" s="142"/>
      <c r="N11" s="141"/>
      <c r="O11" s="141"/>
      <c r="P11" s="141"/>
      <c r="Q11" s="141"/>
      <c r="R11" s="142"/>
      <c r="S11" s="142"/>
      <c r="T11" s="142"/>
      <c r="U11" s="142"/>
      <c r="V11" s="142"/>
      <c r="W11" s="142"/>
      <c r="X11" s="143"/>
      <c r="Y11" s="144"/>
      <c r="Z11" s="145"/>
      <c r="AA11" s="451"/>
      <c r="AD11" s="146">
        <f>(20/4)*1</f>
        <v>5</v>
      </c>
    </row>
    <row r="12" spans="1:30" s="146" customFormat="1" ht="63" customHeight="1">
      <c r="A12" s="138" t="s">
        <v>70</v>
      </c>
      <c r="B12" s="1066" t="s">
        <v>213</v>
      </c>
      <c r="C12" s="1067"/>
      <c r="D12" s="1067"/>
      <c r="E12" s="1067"/>
      <c r="F12" s="1067"/>
      <c r="G12" s="1068"/>
      <c r="H12" s="139">
        <v>35</v>
      </c>
      <c r="I12" s="140"/>
      <c r="J12" s="140"/>
      <c r="K12" s="1039"/>
      <c r="L12" s="1040"/>
      <c r="M12" s="142"/>
      <c r="N12" s="142"/>
      <c r="O12" s="141"/>
      <c r="P12" s="141"/>
      <c r="Q12" s="141"/>
      <c r="R12" s="141"/>
      <c r="S12" s="141"/>
      <c r="T12" s="141"/>
      <c r="U12" s="141"/>
      <c r="V12" s="141"/>
      <c r="W12" s="142"/>
      <c r="X12" s="1069"/>
      <c r="Y12" s="1069"/>
      <c r="Z12" s="1069"/>
      <c r="AA12" s="451"/>
    </row>
    <row r="13" spans="1:30" s="146" customFormat="1" ht="63" customHeight="1" thickBot="1">
      <c r="A13" s="138" t="s">
        <v>153</v>
      </c>
      <c r="B13" s="1039" t="s">
        <v>214</v>
      </c>
      <c r="C13" s="1130"/>
      <c r="D13" s="1130"/>
      <c r="E13" s="1130"/>
      <c r="F13" s="1130"/>
      <c r="G13" s="1040"/>
      <c r="H13" s="139">
        <v>15</v>
      </c>
      <c r="I13" s="140"/>
      <c r="J13" s="140"/>
      <c r="K13" s="149"/>
      <c r="L13" s="150"/>
      <c r="M13" s="142"/>
      <c r="N13" s="142"/>
      <c r="O13" s="142"/>
      <c r="P13" s="141"/>
      <c r="Q13" s="141"/>
      <c r="R13" s="141"/>
      <c r="S13" s="141"/>
      <c r="T13" s="141"/>
      <c r="U13" s="141"/>
      <c r="V13" s="141"/>
      <c r="W13" s="141"/>
      <c r="X13" s="1116"/>
      <c r="Y13" s="1116"/>
      <c r="Z13" s="1116"/>
      <c r="AA13" s="451"/>
    </row>
    <row r="14" spans="1:30"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2"/>
      <c r="Y14" s="1072"/>
      <c r="Z14" s="1075"/>
      <c r="AA14" s="451"/>
    </row>
    <row r="15" spans="1:30"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8"/>
      <c r="X15" s="1086" t="s">
        <v>76</v>
      </c>
      <c r="Y15" s="1087"/>
      <c r="Z15" s="1088"/>
      <c r="AA15" s="451"/>
    </row>
    <row r="16" spans="1:30" s="20" customFormat="1" ht="29.25" thickTop="1">
      <c r="A16" s="1079"/>
      <c r="B16" s="1047"/>
      <c r="C16" s="1047"/>
      <c r="D16" s="1055"/>
      <c r="E16" s="1095"/>
      <c r="F16" s="1096"/>
      <c r="G16" s="1095"/>
      <c r="H16" s="1101"/>
      <c r="I16" s="1096"/>
      <c r="J16" s="1104" t="s">
        <v>197</v>
      </c>
      <c r="K16" s="1106"/>
      <c r="L16" s="1101"/>
      <c r="M16" s="1101"/>
      <c r="N16" s="1101"/>
      <c r="O16" s="1096"/>
      <c r="P16" s="1089"/>
      <c r="Q16" s="1090"/>
      <c r="R16" s="1090"/>
      <c r="S16" s="1090"/>
      <c r="T16" s="1090"/>
      <c r="U16" s="1090"/>
      <c r="V16" s="1090"/>
      <c r="W16" s="1091"/>
      <c r="X16" s="1089"/>
      <c r="Y16" s="1090"/>
      <c r="Z16" s="1091"/>
    </row>
    <row r="17" spans="1:26"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1"/>
      <c r="X17" s="1089"/>
      <c r="Y17" s="1090"/>
      <c r="Z17" s="1091"/>
    </row>
    <row r="18" spans="1:26"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1"/>
      <c r="X18" s="1089"/>
      <c r="Y18" s="1090"/>
      <c r="Z18" s="1091"/>
    </row>
    <row r="19" spans="1:26"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4"/>
      <c r="X19" s="1092"/>
      <c r="Y19" s="1093"/>
      <c r="Z19" s="1094"/>
    </row>
  </sheetData>
  <mergeCells count="44">
    <mergeCell ref="A15:D19"/>
    <mergeCell ref="E15:I15"/>
    <mergeCell ref="J15:O15"/>
    <mergeCell ref="P15:W19"/>
    <mergeCell ref="X13:Z13"/>
    <mergeCell ref="X15:Z19"/>
    <mergeCell ref="E16:F19"/>
    <mergeCell ref="G16:I19"/>
    <mergeCell ref="J16:J17"/>
    <mergeCell ref="K16:O17"/>
    <mergeCell ref="J18:J19"/>
    <mergeCell ref="K18:O19"/>
    <mergeCell ref="K6:W6"/>
    <mergeCell ref="X6:Z8"/>
    <mergeCell ref="K7:W7"/>
    <mergeCell ref="K8:L8"/>
    <mergeCell ref="A14:Z14"/>
    <mergeCell ref="B9:G9"/>
    <mergeCell ref="K9:L9"/>
    <mergeCell ref="X9:Z9"/>
    <mergeCell ref="B10:G10"/>
    <mergeCell ref="K10:L10"/>
    <mergeCell ref="B11:G11"/>
    <mergeCell ref="K11:L11"/>
    <mergeCell ref="B12:G12"/>
    <mergeCell ref="K12:L12"/>
    <mergeCell ref="X12:Z12"/>
    <mergeCell ref="B13:G13"/>
    <mergeCell ref="A1:Z1"/>
    <mergeCell ref="AA1:AA15"/>
    <mergeCell ref="A2:Z2"/>
    <mergeCell ref="A3:E3"/>
    <mergeCell ref="F3:G3"/>
    <mergeCell ref="H3:Z4"/>
    <mergeCell ref="A4:E4"/>
    <mergeCell ref="F4:G4"/>
    <mergeCell ref="A5:E5"/>
    <mergeCell ref="F5:G5"/>
    <mergeCell ref="H5:Z5"/>
    <mergeCell ref="A6:A8"/>
    <mergeCell ref="B6:G8"/>
    <mergeCell ref="H6:H8"/>
    <mergeCell ref="I6:I8"/>
    <mergeCell ref="J6:J8"/>
  </mergeCells>
  <printOptions horizontalCentered="1" verticalCentered="1"/>
  <pageMargins left="0.25" right="0.25" top="0.75" bottom="0.75" header="0.3" footer="0.3"/>
  <pageSetup paperSize="9" scale="38" orientation="landscape"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772F8-5F10-4269-8F20-EFD6434C8F77}">
  <dimension ref="A1:AD19"/>
  <sheetViews>
    <sheetView rightToLeft="1" zoomScale="70" zoomScaleNormal="70" workbookViewId="0">
      <selection activeCell="AD10" sqref="AD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2.85546875" style="21" customWidth="1"/>
    <col min="11" max="11" width="6.7109375" style="21" customWidth="1"/>
    <col min="12"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30"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30"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30" s="3" customFormat="1" ht="29.25" thickTop="1">
      <c r="A3" s="656" t="s">
        <v>199</v>
      </c>
      <c r="B3" s="657"/>
      <c r="C3" s="657"/>
      <c r="D3" s="657"/>
      <c r="E3" s="658"/>
      <c r="F3" s="659" t="s">
        <v>178</v>
      </c>
      <c r="G3" s="660"/>
      <c r="H3" s="661" t="s">
        <v>200</v>
      </c>
      <c r="I3" s="662"/>
      <c r="J3" s="662"/>
      <c r="K3" s="662"/>
      <c r="L3" s="662"/>
      <c r="M3" s="662"/>
      <c r="N3" s="662"/>
      <c r="O3" s="662"/>
      <c r="P3" s="662"/>
      <c r="Q3" s="662"/>
      <c r="R3" s="662"/>
      <c r="S3" s="662"/>
      <c r="T3" s="662"/>
      <c r="U3" s="662"/>
      <c r="V3" s="662"/>
      <c r="W3" s="662"/>
      <c r="X3" s="662"/>
      <c r="Y3" s="662"/>
      <c r="Z3" s="663"/>
      <c r="AA3" s="451"/>
    </row>
    <row r="4" spans="1:30"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30" s="3" customFormat="1" ht="29.25" thickBot="1">
      <c r="A5" s="672" t="s">
        <v>182</v>
      </c>
      <c r="B5" s="673"/>
      <c r="C5" s="673"/>
      <c r="D5" s="673"/>
      <c r="E5" s="674"/>
      <c r="F5" s="675" t="s">
        <v>183</v>
      </c>
      <c r="G5" s="675"/>
      <c r="H5" s="676" t="s">
        <v>184</v>
      </c>
      <c r="I5" s="677"/>
      <c r="J5" s="677"/>
      <c r="K5" s="677"/>
      <c r="L5" s="677"/>
      <c r="M5" s="677"/>
      <c r="N5" s="677"/>
      <c r="O5" s="677"/>
      <c r="P5" s="677"/>
      <c r="Q5" s="677"/>
      <c r="R5" s="677"/>
      <c r="S5" s="677"/>
      <c r="T5" s="677"/>
      <c r="U5" s="677"/>
      <c r="V5" s="677"/>
      <c r="W5" s="677"/>
      <c r="X5" s="677"/>
      <c r="Y5" s="677"/>
      <c r="Z5" s="678"/>
      <c r="AA5" s="451"/>
    </row>
    <row r="6" spans="1:30"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30"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30" ht="55.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30" s="146" customFormat="1" ht="63" customHeight="1">
      <c r="A9" s="138" t="s">
        <v>28</v>
      </c>
      <c r="B9" s="1036" t="s">
        <v>201</v>
      </c>
      <c r="C9" s="1037"/>
      <c r="D9" s="1037"/>
      <c r="E9" s="1037"/>
      <c r="F9" s="1037"/>
      <c r="G9" s="1038"/>
      <c r="H9" s="139">
        <v>30</v>
      </c>
      <c r="I9" s="140"/>
      <c r="J9" s="140"/>
      <c r="K9" s="1128"/>
      <c r="L9" s="1129"/>
      <c r="M9" s="141"/>
      <c r="N9" s="141"/>
      <c r="O9" s="141"/>
      <c r="P9" s="141"/>
      <c r="Q9" s="142"/>
      <c r="R9" s="142"/>
      <c r="S9" s="142"/>
      <c r="T9" s="142"/>
      <c r="U9" s="142"/>
      <c r="V9" s="142"/>
      <c r="W9" s="142"/>
      <c r="X9" s="1063"/>
      <c r="Y9" s="1064"/>
      <c r="Z9" s="1065"/>
      <c r="AA9" s="451"/>
      <c r="AD9" s="146">
        <f>(30/5)*3</f>
        <v>18</v>
      </c>
    </row>
    <row r="10" spans="1:30" s="146" customFormat="1" ht="63" customHeight="1">
      <c r="A10" s="138" t="s">
        <v>66</v>
      </c>
      <c r="B10" s="1066" t="s">
        <v>202</v>
      </c>
      <c r="C10" s="1067"/>
      <c r="D10" s="1067"/>
      <c r="E10" s="1067"/>
      <c r="F10" s="1067"/>
      <c r="G10" s="1068"/>
      <c r="H10" s="139">
        <v>10</v>
      </c>
      <c r="I10" s="140" t="s">
        <v>203</v>
      </c>
      <c r="J10" s="140"/>
      <c r="K10" s="1039"/>
      <c r="L10" s="1040"/>
      <c r="M10" s="142"/>
      <c r="N10" s="142"/>
      <c r="O10" s="142"/>
      <c r="P10" s="141"/>
      <c r="Q10" s="141"/>
      <c r="R10" s="141"/>
      <c r="S10" s="142"/>
      <c r="T10" s="142"/>
      <c r="U10" s="142"/>
      <c r="V10" s="142"/>
      <c r="W10" s="142"/>
      <c r="X10" s="143"/>
      <c r="Y10" s="144"/>
      <c r="Z10" s="145"/>
      <c r="AA10" s="451"/>
    </row>
    <row r="11" spans="1:30" s="146" customFormat="1" ht="63" customHeight="1">
      <c r="A11" s="147">
        <v>3</v>
      </c>
      <c r="B11" s="1036" t="s">
        <v>204</v>
      </c>
      <c r="C11" s="1037"/>
      <c r="D11" s="1037"/>
      <c r="E11" s="1037"/>
      <c r="F11" s="1037"/>
      <c r="G11" s="1038"/>
      <c r="H11" s="139">
        <v>20</v>
      </c>
      <c r="I11" s="140" t="s">
        <v>205</v>
      </c>
      <c r="J11" s="140"/>
      <c r="K11" s="1039"/>
      <c r="L11" s="1040"/>
      <c r="M11" s="142"/>
      <c r="N11" s="142"/>
      <c r="O11" s="142"/>
      <c r="P11" s="142"/>
      <c r="Q11" s="141"/>
      <c r="R11" s="141"/>
      <c r="S11" s="141"/>
      <c r="T11" s="142"/>
      <c r="U11" s="142"/>
      <c r="V11" s="142"/>
      <c r="W11" s="142"/>
      <c r="X11" s="143"/>
      <c r="Y11" s="144"/>
      <c r="Z11" s="145"/>
      <c r="AA11" s="451"/>
    </row>
    <row r="12" spans="1:30" s="146" customFormat="1" ht="63" customHeight="1">
      <c r="A12" s="138" t="s">
        <v>70</v>
      </c>
      <c r="B12" s="1066" t="s">
        <v>206</v>
      </c>
      <c r="C12" s="1067"/>
      <c r="D12" s="1067"/>
      <c r="E12" s="1067"/>
      <c r="F12" s="1067"/>
      <c r="G12" s="1068"/>
      <c r="H12" s="139">
        <v>10</v>
      </c>
      <c r="I12" s="140" t="s">
        <v>203</v>
      </c>
      <c r="J12" s="140"/>
      <c r="K12" s="1039"/>
      <c r="L12" s="1040"/>
      <c r="M12" s="142"/>
      <c r="N12" s="142"/>
      <c r="O12" s="142"/>
      <c r="P12" s="142"/>
      <c r="Q12" s="142"/>
      <c r="R12" s="142"/>
      <c r="S12" s="141"/>
      <c r="T12" s="141"/>
      <c r="U12" s="141"/>
      <c r="V12" s="142"/>
      <c r="W12" s="142"/>
      <c r="X12" s="1069"/>
      <c r="Y12" s="1069"/>
      <c r="Z12" s="1069"/>
      <c r="AA12" s="451"/>
    </row>
    <row r="13" spans="1:30" s="146" customFormat="1" ht="63" customHeight="1" thickBot="1">
      <c r="A13" s="138" t="s">
        <v>153</v>
      </c>
      <c r="B13" s="1039" t="s">
        <v>207</v>
      </c>
      <c r="C13" s="1130"/>
      <c r="D13" s="1130"/>
      <c r="E13" s="1130"/>
      <c r="F13" s="1130"/>
      <c r="G13" s="1040"/>
      <c r="H13" s="139">
        <v>30</v>
      </c>
      <c r="I13" s="140"/>
      <c r="J13" s="140"/>
      <c r="K13" s="149"/>
      <c r="L13" s="150"/>
      <c r="M13" s="142"/>
      <c r="N13" s="142"/>
      <c r="O13" s="142"/>
      <c r="P13" s="142"/>
      <c r="Q13" s="142"/>
      <c r="R13" s="142"/>
      <c r="S13" s="142"/>
      <c r="T13" s="142"/>
      <c r="U13" s="141"/>
      <c r="V13" s="141"/>
      <c r="W13" s="141"/>
      <c r="X13" s="1116"/>
      <c r="Y13" s="1116"/>
      <c r="Z13" s="1116"/>
      <c r="AA13" s="451"/>
    </row>
    <row r="14" spans="1:30"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2"/>
      <c r="Y14" s="1072"/>
      <c r="Z14" s="1075"/>
      <c r="AA14" s="451"/>
    </row>
    <row r="15" spans="1:30"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8"/>
      <c r="X15" s="1086" t="s">
        <v>76</v>
      </c>
      <c r="Y15" s="1087"/>
      <c r="Z15" s="1088"/>
      <c r="AA15" s="451"/>
    </row>
    <row r="16" spans="1:30" s="20" customFormat="1" ht="29.25" thickTop="1">
      <c r="A16" s="1079"/>
      <c r="B16" s="1047"/>
      <c r="C16" s="1047"/>
      <c r="D16" s="1055"/>
      <c r="E16" s="1095"/>
      <c r="F16" s="1096"/>
      <c r="G16" s="1095"/>
      <c r="H16" s="1101"/>
      <c r="I16" s="1096"/>
      <c r="J16" s="1104" t="s">
        <v>197</v>
      </c>
      <c r="K16" s="1106"/>
      <c r="L16" s="1101"/>
      <c r="M16" s="1101"/>
      <c r="N16" s="1101"/>
      <c r="O16" s="1096"/>
      <c r="P16" s="1089"/>
      <c r="Q16" s="1090"/>
      <c r="R16" s="1090"/>
      <c r="S16" s="1090"/>
      <c r="T16" s="1090"/>
      <c r="U16" s="1090"/>
      <c r="V16" s="1090"/>
      <c r="W16" s="1091"/>
      <c r="X16" s="1089"/>
      <c r="Y16" s="1090"/>
      <c r="Z16" s="1091"/>
    </row>
    <row r="17" spans="1:26"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1"/>
      <c r="X17" s="1089"/>
      <c r="Y17" s="1090"/>
      <c r="Z17" s="1091"/>
    </row>
    <row r="18" spans="1:26"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1"/>
      <c r="X18" s="1089"/>
      <c r="Y18" s="1090"/>
      <c r="Z18" s="1091"/>
    </row>
    <row r="19" spans="1:26"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4"/>
      <c r="X19" s="1092"/>
      <c r="Y19" s="1093"/>
      <c r="Z19" s="1094"/>
    </row>
  </sheetData>
  <mergeCells count="44">
    <mergeCell ref="A15:D19"/>
    <mergeCell ref="E15:I15"/>
    <mergeCell ref="J15:O15"/>
    <mergeCell ref="P15:W19"/>
    <mergeCell ref="X13:Z13"/>
    <mergeCell ref="X15:Z19"/>
    <mergeCell ref="E16:F19"/>
    <mergeCell ref="G16:I19"/>
    <mergeCell ref="J16:J17"/>
    <mergeCell ref="K16:O17"/>
    <mergeCell ref="J18:J19"/>
    <mergeCell ref="K18:O19"/>
    <mergeCell ref="K6:W6"/>
    <mergeCell ref="X6:Z8"/>
    <mergeCell ref="K7:W7"/>
    <mergeCell ref="K8:L8"/>
    <mergeCell ref="A14:Z14"/>
    <mergeCell ref="B9:G9"/>
    <mergeCell ref="K9:L9"/>
    <mergeCell ref="X9:Z9"/>
    <mergeCell ref="B10:G10"/>
    <mergeCell ref="K10:L10"/>
    <mergeCell ref="B11:G11"/>
    <mergeCell ref="K11:L11"/>
    <mergeCell ref="B12:G12"/>
    <mergeCell ref="K12:L12"/>
    <mergeCell ref="X12:Z12"/>
    <mergeCell ref="B13:G13"/>
    <mergeCell ref="A1:Z1"/>
    <mergeCell ref="AA1:AA15"/>
    <mergeCell ref="A2:Z2"/>
    <mergeCell ref="A3:E3"/>
    <mergeCell ref="F3:G3"/>
    <mergeCell ref="H3:Z4"/>
    <mergeCell ref="A4:E4"/>
    <mergeCell ref="F4:G4"/>
    <mergeCell ref="A5:E5"/>
    <mergeCell ref="F5:G5"/>
    <mergeCell ref="H5:Z5"/>
    <mergeCell ref="A6:A8"/>
    <mergeCell ref="B6:G8"/>
    <mergeCell ref="H6:H8"/>
    <mergeCell ref="I6:I8"/>
    <mergeCell ref="J6:J8"/>
  </mergeCells>
  <printOptions horizontalCentered="1" verticalCentered="1"/>
  <pageMargins left="0.25" right="0.25" top="0.75" bottom="0.75" header="0.3" footer="0.3"/>
  <pageSetup paperSize="9" scale="38" orientation="landscape"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8066-CC1B-4065-A31A-5F192CB6BC64}">
  <dimension ref="A1:AC19"/>
  <sheetViews>
    <sheetView rightToLeft="1" zoomScale="70" zoomScaleNormal="70" workbookViewId="0">
      <selection activeCell="AC11" sqref="AC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5.7109375" style="21" customWidth="1"/>
    <col min="8" max="8" width="21.140625" style="21" customWidth="1"/>
    <col min="9" max="9" width="42.140625" style="21" customWidth="1"/>
    <col min="10" max="10" width="32.85546875" style="21" customWidth="1"/>
    <col min="11" max="11" width="6.7109375" style="21" customWidth="1"/>
    <col min="12" max="14" width="4.7109375" style="21" customWidth="1"/>
    <col min="15" max="15" width="6.140625" style="21" customWidth="1"/>
    <col min="16" max="23" width="4.7109375" style="21" customWidth="1"/>
    <col min="24" max="24" width="4.42578125" style="21" bestFit="1" customWidth="1"/>
    <col min="25" max="25" width="7.140625" style="21" customWidth="1"/>
    <col min="26" max="26" width="30.5703125" style="21" customWidth="1"/>
    <col min="27" max="27" width="3.140625" style="2" customWidth="1"/>
    <col min="28" max="28" width="4.140625" style="2" customWidth="1"/>
    <col min="29" max="16384" width="9.140625" style="2"/>
  </cols>
  <sheetData>
    <row r="1" spans="1:29" ht="74.25" thickTop="1" thickBot="1">
      <c r="A1" s="552" t="s">
        <v>0</v>
      </c>
      <c r="B1" s="553"/>
      <c r="C1" s="553"/>
      <c r="D1" s="553"/>
      <c r="E1" s="553"/>
      <c r="F1" s="553"/>
      <c r="G1" s="553"/>
      <c r="H1" s="553"/>
      <c r="I1" s="553"/>
      <c r="J1" s="553"/>
      <c r="K1" s="553"/>
      <c r="L1" s="553"/>
      <c r="M1" s="553"/>
      <c r="N1" s="553"/>
      <c r="O1" s="553"/>
      <c r="P1" s="553"/>
      <c r="Q1" s="553"/>
      <c r="R1" s="553"/>
      <c r="S1" s="553"/>
      <c r="T1" s="553"/>
      <c r="U1" s="553"/>
      <c r="V1" s="553"/>
      <c r="W1" s="553"/>
      <c r="X1" s="553"/>
      <c r="Y1" s="553"/>
      <c r="Z1" s="554"/>
      <c r="AA1" s="451"/>
    </row>
    <row r="2" spans="1:29" ht="19.5" thickTop="1" thickBot="1">
      <c r="A2" s="555"/>
      <c r="B2" s="555"/>
      <c r="C2" s="555"/>
      <c r="D2" s="555"/>
      <c r="E2" s="555"/>
      <c r="F2" s="555"/>
      <c r="G2" s="555"/>
      <c r="H2" s="555"/>
      <c r="I2" s="555"/>
      <c r="J2" s="555"/>
      <c r="K2" s="555"/>
      <c r="L2" s="555"/>
      <c r="M2" s="555"/>
      <c r="N2" s="555"/>
      <c r="O2" s="555"/>
      <c r="P2" s="555"/>
      <c r="Q2" s="555"/>
      <c r="R2" s="555"/>
      <c r="S2" s="555"/>
      <c r="T2" s="555"/>
      <c r="U2" s="555"/>
      <c r="V2" s="555"/>
      <c r="W2" s="555"/>
      <c r="X2" s="555"/>
      <c r="Y2" s="555"/>
      <c r="Z2" s="556"/>
      <c r="AA2" s="451"/>
    </row>
    <row r="3" spans="1:29" s="3" customFormat="1" ht="29.25" thickTop="1">
      <c r="A3" s="656" t="s">
        <v>177</v>
      </c>
      <c r="B3" s="657"/>
      <c r="C3" s="657"/>
      <c r="D3" s="657"/>
      <c r="E3" s="658"/>
      <c r="F3" s="659" t="s">
        <v>178</v>
      </c>
      <c r="G3" s="660"/>
      <c r="H3" s="661" t="s">
        <v>179</v>
      </c>
      <c r="I3" s="662"/>
      <c r="J3" s="662"/>
      <c r="K3" s="662"/>
      <c r="L3" s="662"/>
      <c r="M3" s="662"/>
      <c r="N3" s="662"/>
      <c r="O3" s="662"/>
      <c r="P3" s="662"/>
      <c r="Q3" s="662"/>
      <c r="R3" s="662"/>
      <c r="S3" s="662"/>
      <c r="T3" s="662"/>
      <c r="U3" s="662"/>
      <c r="V3" s="662"/>
      <c r="W3" s="662"/>
      <c r="X3" s="662"/>
      <c r="Y3" s="662"/>
      <c r="Z3" s="663"/>
      <c r="AA3" s="451"/>
    </row>
    <row r="4" spans="1:29" s="3" customFormat="1" ht="28.5">
      <c r="A4" s="667" t="s">
        <v>180</v>
      </c>
      <c r="B4" s="668"/>
      <c r="C4" s="668"/>
      <c r="D4" s="668"/>
      <c r="E4" s="669"/>
      <c r="F4" s="670" t="s">
        <v>181</v>
      </c>
      <c r="G4" s="671"/>
      <c r="H4" s="664"/>
      <c r="I4" s="665"/>
      <c r="J4" s="665"/>
      <c r="K4" s="665"/>
      <c r="L4" s="665"/>
      <c r="M4" s="665"/>
      <c r="N4" s="665"/>
      <c r="O4" s="665"/>
      <c r="P4" s="665"/>
      <c r="Q4" s="665"/>
      <c r="R4" s="665"/>
      <c r="S4" s="665"/>
      <c r="T4" s="665"/>
      <c r="U4" s="665"/>
      <c r="V4" s="665"/>
      <c r="W4" s="665"/>
      <c r="X4" s="665"/>
      <c r="Y4" s="665"/>
      <c r="Z4" s="666"/>
      <c r="AA4" s="451"/>
    </row>
    <row r="5" spans="1:29" s="3" customFormat="1" ht="29.25" thickBot="1">
      <c r="A5" s="672" t="s">
        <v>182</v>
      </c>
      <c r="B5" s="673"/>
      <c r="C5" s="673"/>
      <c r="D5" s="673"/>
      <c r="E5" s="674"/>
      <c r="F5" s="675" t="s">
        <v>183</v>
      </c>
      <c r="G5" s="675"/>
      <c r="H5" s="676" t="s">
        <v>184</v>
      </c>
      <c r="I5" s="677"/>
      <c r="J5" s="677"/>
      <c r="K5" s="677"/>
      <c r="L5" s="677"/>
      <c r="M5" s="677"/>
      <c r="N5" s="677"/>
      <c r="O5" s="677"/>
      <c r="P5" s="677"/>
      <c r="Q5" s="677"/>
      <c r="R5" s="677"/>
      <c r="S5" s="677"/>
      <c r="T5" s="677"/>
      <c r="U5" s="677"/>
      <c r="V5" s="677"/>
      <c r="W5" s="677"/>
      <c r="X5" s="677"/>
      <c r="Y5" s="677"/>
      <c r="Z5" s="678"/>
      <c r="AA5" s="451"/>
    </row>
    <row r="6" spans="1:29" ht="28.5">
      <c r="A6" s="1041" t="s">
        <v>9</v>
      </c>
      <c r="B6" s="1043" t="s">
        <v>58</v>
      </c>
      <c r="C6" s="1044"/>
      <c r="D6" s="1044"/>
      <c r="E6" s="1044"/>
      <c r="F6" s="1044"/>
      <c r="G6" s="1045"/>
      <c r="H6" s="1049" t="s">
        <v>59</v>
      </c>
      <c r="I6" s="1052" t="s">
        <v>185</v>
      </c>
      <c r="J6" s="1049" t="s">
        <v>61</v>
      </c>
      <c r="K6" s="1053" t="s">
        <v>62</v>
      </c>
      <c r="L6" s="1053"/>
      <c r="M6" s="1053"/>
      <c r="N6" s="1053"/>
      <c r="O6" s="1053"/>
      <c r="P6" s="1053"/>
      <c r="Q6" s="1053"/>
      <c r="R6" s="1053"/>
      <c r="S6" s="1053"/>
      <c r="T6" s="1053"/>
      <c r="U6" s="1053"/>
      <c r="V6" s="1053"/>
      <c r="W6" s="1053"/>
      <c r="X6" s="1043" t="s">
        <v>186</v>
      </c>
      <c r="Y6" s="1044"/>
      <c r="Z6" s="1054"/>
      <c r="AA6" s="451"/>
    </row>
    <row r="7" spans="1:29" ht="36" customHeight="1">
      <c r="A7" s="1042"/>
      <c r="B7" s="1046"/>
      <c r="C7" s="1047"/>
      <c r="D7" s="1047"/>
      <c r="E7" s="1047"/>
      <c r="F7" s="1047"/>
      <c r="G7" s="1048"/>
      <c r="H7" s="1050"/>
      <c r="I7" s="1051"/>
      <c r="J7" s="1050"/>
      <c r="K7" s="1056">
        <v>1405</v>
      </c>
      <c r="L7" s="1057"/>
      <c r="M7" s="1057"/>
      <c r="N7" s="1057"/>
      <c r="O7" s="1057"/>
      <c r="P7" s="1057"/>
      <c r="Q7" s="1057"/>
      <c r="R7" s="1057"/>
      <c r="S7" s="1057"/>
      <c r="T7" s="1057"/>
      <c r="U7" s="1057"/>
      <c r="V7" s="1057"/>
      <c r="W7" s="1058"/>
      <c r="X7" s="1046"/>
      <c r="Y7" s="1047"/>
      <c r="Z7" s="1055"/>
      <c r="AA7" s="451"/>
    </row>
    <row r="8" spans="1:29" ht="55.5">
      <c r="A8" s="1042"/>
      <c r="B8" s="1046"/>
      <c r="C8" s="1047"/>
      <c r="D8" s="1047"/>
      <c r="E8" s="1047"/>
      <c r="F8" s="1047"/>
      <c r="G8" s="1048"/>
      <c r="H8" s="1051"/>
      <c r="I8" s="1051"/>
      <c r="J8" s="1051"/>
      <c r="K8" s="1059" t="s">
        <v>187</v>
      </c>
      <c r="L8" s="1060"/>
      <c r="M8" s="137" t="s">
        <v>188</v>
      </c>
      <c r="N8" s="137" t="s">
        <v>18</v>
      </c>
      <c r="O8" s="137" t="s">
        <v>189</v>
      </c>
      <c r="P8" s="137" t="s">
        <v>20</v>
      </c>
      <c r="Q8" s="137" t="s">
        <v>190</v>
      </c>
      <c r="R8" s="137" t="s">
        <v>22</v>
      </c>
      <c r="S8" s="137" t="s">
        <v>23</v>
      </c>
      <c r="T8" s="137" t="s">
        <v>24</v>
      </c>
      <c r="U8" s="137" t="s">
        <v>25</v>
      </c>
      <c r="V8" s="137" t="s">
        <v>26</v>
      </c>
      <c r="W8" s="137" t="s">
        <v>27</v>
      </c>
      <c r="X8" s="1046"/>
      <c r="Y8" s="1047"/>
      <c r="Z8" s="1055"/>
      <c r="AA8" s="451"/>
    </row>
    <row r="9" spans="1:29" s="146" customFormat="1" ht="63" customHeight="1">
      <c r="A9" s="138" t="s">
        <v>28</v>
      </c>
      <c r="B9" s="1036" t="s">
        <v>191</v>
      </c>
      <c r="C9" s="1037"/>
      <c r="D9" s="1037"/>
      <c r="E9" s="1037"/>
      <c r="F9" s="1037"/>
      <c r="G9" s="1038"/>
      <c r="H9" s="139">
        <v>20</v>
      </c>
      <c r="I9" s="140" t="s">
        <v>192</v>
      </c>
      <c r="J9" s="140"/>
      <c r="K9" s="1128"/>
      <c r="L9" s="1129"/>
      <c r="M9" s="141"/>
      <c r="N9" s="141"/>
      <c r="O9" s="142"/>
      <c r="P9" s="142"/>
      <c r="Q9" s="142"/>
      <c r="R9" s="142"/>
      <c r="S9" s="142"/>
      <c r="T9" s="142"/>
      <c r="U9" s="142"/>
      <c r="V9" s="142"/>
      <c r="W9" s="142"/>
      <c r="X9" s="1063"/>
      <c r="Y9" s="1064"/>
      <c r="Z9" s="1065"/>
      <c r="AA9" s="451"/>
      <c r="AC9" s="146">
        <v>20</v>
      </c>
    </row>
    <row r="10" spans="1:29" s="146" customFormat="1" ht="63" customHeight="1">
      <c r="A10" s="138" t="s">
        <v>66</v>
      </c>
      <c r="B10" s="1066" t="s">
        <v>193</v>
      </c>
      <c r="C10" s="1067"/>
      <c r="D10" s="1067"/>
      <c r="E10" s="1067"/>
      <c r="F10" s="1067"/>
      <c r="G10" s="1068"/>
      <c r="H10" s="139">
        <v>30</v>
      </c>
      <c r="I10" s="140" t="s">
        <v>192</v>
      </c>
      <c r="J10" s="140"/>
      <c r="K10" s="1039"/>
      <c r="L10" s="1040"/>
      <c r="M10" s="141"/>
      <c r="N10" s="141"/>
      <c r="O10" s="141"/>
      <c r="P10" s="141"/>
      <c r="Q10" s="142"/>
      <c r="R10" s="142"/>
      <c r="S10" s="142"/>
      <c r="T10" s="142"/>
      <c r="U10" s="142"/>
      <c r="V10" s="142"/>
      <c r="W10" s="142"/>
      <c r="X10" s="143"/>
      <c r="Y10" s="144"/>
      <c r="Z10" s="145"/>
      <c r="AA10" s="451"/>
      <c r="AC10" s="146">
        <f>(30/4)*2</f>
        <v>15</v>
      </c>
    </row>
    <row r="11" spans="1:29" s="146" customFormat="1" ht="63" customHeight="1">
      <c r="A11" s="147">
        <v>3</v>
      </c>
      <c r="B11" s="1036" t="s">
        <v>194</v>
      </c>
      <c r="C11" s="1037"/>
      <c r="D11" s="1037"/>
      <c r="E11" s="1037"/>
      <c r="F11" s="1037"/>
      <c r="G11" s="1038"/>
      <c r="H11" s="139">
        <v>10</v>
      </c>
      <c r="I11" s="140" t="s">
        <v>192</v>
      </c>
      <c r="J11" s="140"/>
      <c r="K11" s="1039"/>
      <c r="L11" s="1040"/>
      <c r="M11" s="142"/>
      <c r="N11" s="142"/>
      <c r="O11" s="141"/>
      <c r="P11" s="141"/>
      <c r="Q11" s="141"/>
      <c r="R11" s="141"/>
      <c r="S11" s="142"/>
      <c r="T11" s="142"/>
      <c r="U11" s="142"/>
      <c r="V11" s="142"/>
      <c r="W11" s="142"/>
      <c r="X11" s="143"/>
      <c r="Y11" s="144"/>
      <c r="Z11" s="145"/>
      <c r="AA11" s="451"/>
    </row>
    <row r="12" spans="1:29" s="146" customFormat="1" ht="63" customHeight="1">
      <c r="A12" s="138" t="s">
        <v>70</v>
      </c>
      <c r="B12" s="1066" t="s">
        <v>195</v>
      </c>
      <c r="C12" s="1067"/>
      <c r="D12" s="1067"/>
      <c r="E12" s="1067"/>
      <c r="F12" s="1067"/>
      <c r="G12" s="1068"/>
      <c r="H12" s="139">
        <v>10</v>
      </c>
      <c r="I12" s="140"/>
      <c r="J12" s="140"/>
      <c r="K12" s="1039"/>
      <c r="L12" s="1040"/>
      <c r="M12" s="142"/>
      <c r="N12" s="142"/>
      <c r="O12" s="142"/>
      <c r="P12" s="142"/>
      <c r="Q12" s="141"/>
      <c r="R12" s="141"/>
      <c r="S12" s="141"/>
      <c r="T12" s="141"/>
      <c r="U12" s="142"/>
      <c r="V12" s="142"/>
      <c r="W12" s="142"/>
      <c r="X12" s="1069"/>
      <c r="Y12" s="1069"/>
      <c r="Z12" s="1069"/>
      <c r="AA12" s="451"/>
    </row>
    <row r="13" spans="1:29" s="146" customFormat="1" ht="63" customHeight="1" thickBot="1">
      <c r="A13" s="138" t="s">
        <v>153</v>
      </c>
      <c r="B13" s="148" t="s">
        <v>196</v>
      </c>
      <c r="C13" s="148"/>
      <c r="D13" s="148"/>
      <c r="E13" s="148"/>
      <c r="F13" s="148"/>
      <c r="G13" s="148"/>
      <c r="H13" s="139">
        <v>30</v>
      </c>
      <c r="I13" s="140" t="s">
        <v>192</v>
      </c>
      <c r="J13" s="140"/>
      <c r="K13" s="149"/>
      <c r="L13" s="150"/>
      <c r="M13" s="142"/>
      <c r="N13" s="142"/>
      <c r="O13" s="142"/>
      <c r="P13" s="142"/>
      <c r="Q13" s="142"/>
      <c r="R13" s="142"/>
      <c r="S13" s="141"/>
      <c r="T13" s="141"/>
      <c r="U13" s="141"/>
      <c r="V13" s="141"/>
      <c r="W13" s="141"/>
      <c r="X13" s="1116"/>
      <c r="Y13" s="1116"/>
      <c r="Z13" s="1116"/>
      <c r="AA13" s="451"/>
    </row>
    <row r="14" spans="1:29" ht="19.5" thickTop="1" thickBot="1">
      <c r="A14" s="1070"/>
      <c r="B14" s="1071"/>
      <c r="C14" s="1071"/>
      <c r="D14" s="1071"/>
      <c r="E14" s="1072"/>
      <c r="F14" s="1072"/>
      <c r="G14" s="1071"/>
      <c r="H14" s="1073"/>
      <c r="I14" s="1073"/>
      <c r="J14" s="1073"/>
      <c r="K14" s="1074"/>
      <c r="L14" s="1074"/>
      <c r="M14" s="1074"/>
      <c r="N14" s="1074"/>
      <c r="O14" s="1074"/>
      <c r="P14" s="1074"/>
      <c r="Q14" s="1074"/>
      <c r="R14" s="1074"/>
      <c r="S14" s="1074"/>
      <c r="T14" s="1074"/>
      <c r="U14" s="1074"/>
      <c r="V14" s="1074"/>
      <c r="W14" s="1074"/>
      <c r="X14" s="1072"/>
      <c r="Y14" s="1072"/>
      <c r="Z14" s="1075"/>
      <c r="AA14" s="451"/>
    </row>
    <row r="15" spans="1:29" ht="30" thickTop="1" thickBot="1">
      <c r="A15" s="1076" t="s">
        <v>72</v>
      </c>
      <c r="B15" s="1077"/>
      <c r="C15" s="1077"/>
      <c r="D15" s="1078"/>
      <c r="E15" s="1083" t="s">
        <v>73</v>
      </c>
      <c r="F15" s="1084"/>
      <c r="G15" s="1084"/>
      <c r="H15" s="1084"/>
      <c r="I15" s="1084"/>
      <c r="J15" s="1083" t="s">
        <v>74</v>
      </c>
      <c r="K15" s="1084"/>
      <c r="L15" s="1084"/>
      <c r="M15" s="1084"/>
      <c r="N15" s="1084"/>
      <c r="O15" s="1085"/>
      <c r="P15" s="1086" t="s">
        <v>75</v>
      </c>
      <c r="Q15" s="1087"/>
      <c r="R15" s="1087"/>
      <c r="S15" s="1087"/>
      <c r="T15" s="1087"/>
      <c r="U15" s="1087"/>
      <c r="V15" s="1087"/>
      <c r="W15" s="1088"/>
      <c r="X15" s="1086" t="s">
        <v>76</v>
      </c>
      <c r="Y15" s="1087"/>
      <c r="Z15" s="1088"/>
      <c r="AA15" s="451"/>
    </row>
    <row r="16" spans="1:29" s="20" customFormat="1" ht="29.25" thickTop="1">
      <c r="A16" s="1079"/>
      <c r="B16" s="1047"/>
      <c r="C16" s="1047"/>
      <c r="D16" s="1055"/>
      <c r="E16" s="1095"/>
      <c r="F16" s="1096"/>
      <c r="G16" s="1095"/>
      <c r="H16" s="1101"/>
      <c r="I16" s="1096"/>
      <c r="J16" s="1104" t="s">
        <v>197</v>
      </c>
      <c r="K16" s="1106"/>
      <c r="L16" s="1101"/>
      <c r="M16" s="1101"/>
      <c r="N16" s="1101"/>
      <c r="O16" s="1096"/>
      <c r="P16" s="1089"/>
      <c r="Q16" s="1090"/>
      <c r="R16" s="1090"/>
      <c r="S16" s="1090"/>
      <c r="T16" s="1090"/>
      <c r="U16" s="1090"/>
      <c r="V16" s="1090"/>
      <c r="W16" s="1091"/>
      <c r="X16" s="1089"/>
      <c r="Y16" s="1090"/>
      <c r="Z16" s="1091"/>
    </row>
    <row r="17" spans="1:26" s="20" customFormat="1" ht="29.25" thickBot="1">
      <c r="A17" s="1079"/>
      <c r="B17" s="1047"/>
      <c r="C17" s="1047"/>
      <c r="D17" s="1055"/>
      <c r="E17" s="1097"/>
      <c r="F17" s="1098"/>
      <c r="G17" s="1097"/>
      <c r="H17" s="1102"/>
      <c r="I17" s="1098"/>
      <c r="J17" s="1105"/>
      <c r="K17" s="1099"/>
      <c r="L17" s="1103"/>
      <c r="M17" s="1103"/>
      <c r="N17" s="1103"/>
      <c r="O17" s="1100"/>
      <c r="P17" s="1089"/>
      <c r="Q17" s="1090"/>
      <c r="R17" s="1090"/>
      <c r="S17" s="1090"/>
      <c r="T17" s="1090"/>
      <c r="U17" s="1090"/>
      <c r="V17" s="1090"/>
      <c r="W17" s="1091"/>
      <c r="X17" s="1089"/>
      <c r="Y17" s="1090"/>
      <c r="Z17" s="1091"/>
    </row>
    <row r="18" spans="1:26" s="20" customFormat="1" ht="29.25" thickTop="1">
      <c r="A18" s="1079"/>
      <c r="B18" s="1047"/>
      <c r="C18" s="1047"/>
      <c r="D18" s="1055"/>
      <c r="E18" s="1097"/>
      <c r="F18" s="1098"/>
      <c r="G18" s="1097"/>
      <c r="H18" s="1102"/>
      <c r="I18" s="1098"/>
      <c r="J18" s="1107" t="s">
        <v>198</v>
      </c>
      <c r="K18" s="1095"/>
      <c r="L18" s="1101"/>
      <c r="M18" s="1101"/>
      <c r="N18" s="1101"/>
      <c r="O18" s="1096"/>
      <c r="P18" s="1089"/>
      <c r="Q18" s="1090"/>
      <c r="R18" s="1090"/>
      <c r="S18" s="1090"/>
      <c r="T18" s="1090"/>
      <c r="U18" s="1090"/>
      <c r="V18" s="1090"/>
      <c r="W18" s="1091"/>
      <c r="X18" s="1089"/>
      <c r="Y18" s="1090"/>
      <c r="Z18" s="1091"/>
    </row>
    <row r="19" spans="1:26" s="20" customFormat="1" ht="29.25" thickBot="1">
      <c r="A19" s="1080"/>
      <c r="B19" s="1081"/>
      <c r="C19" s="1081"/>
      <c r="D19" s="1082"/>
      <c r="E19" s="1099"/>
      <c r="F19" s="1100"/>
      <c r="G19" s="1099"/>
      <c r="H19" s="1103"/>
      <c r="I19" s="1100"/>
      <c r="J19" s="1108"/>
      <c r="K19" s="1099"/>
      <c r="L19" s="1103"/>
      <c r="M19" s="1103"/>
      <c r="N19" s="1103"/>
      <c r="O19" s="1100"/>
      <c r="P19" s="1092"/>
      <c r="Q19" s="1093"/>
      <c r="R19" s="1093"/>
      <c r="S19" s="1093"/>
      <c r="T19" s="1093"/>
      <c r="U19" s="1093"/>
      <c r="V19" s="1093"/>
      <c r="W19" s="1094"/>
      <c r="X19" s="1092"/>
      <c r="Y19" s="1093"/>
      <c r="Z19" s="1094"/>
    </row>
  </sheetData>
  <mergeCells count="43">
    <mergeCell ref="B12:G12"/>
    <mergeCell ref="K12:L12"/>
    <mergeCell ref="X12:Z12"/>
    <mergeCell ref="X13:Z13"/>
    <mergeCell ref="A14:Z14"/>
    <mergeCell ref="A15:D19"/>
    <mergeCell ref="E15:I15"/>
    <mergeCell ref="J15:O15"/>
    <mergeCell ref="P15:W19"/>
    <mergeCell ref="X15:Z19"/>
    <mergeCell ref="E16:F19"/>
    <mergeCell ref="G16:I19"/>
    <mergeCell ref="J16:J17"/>
    <mergeCell ref="K16:O17"/>
    <mergeCell ref="J18:J19"/>
    <mergeCell ref="K18:O19"/>
    <mergeCell ref="B9:G9"/>
    <mergeCell ref="K9:L9"/>
    <mergeCell ref="X9:Z9"/>
    <mergeCell ref="B10:G10"/>
    <mergeCell ref="K10:L10"/>
    <mergeCell ref="I6:I8"/>
    <mergeCell ref="J6:J8"/>
    <mergeCell ref="K6:W6"/>
    <mergeCell ref="X6:Z8"/>
    <mergeCell ref="K7:W7"/>
    <mergeCell ref="K8:L8"/>
    <mergeCell ref="A1:Z1"/>
    <mergeCell ref="AA1:AA15"/>
    <mergeCell ref="A2:Z2"/>
    <mergeCell ref="A3:E3"/>
    <mergeCell ref="F3:G3"/>
    <mergeCell ref="H3:Z4"/>
    <mergeCell ref="A4:E4"/>
    <mergeCell ref="F4:G4"/>
    <mergeCell ref="A5:E5"/>
    <mergeCell ref="F5:G5"/>
    <mergeCell ref="B11:G11"/>
    <mergeCell ref="K11:L11"/>
    <mergeCell ref="H5:Z5"/>
    <mergeCell ref="A6:A8"/>
    <mergeCell ref="B6:G8"/>
    <mergeCell ref="H6:H8"/>
  </mergeCells>
  <printOptions horizontalCentered="1" verticalCentered="1"/>
  <pageMargins left="0.25" right="0.25" top="0.75" bottom="0.75" header="0.3" footer="0.3"/>
  <pageSetup paperSize="9" scale="38" orientation="landscape"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DD0F5-11B9-4FFB-9241-8CFAB329CF2E}">
  <dimension ref="A1:AC20"/>
  <sheetViews>
    <sheetView rightToLeft="1" topLeftCell="B5" zoomScale="70" zoomScaleNormal="70" zoomScaleSheetLayoutView="70" workbookViewId="0">
      <selection activeCell="B8" sqref="B8:N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2.28515625" style="21" bestFit="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170</v>
      </c>
      <c r="B3" s="456"/>
      <c r="C3" s="456"/>
      <c r="D3" s="456"/>
      <c r="E3" s="456"/>
      <c r="F3" s="456"/>
      <c r="G3" s="457" t="s">
        <v>3</v>
      </c>
      <c r="H3" s="457"/>
      <c r="I3" s="458" t="s">
        <v>171</v>
      </c>
      <c r="J3" s="458"/>
      <c r="K3" s="458"/>
      <c r="L3" s="458"/>
      <c r="M3" s="458"/>
      <c r="N3" s="458"/>
      <c r="O3" s="458"/>
      <c r="P3" s="458"/>
      <c r="Q3" s="458"/>
      <c r="R3" s="458"/>
      <c r="S3" s="458"/>
      <c r="T3" s="458"/>
      <c r="U3" s="458"/>
      <c r="V3" s="458"/>
      <c r="W3" s="458"/>
      <c r="X3" s="458"/>
      <c r="Y3" s="458"/>
      <c r="Z3" s="459"/>
      <c r="AA3" s="451"/>
    </row>
    <row r="4" spans="1:29" s="3" customFormat="1" ht="28.5" customHeight="1">
      <c r="A4" s="460" t="s">
        <v>143</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145</v>
      </c>
      <c r="H5" s="456"/>
      <c r="I5" s="456" t="s">
        <v>172</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67.5">
      <c r="A8" s="7" t="s">
        <v>28</v>
      </c>
      <c r="B8" s="647" t="s">
        <v>173</v>
      </c>
      <c r="C8" s="647"/>
      <c r="D8" s="647"/>
      <c r="E8" s="647"/>
      <c r="F8" s="647"/>
      <c r="G8" s="647"/>
      <c r="H8" s="647"/>
      <c r="I8" s="132">
        <v>15</v>
      </c>
      <c r="J8" s="133" t="s">
        <v>169</v>
      </c>
      <c r="K8" s="10"/>
      <c r="L8" s="30"/>
      <c r="M8" s="30"/>
      <c r="N8" s="30"/>
      <c r="O8" s="30"/>
      <c r="P8" s="30"/>
      <c r="Q8" s="30"/>
      <c r="R8" s="30"/>
      <c r="S8" s="30"/>
      <c r="T8" s="30"/>
      <c r="U8" s="30"/>
      <c r="V8" s="30"/>
      <c r="W8" s="30"/>
      <c r="X8" s="475"/>
      <c r="Y8" s="475"/>
      <c r="Z8" s="476"/>
      <c r="AA8" s="451"/>
      <c r="AC8" s="14">
        <v>15</v>
      </c>
    </row>
    <row r="9" spans="1:29" s="14" customFormat="1" ht="45">
      <c r="A9" s="7" t="s">
        <v>66</v>
      </c>
      <c r="B9" s="647" t="s">
        <v>174</v>
      </c>
      <c r="C9" s="647"/>
      <c r="D9" s="647"/>
      <c r="E9" s="647"/>
      <c r="F9" s="647"/>
      <c r="G9" s="647"/>
      <c r="H9" s="647"/>
      <c r="I9" s="132">
        <v>40</v>
      </c>
      <c r="J9" s="133" t="s">
        <v>147</v>
      </c>
      <c r="K9" s="10"/>
      <c r="L9" s="30"/>
      <c r="M9" s="30"/>
      <c r="N9" s="30"/>
      <c r="O9" s="30"/>
      <c r="P9" s="30"/>
      <c r="Q9" s="30"/>
      <c r="R9" s="30"/>
      <c r="S9" s="30"/>
      <c r="T9" s="30"/>
      <c r="U9" s="30"/>
      <c r="V9" s="30"/>
      <c r="W9" s="30"/>
      <c r="X9" s="475"/>
      <c r="Y9" s="475"/>
      <c r="Z9" s="476"/>
      <c r="AA9" s="451"/>
    </row>
    <row r="10" spans="1:29" s="14" customFormat="1" ht="45">
      <c r="A10" s="7" t="s">
        <v>68</v>
      </c>
      <c r="B10" s="647" t="s">
        <v>175</v>
      </c>
      <c r="C10" s="647"/>
      <c r="D10" s="647"/>
      <c r="E10" s="647"/>
      <c r="F10" s="647"/>
      <c r="G10" s="647"/>
      <c r="H10" s="647"/>
      <c r="I10" s="132">
        <v>15</v>
      </c>
      <c r="J10" s="133" t="s">
        <v>147</v>
      </c>
      <c r="K10" s="10"/>
      <c r="L10" s="30"/>
      <c r="M10" s="30"/>
      <c r="N10" s="30"/>
      <c r="O10" s="30"/>
      <c r="P10" s="30"/>
      <c r="Q10" s="30"/>
      <c r="R10" s="30"/>
      <c r="S10" s="30"/>
      <c r="T10" s="30"/>
      <c r="U10" s="30"/>
      <c r="V10" s="30"/>
      <c r="W10" s="30"/>
      <c r="X10" s="468"/>
      <c r="Y10" s="468"/>
      <c r="Z10" s="469"/>
      <c r="AA10" s="451"/>
    </row>
    <row r="11" spans="1:29" s="14" customFormat="1" ht="45">
      <c r="A11" s="7" t="s">
        <v>70</v>
      </c>
      <c r="B11" s="647" t="s">
        <v>176</v>
      </c>
      <c r="C11" s="647"/>
      <c r="D11" s="647"/>
      <c r="E11" s="647"/>
      <c r="F11" s="647"/>
      <c r="G11" s="647"/>
      <c r="H11" s="647"/>
      <c r="I11" s="132">
        <v>20</v>
      </c>
      <c r="J11" s="133" t="s">
        <v>147</v>
      </c>
      <c r="K11" s="10"/>
      <c r="L11" s="30"/>
      <c r="M11" s="30"/>
      <c r="N11" s="30"/>
      <c r="O11" s="30"/>
      <c r="P11" s="30"/>
      <c r="Q11" s="30"/>
      <c r="R11" s="30"/>
      <c r="S11" s="30"/>
      <c r="T11" s="30"/>
      <c r="U11" s="30"/>
      <c r="V11" s="30"/>
      <c r="W11" s="30"/>
      <c r="X11" s="468"/>
      <c r="Y11" s="468"/>
      <c r="Z11" s="469"/>
      <c r="AA11" s="451"/>
    </row>
    <row r="12" spans="1:29"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9"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9"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9"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9"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pageMargins left="0" right="0" top="0.5" bottom="0" header="0" footer="0"/>
  <pageSetup scale="40" orientation="landscape" r:id="rId1"/>
  <drawing r:id="rId2"/>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28A16-FB17-4D19-BFB5-81B05358A9E3}">
  <dimension ref="A1:AA20"/>
  <sheetViews>
    <sheetView rightToLeft="1" zoomScale="70" zoomScaleNormal="70" zoomScaleSheetLayoutView="70" workbookViewId="0">
      <selection activeCell="I13" sqref="I13"/>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4.5703125"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7"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7">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7" s="3" customFormat="1" ht="28.5">
      <c r="A3" s="455" t="s">
        <v>164</v>
      </c>
      <c r="B3" s="456"/>
      <c r="C3" s="456"/>
      <c r="D3" s="456"/>
      <c r="E3" s="456"/>
      <c r="F3" s="456"/>
      <c r="G3" s="457" t="s">
        <v>3</v>
      </c>
      <c r="H3" s="457"/>
      <c r="I3" s="458" t="s">
        <v>165</v>
      </c>
      <c r="J3" s="458"/>
      <c r="K3" s="458"/>
      <c r="L3" s="458"/>
      <c r="M3" s="458"/>
      <c r="N3" s="458"/>
      <c r="O3" s="458"/>
      <c r="P3" s="458"/>
      <c r="Q3" s="458"/>
      <c r="R3" s="458"/>
      <c r="S3" s="458"/>
      <c r="T3" s="458"/>
      <c r="U3" s="458"/>
      <c r="V3" s="458"/>
      <c r="W3" s="458"/>
      <c r="X3" s="458"/>
      <c r="Y3" s="458"/>
      <c r="Z3" s="459"/>
      <c r="AA3" s="451"/>
    </row>
    <row r="4" spans="1:27" s="3" customFormat="1" ht="28.5" customHeight="1">
      <c r="A4" s="460" t="s">
        <v>143</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7" s="3" customFormat="1" ht="28.5" customHeight="1">
      <c r="A5" s="463"/>
      <c r="B5" s="464"/>
      <c r="C5" s="464"/>
      <c r="D5" s="464"/>
      <c r="E5" s="464"/>
      <c r="F5" s="465"/>
      <c r="G5" s="456" t="s">
        <v>158</v>
      </c>
      <c r="H5" s="456"/>
      <c r="I5" s="456" t="s">
        <v>8</v>
      </c>
      <c r="J5" s="456"/>
      <c r="K5" s="456"/>
      <c r="L5" s="456"/>
      <c r="M5" s="456"/>
      <c r="N5" s="456"/>
      <c r="O5" s="456"/>
      <c r="P5" s="456"/>
      <c r="Q5" s="456"/>
      <c r="R5" s="456"/>
      <c r="S5" s="456"/>
      <c r="T5" s="456"/>
      <c r="U5" s="456"/>
      <c r="V5" s="456"/>
      <c r="W5" s="456"/>
      <c r="X5" s="456"/>
      <c r="Y5" s="456"/>
      <c r="Z5" s="466"/>
      <c r="AA5" s="451"/>
    </row>
    <row r="6" spans="1:27"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7"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7" s="14" customFormat="1" ht="67.5">
      <c r="A8" s="7" t="s">
        <v>28</v>
      </c>
      <c r="B8" s="647" t="s">
        <v>166</v>
      </c>
      <c r="C8" s="647"/>
      <c r="D8" s="647"/>
      <c r="E8" s="647"/>
      <c r="F8" s="647"/>
      <c r="G8" s="647"/>
      <c r="H8" s="647"/>
      <c r="I8" s="132">
        <v>50</v>
      </c>
      <c r="J8" s="133" t="s">
        <v>167</v>
      </c>
      <c r="K8" s="10"/>
      <c r="L8" s="30"/>
      <c r="M8" s="30"/>
      <c r="N8" s="30"/>
      <c r="O8" s="30"/>
      <c r="P8" s="30"/>
      <c r="Q8" s="30"/>
      <c r="R8" s="30"/>
      <c r="S8" s="30"/>
      <c r="T8" s="30"/>
      <c r="U8" s="30"/>
      <c r="V8" s="30"/>
      <c r="W8" s="30"/>
      <c r="X8" s="475"/>
      <c r="Y8" s="475"/>
      <c r="Z8" s="476"/>
      <c r="AA8" s="451"/>
    </row>
    <row r="9" spans="1:27" s="14" customFormat="1" ht="67.5">
      <c r="A9" s="7" t="s">
        <v>66</v>
      </c>
      <c r="B9" s="647" t="s">
        <v>168</v>
      </c>
      <c r="C9" s="647"/>
      <c r="D9" s="647"/>
      <c r="E9" s="647"/>
      <c r="F9" s="647"/>
      <c r="G9" s="647"/>
      <c r="H9" s="647"/>
      <c r="I9" s="132">
        <v>50</v>
      </c>
      <c r="J9" s="133" t="s">
        <v>169</v>
      </c>
      <c r="K9" s="10"/>
      <c r="L9" s="30"/>
      <c r="M9" s="30"/>
      <c r="N9" s="30"/>
      <c r="O9" s="30"/>
      <c r="P9" s="30"/>
      <c r="Q9" s="30"/>
      <c r="R9" s="30"/>
      <c r="S9" s="30"/>
      <c r="T9" s="30"/>
      <c r="U9" s="30"/>
      <c r="V9" s="30"/>
      <c r="W9" s="30"/>
      <c r="X9" s="475"/>
      <c r="Y9" s="475"/>
      <c r="Z9" s="476"/>
      <c r="AA9" s="451"/>
    </row>
    <row r="10" spans="1:27" s="14" customFormat="1" ht="24">
      <c r="A10" s="7" t="s">
        <v>68</v>
      </c>
      <c r="B10" s="647"/>
      <c r="C10" s="647"/>
      <c r="D10" s="647"/>
      <c r="E10" s="647"/>
      <c r="F10" s="647"/>
      <c r="G10" s="647"/>
      <c r="H10" s="647"/>
      <c r="I10" s="132"/>
      <c r="J10" s="133"/>
      <c r="K10" s="10"/>
      <c r="L10" s="30"/>
      <c r="M10" s="30"/>
      <c r="N10" s="30"/>
      <c r="O10" s="30"/>
      <c r="P10" s="30"/>
      <c r="Q10" s="30"/>
      <c r="R10" s="30"/>
      <c r="S10" s="30"/>
      <c r="T10" s="30"/>
      <c r="U10" s="30"/>
      <c r="V10" s="30"/>
      <c r="W10" s="30"/>
      <c r="X10" s="468"/>
      <c r="Y10" s="468"/>
      <c r="Z10" s="469"/>
      <c r="AA10" s="451"/>
    </row>
    <row r="11" spans="1:27" s="14" customFormat="1" ht="24">
      <c r="A11" s="7" t="s">
        <v>70</v>
      </c>
      <c r="B11" s="647"/>
      <c r="C11" s="647"/>
      <c r="D11" s="647"/>
      <c r="E11" s="647"/>
      <c r="F11" s="647"/>
      <c r="G11" s="647"/>
      <c r="H11" s="647"/>
      <c r="I11" s="132"/>
      <c r="J11" s="133"/>
      <c r="K11" s="10"/>
      <c r="L11" s="30"/>
      <c r="M11" s="30"/>
      <c r="N11" s="30"/>
      <c r="O11" s="30"/>
      <c r="P11" s="30"/>
      <c r="Q11" s="30"/>
      <c r="R11" s="30"/>
      <c r="S11" s="30"/>
      <c r="T11" s="30"/>
      <c r="U11" s="30"/>
      <c r="V11" s="30"/>
      <c r="W11" s="30"/>
      <c r="X11" s="468"/>
      <c r="Y11" s="468"/>
      <c r="Z11" s="469"/>
      <c r="AA11" s="451"/>
    </row>
    <row r="12" spans="1:27" s="14" customFormat="1" ht="24">
      <c r="A12" s="7" t="s">
        <v>153</v>
      </c>
      <c r="B12" s="647"/>
      <c r="C12" s="647"/>
      <c r="D12" s="647"/>
      <c r="E12" s="647"/>
      <c r="F12" s="647"/>
      <c r="G12" s="647"/>
      <c r="H12" s="647"/>
      <c r="I12" s="132"/>
      <c r="J12" s="133"/>
      <c r="K12" s="10"/>
      <c r="L12" s="30"/>
      <c r="M12" s="30"/>
      <c r="N12" s="30"/>
      <c r="O12" s="30"/>
      <c r="P12" s="30"/>
      <c r="Q12" s="30"/>
      <c r="R12" s="30"/>
      <c r="S12" s="30"/>
      <c r="T12" s="30"/>
      <c r="U12" s="30"/>
      <c r="V12" s="30"/>
      <c r="W12" s="30"/>
      <c r="X12" s="475"/>
      <c r="Y12" s="475"/>
      <c r="Z12" s="476"/>
      <c r="AA12" s="451"/>
    </row>
    <row r="13" spans="1:27"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7"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7"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7"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pageMargins left="0" right="0" top="0.5" bottom="0" header="0" footer="0"/>
  <pageSetup scale="40" orientation="landscape" r:id="rId1"/>
  <drawing r:id="rId2"/>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DA09-6263-4DBC-A1A9-E13697ADFC02}">
  <dimension ref="A1:AC20"/>
  <sheetViews>
    <sheetView rightToLeft="1" zoomScale="70" zoomScaleNormal="70" zoomScaleSheetLayoutView="70" workbookViewId="0">
      <selection activeCell="AD10" sqref="AD1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4.5703125"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157</v>
      </c>
      <c r="B3" s="456"/>
      <c r="C3" s="456"/>
      <c r="D3" s="456"/>
      <c r="E3" s="456"/>
      <c r="F3" s="456"/>
      <c r="G3" s="457" t="s">
        <v>3</v>
      </c>
      <c r="H3" s="457"/>
      <c r="I3" s="458" t="s">
        <v>142</v>
      </c>
      <c r="J3" s="458"/>
      <c r="K3" s="458"/>
      <c r="L3" s="458"/>
      <c r="M3" s="458"/>
      <c r="N3" s="458"/>
      <c r="O3" s="458"/>
      <c r="P3" s="458"/>
      <c r="Q3" s="458"/>
      <c r="R3" s="458"/>
      <c r="S3" s="458"/>
      <c r="T3" s="458"/>
      <c r="U3" s="458"/>
      <c r="V3" s="458"/>
      <c r="W3" s="458"/>
      <c r="X3" s="458"/>
      <c r="Y3" s="458"/>
      <c r="Z3" s="459"/>
      <c r="AA3" s="451"/>
    </row>
    <row r="4" spans="1:29" s="3" customFormat="1" ht="28.5" customHeight="1">
      <c r="A4" s="460" t="s">
        <v>143</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158</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45">
      <c r="A8" s="7" t="s">
        <v>28</v>
      </c>
      <c r="B8" s="647" t="s">
        <v>159</v>
      </c>
      <c r="C8" s="647"/>
      <c r="D8" s="647"/>
      <c r="E8" s="647"/>
      <c r="F8" s="647"/>
      <c r="G8" s="647"/>
      <c r="H8" s="647"/>
      <c r="I8" s="132">
        <v>10</v>
      </c>
      <c r="J8" s="133" t="s">
        <v>147</v>
      </c>
      <c r="K8" s="10"/>
      <c r="L8" s="30"/>
      <c r="M8" s="30"/>
      <c r="N8" s="30"/>
      <c r="O8" s="30"/>
      <c r="P8" s="30"/>
      <c r="Q8" s="30"/>
      <c r="R8" s="30"/>
      <c r="S8" s="30"/>
      <c r="T8" s="30"/>
      <c r="U8" s="30"/>
      <c r="V8" s="30"/>
      <c r="W8" s="30"/>
      <c r="X8" s="475"/>
      <c r="Y8" s="475"/>
      <c r="Z8" s="476"/>
      <c r="AA8" s="451"/>
      <c r="AC8" s="14">
        <v>10</v>
      </c>
    </row>
    <row r="9" spans="1:29" s="14" customFormat="1" ht="42.75" customHeight="1">
      <c r="A9" s="7" t="s">
        <v>66</v>
      </c>
      <c r="B9" s="647" t="s">
        <v>160</v>
      </c>
      <c r="C9" s="647"/>
      <c r="D9" s="647"/>
      <c r="E9" s="647"/>
      <c r="F9" s="647"/>
      <c r="G9" s="647"/>
      <c r="H9" s="647"/>
      <c r="I9" s="132">
        <v>15</v>
      </c>
      <c r="J9" s="133" t="s">
        <v>149</v>
      </c>
      <c r="K9" s="10"/>
      <c r="L9" s="30"/>
      <c r="M9" s="30"/>
      <c r="N9" s="30"/>
      <c r="O9" s="30"/>
      <c r="P9" s="30"/>
      <c r="Q9" s="30"/>
      <c r="R9" s="30"/>
      <c r="S9" s="30"/>
      <c r="T9" s="30"/>
      <c r="U9" s="30"/>
      <c r="V9" s="30"/>
      <c r="W9" s="30"/>
      <c r="X9" s="475"/>
      <c r="Y9" s="475"/>
      <c r="Z9" s="476"/>
      <c r="AA9" s="451"/>
    </row>
    <row r="10" spans="1:29" s="14" customFormat="1" ht="69.75" customHeight="1">
      <c r="A10" s="7" t="s">
        <v>68</v>
      </c>
      <c r="B10" s="647" t="s">
        <v>161</v>
      </c>
      <c r="C10" s="647"/>
      <c r="D10" s="647"/>
      <c r="E10" s="647"/>
      <c r="F10" s="647"/>
      <c r="G10" s="647"/>
      <c r="H10" s="647"/>
      <c r="I10" s="132">
        <v>20</v>
      </c>
      <c r="J10" s="133" t="s">
        <v>151</v>
      </c>
      <c r="K10" s="10"/>
      <c r="L10" s="30"/>
      <c r="M10" s="30"/>
      <c r="N10" s="30"/>
      <c r="O10" s="30"/>
      <c r="P10" s="30"/>
      <c r="Q10" s="30"/>
      <c r="R10" s="30"/>
      <c r="S10" s="30"/>
      <c r="T10" s="30"/>
      <c r="U10" s="30"/>
      <c r="V10" s="30"/>
      <c r="W10" s="30"/>
      <c r="X10" s="468"/>
      <c r="Y10" s="468"/>
      <c r="Z10" s="469"/>
      <c r="AA10" s="451"/>
    </row>
    <row r="11" spans="1:29" s="14" customFormat="1" ht="42" customHeight="1">
      <c r="A11" s="7" t="s">
        <v>70</v>
      </c>
      <c r="B11" s="647" t="s">
        <v>162</v>
      </c>
      <c r="C11" s="647"/>
      <c r="D11" s="647"/>
      <c r="E11" s="647"/>
      <c r="F11" s="647"/>
      <c r="G11" s="647"/>
      <c r="H11" s="647"/>
      <c r="I11" s="132">
        <v>15</v>
      </c>
      <c r="J11" s="133" t="s">
        <v>147</v>
      </c>
      <c r="K11" s="10"/>
      <c r="L11" s="30"/>
      <c r="M11" s="30"/>
      <c r="N11" s="30"/>
      <c r="O11" s="30"/>
      <c r="P11" s="30"/>
      <c r="Q11" s="30"/>
      <c r="R11" s="30"/>
      <c r="S11" s="30"/>
      <c r="T11" s="30"/>
      <c r="U11" s="30"/>
      <c r="V11" s="30"/>
      <c r="W11" s="30"/>
      <c r="X11" s="468"/>
      <c r="Y11" s="468"/>
      <c r="Z11" s="469"/>
      <c r="AA11" s="451"/>
    </row>
    <row r="12" spans="1:29" s="14" customFormat="1" ht="43.5" customHeight="1">
      <c r="A12" s="7" t="s">
        <v>153</v>
      </c>
      <c r="B12" s="647" t="s">
        <v>163</v>
      </c>
      <c r="C12" s="647"/>
      <c r="D12" s="647"/>
      <c r="E12" s="647"/>
      <c r="F12" s="647"/>
      <c r="G12" s="647"/>
      <c r="H12" s="647"/>
      <c r="I12" s="132">
        <v>40</v>
      </c>
      <c r="J12" s="133" t="s">
        <v>147</v>
      </c>
      <c r="K12" s="10"/>
      <c r="L12" s="30"/>
      <c r="M12" s="30"/>
      <c r="N12" s="30"/>
      <c r="O12" s="30"/>
      <c r="P12" s="30"/>
      <c r="Q12" s="30"/>
      <c r="R12" s="30"/>
      <c r="S12" s="30"/>
      <c r="T12" s="30"/>
      <c r="U12" s="30"/>
      <c r="V12" s="30"/>
      <c r="W12" s="30"/>
      <c r="X12" s="475"/>
      <c r="Y12" s="475"/>
      <c r="Z12" s="476"/>
      <c r="AA12" s="451"/>
    </row>
    <row r="13" spans="1:29"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9"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9"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9"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pageMargins left="0" right="0" top="0.5" bottom="0" header="0" footer="0"/>
  <pageSetup scale="40" orientation="landscape" r:id="rId1"/>
  <drawing r:id="rId2"/>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630A1-9BE8-4660-A4E2-644F8AA3043E}">
  <dimension ref="A1:AC20"/>
  <sheetViews>
    <sheetView rightToLeft="1" zoomScale="70" zoomScaleNormal="70" zoomScaleSheetLayoutView="70" workbookViewId="0">
      <selection activeCell="AC8" sqref="AC8:AC12"/>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4.5703125"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29"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29">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29" s="3" customFormat="1" ht="28.5">
      <c r="A3" s="455" t="s">
        <v>141</v>
      </c>
      <c r="B3" s="456"/>
      <c r="C3" s="456"/>
      <c r="D3" s="456"/>
      <c r="E3" s="456"/>
      <c r="F3" s="456"/>
      <c r="G3" s="457" t="s">
        <v>3</v>
      </c>
      <c r="H3" s="457"/>
      <c r="I3" s="458" t="s">
        <v>142</v>
      </c>
      <c r="J3" s="458"/>
      <c r="K3" s="458"/>
      <c r="L3" s="458"/>
      <c r="M3" s="458"/>
      <c r="N3" s="458"/>
      <c r="O3" s="458"/>
      <c r="P3" s="458"/>
      <c r="Q3" s="458"/>
      <c r="R3" s="458"/>
      <c r="S3" s="458"/>
      <c r="T3" s="458"/>
      <c r="U3" s="458"/>
      <c r="V3" s="458"/>
      <c r="W3" s="458"/>
      <c r="X3" s="458"/>
      <c r="Y3" s="458"/>
      <c r="Z3" s="459"/>
      <c r="AA3" s="451"/>
    </row>
    <row r="4" spans="1:29" s="3" customFormat="1" ht="28.5" customHeight="1">
      <c r="A4" s="460" t="s">
        <v>143</v>
      </c>
      <c r="B4" s="461"/>
      <c r="C4" s="461"/>
      <c r="D4" s="461"/>
      <c r="E4" s="461"/>
      <c r="F4" s="462"/>
      <c r="G4" s="457" t="s">
        <v>144</v>
      </c>
      <c r="H4" s="457"/>
      <c r="I4" s="458"/>
      <c r="J4" s="458"/>
      <c r="K4" s="458"/>
      <c r="L4" s="458"/>
      <c r="M4" s="458"/>
      <c r="N4" s="458"/>
      <c r="O4" s="458"/>
      <c r="P4" s="458"/>
      <c r="Q4" s="458"/>
      <c r="R4" s="458"/>
      <c r="S4" s="458"/>
      <c r="T4" s="458"/>
      <c r="U4" s="458"/>
      <c r="V4" s="458"/>
      <c r="W4" s="458"/>
      <c r="X4" s="458"/>
      <c r="Y4" s="458"/>
      <c r="Z4" s="459"/>
      <c r="AA4" s="451"/>
    </row>
    <row r="5" spans="1:29" s="3" customFormat="1" ht="28.5" customHeight="1">
      <c r="A5" s="463"/>
      <c r="B5" s="464"/>
      <c r="C5" s="464"/>
      <c r="D5" s="464"/>
      <c r="E5" s="464"/>
      <c r="F5" s="465"/>
      <c r="G5" s="456" t="s">
        <v>145</v>
      </c>
      <c r="H5" s="456"/>
      <c r="I5" s="456" t="s">
        <v>8</v>
      </c>
      <c r="J5" s="456"/>
      <c r="K5" s="456"/>
      <c r="L5" s="456"/>
      <c r="M5" s="456"/>
      <c r="N5" s="456"/>
      <c r="O5" s="456"/>
      <c r="P5" s="456"/>
      <c r="Q5" s="456"/>
      <c r="R5" s="456"/>
      <c r="S5" s="456"/>
      <c r="T5" s="456"/>
      <c r="U5" s="456"/>
      <c r="V5" s="456"/>
      <c r="W5" s="456"/>
      <c r="X5" s="456"/>
      <c r="Y5" s="456"/>
      <c r="Z5" s="466"/>
      <c r="AA5" s="451"/>
    </row>
    <row r="6" spans="1:29"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29"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29" s="14" customFormat="1" ht="45">
      <c r="A8" s="7" t="s">
        <v>28</v>
      </c>
      <c r="B8" s="647" t="s">
        <v>146</v>
      </c>
      <c r="C8" s="647"/>
      <c r="D8" s="647"/>
      <c r="E8" s="647"/>
      <c r="F8" s="647"/>
      <c r="G8" s="647"/>
      <c r="H8" s="647"/>
      <c r="I8" s="132">
        <v>10</v>
      </c>
      <c r="J8" s="133" t="s">
        <v>147</v>
      </c>
      <c r="K8" s="10"/>
      <c r="L8" s="30"/>
      <c r="M8" s="30"/>
      <c r="N8" s="30"/>
      <c r="O8" s="30"/>
      <c r="P8" s="30"/>
      <c r="Q8" s="30"/>
      <c r="R8" s="30"/>
      <c r="S8" s="30"/>
      <c r="T8" s="30"/>
      <c r="U8" s="30"/>
      <c r="V8" s="30"/>
      <c r="W8" s="30"/>
      <c r="X8" s="475"/>
      <c r="Y8" s="475"/>
      <c r="Z8" s="476"/>
      <c r="AA8" s="451"/>
      <c r="AC8" s="14">
        <v>10</v>
      </c>
    </row>
    <row r="9" spans="1:29" s="14" customFormat="1" ht="42.75" customHeight="1">
      <c r="A9" s="7" t="s">
        <v>66</v>
      </c>
      <c r="B9" s="647" t="s">
        <v>148</v>
      </c>
      <c r="C9" s="647"/>
      <c r="D9" s="647"/>
      <c r="E9" s="647"/>
      <c r="F9" s="647"/>
      <c r="G9" s="647"/>
      <c r="H9" s="647"/>
      <c r="I9" s="132">
        <v>15</v>
      </c>
      <c r="J9" s="133" t="s">
        <v>149</v>
      </c>
      <c r="K9" s="10"/>
      <c r="L9" s="30"/>
      <c r="M9" s="30"/>
      <c r="N9" s="30"/>
      <c r="O9" s="30"/>
      <c r="P9" s="30"/>
      <c r="Q9" s="30"/>
      <c r="R9" s="30"/>
      <c r="S9" s="30"/>
      <c r="T9" s="30"/>
      <c r="U9" s="30"/>
      <c r="V9" s="30"/>
      <c r="W9" s="30"/>
      <c r="X9" s="475"/>
      <c r="Y9" s="475"/>
      <c r="Z9" s="476"/>
      <c r="AA9" s="451"/>
      <c r="AC9" s="14">
        <f>(15/9)*2</f>
        <v>3.3333333333333335</v>
      </c>
    </row>
    <row r="10" spans="1:29" s="14" customFormat="1" ht="69.75" customHeight="1">
      <c r="A10" s="7" t="s">
        <v>68</v>
      </c>
      <c r="B10" s="647" t="s">
        <v>150</v>
      </c>
      <c r="C10" s="647"/>
      <c r="D10" s="647"/>
      <c r="E10" s="647"/>
      <c r="F10" s="647"/>
      <c r="G10" s="647"/>
      <c r="H10" s="647"/>
      <c r="I10" s="132">
        <v>20</v>
      </c>
      <c r="J10" s="133" t="s">
        <v>151</v>
      </c>
      <c r="K10" s="10"/>
      <c r="L10" s="30"/>
      <c r="M10" s="30"/>
      <c r="N10" s="30"/>
      <c r="O10" s="30"/>
      <c r="P10" s="30"/>
      <c r="Q10" s="30"/>
      <c r="R10" s="30"/>
      <c r="S10" s="30"/>
      <c r="T10" s="30"/>
      <c r="U10" s="30"/>
      <c r="V10" s="30"/>
      <c r="W10" s="30"/>
      <c r="X10" s="468"/>
      <c r="Y10" s="468"/>
      <c r="Z10" s="469"/>
      <c r="AA10" s="451"/>
      <c r="AC10" s="14">
        <v>20</v>
      </c>
    </row>
    <row r="11" spans="1:29" s="14" customFormat="1" ht="42" customHeight="1">
      <c r="A11" s="7" t="s">
        <v>70</v>
      </c>
      <c r="B11" s="647" t="s">
        <v>152</v>
      </c>
      <c r="C11" s="647"/>
      <c r="D11" s="647"/>
      <c r="E11" s="647"/>
      <c r="F11" s="647"/>
      <c r="G11" s="647"/>
      <c r="H11" s="647"/>
      <c r="I11" s="132">
        <v>15</v>
      </c>
      <c r="J11" s="133" t="s">
        <v>147</v>
      </c>
      <c r="K11" s="10"/>
      <c r="L11" s="30"/>
      <c r="M11" s="30"/>
      <c r="N11" s="30"/>
      <c r="O11" s="30"/>
      <c r="P11" s="30"/>
      <c r="Q11" s="30"/>
      <c r="R11" s="30"/>
      <c r="S11" s="30"/>
      <c r="T11" s="30"/>
      <c r="U11" s="30"/>
      <c r="V11" s="30"/>
      <c r="W11" s="30"/>
      <c r="X11" s="468"/>
      <c r="Y11" s="468"/>
      <c r="Z11" s="469"/>
      <c r="AA11" s="451"/>
      <c r="AC11" s="14">
        <f>(15/10)*2</f>
        <v>3</v>
      </c>
    </row>
    <row r="12" spans="1:29" s="14" customFormat="1" ht="43.5" customHeight="1">
      <c r="A12" s="7" t="s">
        <v>153</v>
      </c>
      <c r="B12" s="647" t="s">
        <v>154</v>
      </c>
      <c r="C12" s="647"/>
      <c r="D12" s="647"/>
      <c r="E12" s="647"/>
      <c r="F12" s="647"/>
      <c r="G12" s="647"/>
      <c r="H12" s="647"/>
      <c r="I12" s="132">
        <v>40</v>
      </c>
      <c r="J12" s="133" t="s">
        <v>147</v>
      </c>
      <c r="K12" s="10"/>
      <c r="L12" s="30"/>
      <c r="M12" s="30"/>
      <c r="N12" s="30"/>
      <c r="O12" s="30"/>
      <c r="P12" s="30"/>
      <c r="Q12" s="30"/>
      <c r="R12" s="30"/>
      <c r="S12" s="30"/>
      <c r="T12" s="30"/>
      <c r="U12" s="30"/>
      <c r="V12" s="30"/>
      <c r="W12" s="30"/>
      <c r="X12" s="475"/>
      <c r="Y12" s="475"/>
      <c r="Z12" s="476"/>
      <c r="AA12" s="451"/>
      <c r="AC12" s="14">
        <f>(40/11)*2</f>
        <v>7.2727272727272725</v>
      </c>
    </row>
    <row r="13" spans="1:29" s="14" customFormat="1" ht="24">
      <c r="A13" s="7" t="s">
        <v>155</v>
      </c>
      <c r="B13" s="647"/>
      <c r="C13" s="647"/>
      <c r="D13" s="647"/>
      <c r="E13" s="647"/>
      <c r="F13" s="647"/>
      <c r="G13" s="647"/>
      <c r="H13" s="647"/>
      <c r="I13" s="132"/>
      <c r="J13" s="133"/>
      <c r="K13" s="10"/>
      <c r="L13" s="30"/>
      <c r="M13" s="30"/>
      <c r="N13" s="30"/>
      <c r="O13" s="30"/>
      <c r="P13" s="30"/>
      <c r="Q13" s="30"/>
      <c r="R13" s="30"/>
      <c r="S13" s="30"/>
      <c r="T13" s="30"/>
      <c r="U13" s="30"/>
      <c r="V13" s="30"/>
      <c r="W13" s="30"/>
      <c r="X13" s="468"/>
      <c r="Y13" s="468"/>
      <c r="Z13" s="469"/>
      <c r="AA13" s="451"/>
    </row>
    <row r="14" spans="1:29" s="14" customFormat="1" ht="24">
      <c r="A14" s="7" t="s">
        <v>156</v>
      </c>
      <c r="B14" s="647"/>
      <c r="C14" s="647"/>
      <c r="D14" s="647"/>
      <c r="E14" s="647"/>
      <c r="F14" s="647"/>
      <c r="G14" s="647"/>
      <c r="H14" s="647"/>
      <c r="I14" s="132"/>
      <c r="J14" s="133"/>
      <c r="K14" s="10"/>
      <c r="L14" s="134"/>
      <c r="M14" s="134"/>
      <c r="N14" s="134"/>
      <c r="O14" s="134"/>
      <c r="P14" s="134"/>
      <c r="Q14" s="134"/>
      <c r="R14" s="134"/>
      <c r="S14" s="134"/>
      <c r="T14" s="134"/>
      <c r="U14" s="134"/>
      <c r="V14" s="134"/>
      <c r="W14" s="134"/>
      <c r="X14" s="651"/>
      <c r="Y14" s="651"/>
      <c r="Z14" s="652"/>
      <c r="AA14" s="451"/>
    </row>
    <row r="15" spans="1:29" ht="57.75" customHeight="1">
      <c r="A15" s="488" t="s">
        <v>42</v>
      </c>
      <c r="B15" s="489"/>
      <c r="C15" s="489"/>
      <c r="D15" s="489"/>
      <c r="E15" s="490"/>
      <c r="F15" s="472" t="s">
        <v>43</v>
      </c>
      <c r="G15" s="472"/>
      <c r="H15" s="472"/>
      <c r="I15" s="472"/>
      <c r="J15" s="472"/>
      <c r="K15" s="472" t="s">
        <v>44</v>
      </c>
      <c r="L15" s="472"/>
      <c r="M15" s="472"/>
      <c r="N15" s="472"/>
      <c r="O15" s="491" t="s">
        <v>45</v>
      </c>
      <c r="P15" s="492"/>
      <c r="Q15" s="492"/>
      <c r="R15" s="492"/>
      <c r="S15" s="492"/>
      <c r="T15" s="492"/>
      <c r="U15" s="492"/>
      <c r="V15" s="492"/>
      <c r="W15" s="493"/>
      <c r="X15" s="472" t="s">
        <v>46</v>
      </c>
      <c r="Y15" s="472"/>
      <c r="Z15" s="472"/>
      <c r="AA15" s="451"/>
    </row>
    <row r="16" spans="1:29" s="20" customFormat="1" ht="28.5">
      <c r="A16" s="494"/>
      <c r="B16" s="495"/>
      <c r="C16" s="495"/>
      <c r="D16" s="495"/>
      <c r="E16" s="496"/>
      <c r="F16" s="503"/>
      <c r="G16" s="504"/>
      <c r="H16" s="504"/>
      <c r="I16" s="504"/>
      <c r="J16" s="505"/>
      <c r="K16" s="486" t="s">
        <v>47</v>
      </c>
      <c r="L16" s="486"/>
      <c r="M16" s="486"/>
      <c r="N16" s="486"/>
      <c r="O16" s="477"/>
      <c r="P16" s="478"/>
      <c r="Q16" s="478"/>
      <c r="R16" s="478"/>
      <c r="S16" s="478"/>
      <c r="T16" s="478"/>
      <c r="U16" s="478"/>
      <c r="V16" s="478"/>
      <c r="W16" s="512"/>
      <c r="X16" s="477"/>
      <c r="Y16" s="478"/>
      <c r="Z16" s="479"/>
    </row>
    <row r="17" spans="1:26" s="20" customFormat="1" ht="28.5">
      <c r="A17" s="497"/>
      <c r="B17" s="498"/>
      <c r="C17" s="498"/>
      <c r="D17" s="498"/>
      <c r="E17" s="499"/>
      <c r="F17" s="506"/>
      <c r="G17" s="507"/>
      <c r="H17" s="507"/>
      <c r="I17" s="507"/>
      <c r="J17" s="508"/>
      <c r="K17" s="486"/>
      <c r="L17" s="486"/>
      <c r="M17" s="486"/>
      <c r="N17" s="486"/>
      <c r="O17" s="480"/>
      <c r="P17" s="481"/>
      <c r="Q17" s="481"/>
      <c r="R17" s="481"/>
      <c r="S17" s="481"/>
      <c r="T17" s="481"/>
      <c r="U17" s="481"/>
      <c r="V17" s="481"/>
      <c r="W17" s="513"/>
      <c r="X17" s="480"/>
      <c r="Y17" s="481"/>
      <c r="Z17" s="482"/>
    </row>
    <row r="18" spans="1:26" s="20" customFormat="1" ht="28.5">
      <c r="A18" s="497"/>
      <c r="B18" s="498"/>
      <c r="C18" s="498"/>
      <c r="D18" s="498"/>
      <c r="E18" s="499"/>
      <c r="F18" s="506"/>
      <c r="G18" s="507"/>
      <c r="H18" s="507"/>
      <c r="I18" s="507"/>
      <c r="J18" s="508"/>
      <c r="K18" s="486" t="s">
        <v>48</v>
      </c>
      <c r="L18" s="486"/>
      <c r="M18" s="486"/>
      <c r="N18" s="486"/>
      <c r="O18" s="480"/>
      <c r="P18" s="481"/>
      <c r="Q18" s="481"/>
      <c r="R18" s="481"/>
      <c r="S18" s="481"/>
      <c r="T18" s="481"/>
      <c r="U18" s="481"/>
      <c r="V18" s="481"/>
      <c r="W18" s="513"/>
      <c r="X18" s="480"/>
      <c r="Y18" s="481"/>
      <c r="Z18" s="482"/>
    </row>
    <row r="19" spans="1:26" s="20" customFormat="1" ht="29.25" thickBot="1">
      <c r="A19" s="500"/>
      <c r="B19" s="501"/>
      <c r="C19" s="501"/>
      <c r="D19" s="501"/>
      <c r="E19" s="502"/>
      <c r="F19" s="509"/>
      <c r="G19" s="510"/>
      <c r="H19" s="510"/>
      <c r="I19" s="510"/>
      <c r="J19" s="511"/>
      <c r="K19" s="487"/>
      <c r="L19" s="487"/>
      <c r="M19" s="487"/>
      <c r="N19" s="487"/>
      <c r="O19" s="483"/>
      <c r="P19" s="484"/>
      <c r="Q19" s="484"/>
      <c r="R19" s="484"/>
      <c r="S19" s="484"/>
      <c r="T19" s="484"/>
      <c r="U19" s="484"/>
      <c r="V19" s="484"/>
      <c r="W19" s="514"/>
      <c r="X19" s="483"/>
      <c r="Y19" s="484"/>
      <c r="Z19" s="485"/>
    </row>
    <row r="20" spans="1:26" ht="18.75" thickTop="1"/>
  </sheetData>
  <mergeCells count="44">
    <mergeCell ref="A16:E19"/>
    <mergeCell ref="F16:J19"/>
    <mergeCell ref="K16:K17"/>
    <mergeCell ref="L16:N17"/>
    <mergeCell ref="O16:W19"/>
    <mergeCell ref="B14:H14"/>
    <mergeCell ref="X14:Z14"/>
    <mergeCell ref="A15:E15"/>
    <mergeCell ref="F15:J15"/>
    <mergeCell ref="K15:N15"/>
    <mergeCell ref="O15:W15"/>
    <mergeCell ref="X15:Z15"/>
    <mergeCell ref="X13:Z13"/>
    <mergeCell ref="X16:Z19"/>
    <mergeCell ref="K18:K19"/>
    <mergeCell ref="A1:Y1"/>
    <mergeCell ref="B9:H9"/>
    <mergeCell ref="X9:Z9"/>
    <mergeCell ref="B11:H11"/>
    <mergeCell ref="X11:Z11"/>
    <mergeCell ref="B12:H12"/>
    <mergeCell ref="X12:Z12"/>
    <mergeCell ref="K6:K7"/>
    <mergeCell ref="L6:W6"/>
    <mergeCell ref="X6:Z7"/>
    <mergeCell ref="B8:H8"/>
    <mergeCell ref="X8:Z8"/>
    <mergeCell ref="L18:N19"/>
    <mergeCell ref="AA1:AA15"/>
    <mergeCell ref="A2:Z2"/>
    <mergeCell ref="A3:F3"/>
    <mergeCell ref="G3:H3"/>
    <mergeCell ref="I3:Z4"/>
    <mergeCell ref="A4:F5"/>
    <mergeCell ref="G4:H4"/>
    <mergeCell ref="G5:H5"/>
    <mergeCell ref="I5:Z5"/>
    <mergeCell ref="B10:H10"/>
    <mergeCell ref="X10:Z10"/>
    <mergeCell ref="A6:A7"/>
    <mergeCell ref="B6:H7"/>
    <mergeCell ref="I6:I7"/>
    <mergeCell ref="J6:J7"/>
    <mergeCell ref="B13:H13"/>
  </mergeCells>
  <printOptions horizontalCentered="1"/>
  <pageMargins left="0" right="0" top="0.5" bottom="0" header="0" footer="0"/>
  <pageSetup scale="40" orientation="landscape" r:id="rId1"/>
  <drawing r:id="rId2"/>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015EB-7C44-48F7-A966-003B0D2DFCAC}">
  <dimension ref="A1:AH22"/>
  <sheetViews>
    <sheetView rightToLeft="1" zoomScale="55" zoomScaleNormal="55" zoomScaleSheetLayoutView="55" workbookViewId="0">
      <selection activeCell="A9" sqref="A9:XFD9"/>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5" width="4.7109375" style="21" customWidth="1"/>
    <col min="16" max="16" width="9.7109375" style="21" customWidth="1"/>
    <col min="17" max="17" width="16.42578125" style="21" customWidth="1"/>
    <col min="18" max="18" width="4.7109375" style="21" customWidth="1"/>
    <col min="19" max="19" width="6.140625" style="21" customWidth="1"/>
    <col min="20" max="28" width="4.7109375" style="21" customWidth="1"/>
    <col min="29" max="29" width="4.42578125" style="21" bestFit="1" customWidth="1"/>
    <col min="30" max="30" width="7.140625" style="21" customWidth="1"/>
    <col min="31" max="31" width="45.5703125" style="21" customWidth="1"/>
    <col min="32" max="32" width="3.140625" style="2" customWidth="1"/>
    <col min="33" max="33" width="4.140625" style="2" customWidth="1"/>
    <col min="34" max="16384" width="9.140625" style="2"/>
  </cols>
  <sheetData>
    <row r="1" spans="1:34"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450"/>
      <c r="AA1" s="450"/>
      <c r="AB1" s="450"/>
      <c r="AC1" s="450"/>
      <c r="AD1" s="450"/>
      <c r="AE1" s="1" t="s">
        <v>1</v>
      </c>
      <c r="AF1" s="451"/>
    </row>
    <row r="2" spans="1:34">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4"/>
      <c r="AF2" s="451"/>
    </row>
    <row r="3" spans="1:34" s="3" customFormat="1" ht="28.5">
      <c r="A3" s="455" t="s">
        <v>125</v>
      </c>
      <c r="B3" s="456"/>
      <c r="C3" s="456"/>
      <c r="D3" s="456"/>
      <c r="E3" s="456"/>
      <c r="F3" s="456"/>
      <c r="G3" s="457" t="s">
        <v>3</v>
      </c>
      <c r="H3" s="457"/>
      <c r="I3" s="458" t="s">
        <v>126</v>
      </c>
      <c r="J3" s="458"/>
      <c r="K3" s="458"/>
      <c r="L3" s="458"/>
      <c r="M3" s="458"/>
      <c r="N3" s="458"/>
      <c r="O3" s="458"/>
      <c r="P3" s="458"/>
      <c r="Q3" s="458"/>
      <c r="R3" s="458"/>
      <c r="S3" s="458"/>
      <c r="T3" s="458"/>
      <c r="U3" s="458"/>
      <c r="V3" s="458"/>
      <c r="W3" s="458"/>
      <c r="X3" s="458"/>
      <c r="Y3" s="458"/>
      <c r="Z3" s="458"/>
      <c r="AA3" s="458"/>
      <c r="AB3" s="458"/>
      <c r="AC3" s="458"/>
      <c r="AD3" s="458"/>
      <c r="AE3" s="459"/>
      <c r="AF3" s="451"/>
    </row>
    <row r="4" spans="1:34" s="3" customFormat="1" ht="28.5" customHeight="1">
      <c r="A4" s="460" t="s">
        <v>5</v>
      </c>
      <c r="B4" s="461"/>
      <c r="C4" s="461"/>
      <c r="D4" s="461"/>
      <c r="E4" s="461"/>
      <c r="F4" s="462"/>
      <c r="G4" s="457" t="s">
        <v>6</v>
      </c>
      <c r="H4" s="457"/>
      <c r="I4" s="458"/>
      <c r="J4" s="458"/>
      <c r="K4" s="458"/>
      <c r="L4" s="458"/>
      <c r="M4" s="458"/>
      <c r="N4" s="458"/>
      <c r="O4" s="458"/>
      <c r="P4" s="458"/>
      <c r="Q4" s="458"/>
      <c r="R4" s="458"/>
      <c r="S4" s="458"/>
      <c r="T4" s="458"/>
      <c r="U4" s="458"/>
      <c r="V4" s="458"/>
      <c r="W4" s="458"/>
      <c r="X4" s="458"/>
      <c r="Y4" s="458"/>
      <c r="Z4" s="458"/>
      <c r="AA4" s="458"/>
      <c r="AB4" s="458"/>
      <c r="AC4" s="458"/>
      <c r="AD4" s="458"/>
      <c r="AE4" s="459"/>
      <c r="AF4" s="451"/>
    </row>
    <row r="5" spans="1:34" s="3" customFormat="1" ht="28.5" customHeight="1">
      <c r="A5" s="463"/>
      <c r="B5" s="464"/>
      <c r="C5" s="464"/>
      <c r="D5" s="464"/>
      <c r="E5" s="464"/>
      <c r="F5" s="465"/>
      <c r="G5" s="456" t="s">
        <v>127</v>
      </c>
      <c r="H5" s="456"/>
      <c r="I5" s="456" t="s">
        <v>8</v>
      </c>
      <c r="J5" s="456"/>
      <c r="K5" s="456"/>
      <c r="L5" s="456"/>
      <c r="M5" s="456"/>
      <c r="N5" s="456"/>
      <c r="O5" s="456"/>
      <c r="P5" s="456"/>
      <c r="Q5" s="456"/>
      <c r="R5" s="456"/>
      <c r="S5" s="456"/>
      <c r="T5" s="456"/>
      <c r="U5" s="456"/>
      <c r="V5" s="456"/>
      <c r="W5" s="456"/>
      <c r="X5" s="456"/>
      <c r="Y5" s="456"/>
      <c r="Z5" s="456"/>
      <c r="AA5" s="456"/>
      <c r="AB5" s="456"/>
      <c r="AC5" s="456"/>
      <c r="AD5" s="456"/>
      <c r="AE5" s="466"/>
      <c r="AF5" s="451"/>
    </row>
    <row r="6" spans="1:34" ht="28.5">
      <c r="A6" s="470" t="s">
        <v>9</v>
      </c>
      <c r="B6" s="471" t="s">
        <v>10</v>
      </c>
      <c r="C6" s="471"/>
      <c r="D6" s="471"/>
      <c r="E6" s="471"/>
      <c r="F6" s="471"/>
      <c r="G6" s="471"/>
      <c r="H6" s="471"/>
      <c r="I6" s="472" t="s">
        <v>11</v>
      </c>
      <c r="J6" s="471" t="s">
        <v>12</v>
      </c>
      <c r="K6" s="472" t="s">
        <v>13</v>
      </c>
      <c r="L6" s="1143" t="s">
        <v>128</v>
      </c>
      <c r="M6" s="489"/>
      <c r="N6" s="489"/>
      <c r="O6" s="489"/>
      <c r="P6" s="489"/>
      <c r="Q6" s="490"/>
      <c r="R6" s="1143" t="s">
        <v>129</v>
      </c>
      <c r="S6" s="489"/>
      <c r="T6" s="489"/>
      <c r="U6" s="489"/>
      <c r="V6" s="489"/>
      <c r="W6" s="489"/>
      <c r="X6" s="489"/>
      <c r="Y6" s="489"/>
      <c r="Z6" s="489"/>
      <c r="AA6" s="489"/>
      <c r="AB6" s="490"/>
      <c r="AC6" s="471" t="s">
        <v>15</v>
      </c>
      <c r="AD6" s="471"/>
      <c r="AE6" s="473"/>
      <c r="AF6" s="451"/>
    </row>
    <row r="7" spans="1:34" ht="56.25">
      <c r="A7" s="470"/>
      <c r="B7" s="471"/>
      <c r="C7" s="471"/>
      <c r="D7" s="471"/>
      <c r="E7" s="471"/>
      <c r="F7" s="471"/>
      <c r="G7" s="471"/>
      <c r="H7" s="471"/>
      <c r="I7" s="1142"/>
      <c r="J7" s="1142"/>
      <c r="K7" s="1142"/>
      <c r="L7" s="124" t="s">
        <v>22</v>
      </c>
      <c r="M7" s="124" t="s">
        <v>23</v>
      </c>
      <c r="N7" s="124" t="s">
        <v>24</v>
      </c>
      <c r="O7" s="124" t="s">
        <v>130</v>
      </c>
      <c r="P7" s="124" t="s">
        <v>26</v>
      </c>
      <c r="Q7" s="124" t="s">
        <v>27</v>
      </c>
      <c r="R7" s="124" t="s">
        <v>17</v>
      </c>
      <c r="S7" s="124" t="s">
        <v>18</v>
      </c>
      <c r="T7" s="124" t="s">
        <v>19</v>
      </c>
      <c r="U7" s="124" t="s">
        <v>20</v>
      </c>
      <c r="V7" s="124" t="s">
        <v>21</v>
      </c>
      <c r="W7" s="124" t="s">
        <v>22</v>
      </c>
      <c r="X7" s="124" t="s">
        <v>23</v>
      </c>
      <c r="Y7" s="124" t="s">
        <v>24</v>
      </c>
      <c r="Z7" s="124" t="s">
        <v>25</v>
      </c>
      <c r="AA7" s="124" t="s">
        <v>26</v>
      </c>
      <c r="AB7" s="124" t="s">
        <v>27</v>
      </c>
      <c r="AC7" s="471"/>
      <c r="AD7" s="471"/>
      <c r="AE7" s="473"/>
      <c r="AF7" s="451"/>
    </row>
    <row r="8" spans="1:34" ht="28.5">
      <c r="A8" s="23" t="s">
        <v>28</v>
      </c>
      <c r="B8" s="1144" t="s">
        <v>131</v>
      </c>
      <c r="C8" s="1145"/>
      <c r="D8" s="1145"/>
      <c r="E8" s="1145"/>
      <c r="F8" s="1145"/>
      <c r="G8" s="1145"/>
      <c r="H8" s="1145"/>
      <c r="I8" s="125">
        <v>50</v>
      </c>
      <c r="J8" s="39" t="s">
        <v>65</v>
      </c>
      <c r="K8" s="126"/>
      <c r="L8" s="127"/>
      <c r="M8" s="127"/>
      <c r="N8" s="127"/>
      <c r="O8" s="127"/>
      <c r="P8" s="127"/>
      <c r="Q8" s="127"/>
      <c r="R8" s="128"/>
      <c r="S8" s="128"/>
      <c r="T8" s="128"/>
      <c r="U8" s="128"/>
      <c r="V8" s="128"/>
      <c r="W8" s="128"/>
      <c r="X8" s="128"/>
      <c r="Y8" s="128"/>
      <c r="Z8" s="128"/>
      <c r="AA8" s="128"/>
      <c r="AB8" s="128"/>
      <c r="AC8" s="1146" t="s">
        <v>132</v>
      </c>
      <c r="AD8" s="1146"/>
      <c r="AE8" s="1147"/>
      <c r="AF8" s="451"/>
    </row>
    <row r="9" spans="1:34" ht="28.5">
      <c r="A9" s="23" t="s">
        <v>32</v>
      </c>
      <c r="B9" s="1151" t="s">
        <v>133</v>
      </c>
      <c r="C9" s="1152"/>
      <c r="D9" s="1152"/>
      <c r="E9" s="1152"/>
      <c r="F9" s="1152"/>
      <c r="G9" s="1152"/>
      <c r="H9" s="1152"/>
      <c r="I9" s="125">
        <v>10</v>
      </c>
      <c r="J9" s="39" t="s">
        <v>65</v>
      </c>
      <c r="K9" s="126"/>
      <c r="L9" s="127"/>
      <c r="M9" s="128"/>
      <c r="N9" s="128"/>
      <c r="O9" s="128"/>
      <c r="P9" s="128"/>
      <c r="Q9" s="128"/>
      <c r="R9" s="128"/>
      <c r="S9" s="128"/>
      <c r="T9" s="128"/>
      <c r="U9" s="128"/>
      <c r="V9" s="128"/>
      <c r="W9" s="128"/>
      <c r="X9" s="128"/>
      <c r="Y9" s="128"/>
      <c r="Z9" s="128"/>
      <c r="AA9" s="128"/>
      <c r="AB9" s="128"/>
      <c r="AC9" s="1047"/>
      <c r="AD9" s="1047"/>
      <c r="AE9" s="1148"/>
      <c r="AF9" s="451"/>
    </row>
    <row r="10" spans="1:34" ht="28.5">
      <c r="A10" s="23" t="s">
        <v>34</v>
      </c>
      <c r="B10" s="1151" t="s">
        <v>134</v>
      </c>
      <c r="C10" s="1152"/>
      <c r="D10" s="1152"/>
      <c r="E10" s="1152"/>
      <c r="F10" s="1152"/>
      <c r="G10" s="1152"/>
      <c r="H10" s="1152"/>
      <c r="I10" s="125">
        <v>15</v>
      </c>
      <c r="J10" s="39" t="s">
        <v>65</v>
      </c>
      <c r="K10" s="126"/>
      <c r="L10" s="128"/>
      <c r="M10" s="128"/>
      <c r="N10" s="128"/>
      <c r="O10" s="128"/>
      <c r="P10" s="127"/>
      <c r="Q10" s="127"/>
      <c r="R10" s="128"/>
      <c r="S10" s="128"/>
      <c r="T10" s="128"/>
      <c r="U10" s="128"/>
      <c r="V10" s="128"/>
      <c r="W10" s="128"/>
      <c r="X10" s="128"/>
      <c r="Y10" s="128"/>
      <c r="Z10" s="128"/>
      <c r="AA10" s="128"/>
      <c r="AB10" s="128"/>
      <c r="AC10" s="1047"/>
      <c r="AD10" s="1047"/>
      <c r="AE10" s="1148"/>
      <c r="AF10" s="451"/>
    </row>
    <row r="11" spans="1:34" ht="28.5">
      <c r="A11" s="23" t="s">
        <v>36</v>
      </c>
      <c r="B11" s="1151" t="s">
        <v>135</v>
      </c>
      <c r="C11" s="1152"/>
      <c r="D11" s="1152"/>
      <c r="E11" s="1152"/>
      <c r="F11" s="1152"/>
      <c r="G11" s="1152"/>
      <c r="H11" s="1152"/>
      <c r="I11" s="125">
        <v>10</v>
      </c>
      <c r="J11" s="39" t="s">
        <v>65</v>
      </c>
      <c r="K11" s="126"/>
      <c r="L11" s="128"/>
      <c r="M11" s="128"/>
      <c r="N11" s="128"/>
      <c r="O11" s="128"/>
      <c r="P11" s="127"/>
      <c r="Q11" s="127"/>
      <c r="R11" s="128"/>
      <c r="S11" s="128"/>
      <c r="T11" s="128"/>
      <c r="U11" s="128"/>
      <c r="V11" s="128"/>
      <c r="W11" s="128"/>
      <c r="X11" s="128"/>
      <c r="Y11" s="128"/>
      <c r="Z11" s="128"/>
      <c r="AA11" s="128"/>
      <c r="AB11" s="128"/>
      <c r="AC11" s="1047"/>
      <c r="AD11" s="1047"/>
      <c r="AE11" s="1148"/>
      <c r="AF11" s="451"/>
    </row>
    <row r="12" spans="1:34" ht="28.5">
      <c r="A12" s="23" t="s">
        <v>38</v>
      </c>
      <c r="B12" s="1151" t="s">
        <v>136</v>
      </c>
      <c r="C12" s="1152"/>
      <c r="D12" s="1152"/>
      <c r="E12" s="1152"/>
      <c r="F12" s="1152"/>
      <c r="G12" s="1152"/>
      <c r="H12" s="1152"/>
      <c r="I12" s="125">
        <v>15</v>
      </c>
      <c r="J12" s="39" t="s">
        <v>65</v>
      </c>
      <c r="K12" s="126"/>
      <c r="L12" s="128"/>
      <c r="M12" s="128"/>
      <c r="N12" s="128"/>
      <c r="O12" s="128"/>
      <c r="P12" s="127"/>
      <c r="Q12" s="127"/>
      <c r="R12" s="128"/>
      <c r="S12" s="128"/>
      <c r="T12" s="128"/>
      <c r="U12" s="128"/>
      <c r="V12" s="128"/>
      <c r="W12" s="128"/>
      <c r="X12" s="128"/>
      <c r="Y12" s="128"/>
      <c r="Z12" s="128"/>
      <c r="AA12" s="128"/>
      <c r="AB12" s="128"/>
      <c r="AC12" s="1149"/>
      <c r="AD12" s="1149"/>
      <c r="AE12" s="1150"/>
      <c r="AF12" s="451"/>
    </row>
    <row r="13" spans="1:34" s="14" customFormat="1" ht="45">
      <c r="A13" s="23" t="s">
        <v>66</v>
      </c>
      <c r="B13" s="1153" t="s">
        <v>137</v>
      </c>
      <c r="C13" s="1153"/>
      <c r="D13" s="1153"/>
      <c r="E13" s="1153"/>
      <c r="F13" s="1153"/>
      <c r="G13" s="1153"/>
      <c r="H13" s="1154"/>
      <c r="I13" s="61">
        <v>50</v>
      </c>
      <c r="J13" s="39" t="s">
        <v>65</v>
      </c>
      <c r="K13" s="130" t="s">
        <v>138</v>
      </c>
      <c r="L13" s="93"/>
      <c r="M13" s="93"/>
      <c r="N13" s="93"/>
      <c r="O13" s="93"/>
      <c r="P13" s="93"/>
      <c r="Q13" s="93"/>
      <c r="R13" s="93"/>
      <c r="S13" s="93"/>
      <c r="T13" s="131"/>
      <c r="U13" s="131"/>
      <c r="V13" s="131"/>
      <c r="W13" s="131"/>
      <c r="X13" s="131"/>
      <c r="Y13" s="131"/>
      <c r="Z13" s="131"/>
      <c r="AA13" s="131"/>
      <c r="AB13" s="131"/>
      <c r="AC13" s="1155"/>
      <c r="AD13" s="475"/>
      <c r="AE13" s="476"/>
      <c r="AF13" s="451"/>
    </row>
    <row r="14" spans="1:34" s="14" customFormat="1" ht="31.5">
      <c r="A14" s="23" t="s">
        <v>89</v>
      </c>
      <c r="B14" s="467" t="s">
        <v>139</v>
      </c>
      <c r="C14" s="467"/>
      <c r="D14" s="467"/>
      <c r="E14" s="467"/>
      <c r="F14" s="467"/>
      <c r="G14" s="467"/>
      <c r="H14" s="1156"/>
      <c r="I14" s="52">
        <v>15</v>
      </c>
      <c r="J14" s="39" t="s">
        <v>65</v>
      </c>
      <c r="K14" s="130"/>
      <c r="L14" s="93"/>
      <c r="M14" s="93"/>
      <c r="N14" s="93"/>
      <c r="O14" s="93"/>
      <c r="P14" s="93"/>
      <c r="Q14" s="93"/>
      <c r="R14" s="93"/>
      <c r="S14" s="93"/>
      <c r="T14" s="131"/>
      <c r="U14" s="131"/>
      <c r="V14" s="131"/>
      <c r="W14" s="93"/>
      <c r="X14" s="93"/>
      <c r="Y14" s="45"/>
      <c r="Z14" s="45"/>
      <c r="AA14" s="45"/>
      <c r="AB14" s="45"/>
      <c r="AC14" s="1155"/>
      <c r="AD14" s="475"/>
      <c r="AE14" s="476"/>
      <c r="AF14" s="451"/>
      <c r="AH14" s="14">
        <f>15</f>
        <v>15</v>
      </c>
    </row>
    <row r="15" spans="1:34" s="14" customFormat="1" ht="31.5">
      <c r="A15" s="23" t="s">
        <v>91</v>
      </c>
      <c r="B15" s="467" t="s">
        <v>139</v>
      </c>
      <c r="C15" s="467"/>
      <c r="D15" s="467"/>
      <c r="E15" s="467"/>
      <c r="F15" s="467"/>
      <c r="G15" s="467"/>
      <c r="H15" s="1156"/>
      <c r="I15" s="52">
        <v>15</v>
      </c>
      <c r="J15" s="39" t="s">
        <v>65</v>
      </c>
      <c r="K15" s="130"/>
      <c r="L15" s="93"/>
      <c r="M15" s="93"/>
      <c r="N15" s="93"/>
      <c r="O15" s="93"/>
      <c r="P15" s="93"/>
      <c r="Q15" s="93"/>
      <c r="R15" s="93"/>
      <c r="S15" s="93"/>
      <c r="T15" s="93"/>
      <c r="U15" s="93"/>
      <c r="V15" s="93"/>
      <c r="W15" s="131"/>
      <c r="X15" s="131"/>
      <c r="Y15" s="131"/>
      <c r="Z15" s="45"/>
      <c r="AA15" s="45"/>
      <c r="AB15" s="45"/>
      <c r="AC15" s="1157"/>
      <c r="AD15" s="468"/>
      <c r="AE15" s="469"/>
      <c r="AF15" s="451"/>
    </row>
    <row r="16" spans="1:34" s="14" customFormat="1" ht="31.5">
      <c r="A16" s="23" t="s">
        <v>110</v>
      </c>
      <c r="B16" s="467" t="s">
        <v>140</v>
      </c>
      <c r="C16" s="467"/>
      <c r="D16" s="467"/>
      <c r="E16" s="467"/>
      <c r="F16" s="467"/>
      <c r="G16" s="467"/>
      <c r="H16" s="1156"/>
      <c r="I16" s="52">
        <v>20</v>
      </c>
      <c r="J16" s="39" t="s">
        <v>65</v>
      </c>
      <c r="K16" s="130"/>
      <c r="L16" s="93"/>
      <c r="M16" s="93"/>
      <c r="N16" s="93"/>
      <c r="O16" s="93"/>
      <c r="P16" s="93"/>
      <c r="Q16" s="93"/>
      <c r="R16" s="93"/>
      <c r="S16" s="93"/>
      <c r="T16" s="93"/>
      <c r="U16" s="93"/>
      <c r="V16" s="93"/>
      <c r="W16" s="93"/>
      <c r="X16" s="93"/>
      <c r="Y16" s="45"/>
      <c r="Z16" s="131"/>
      <c r="AA16" s="131"/>
      <c r="AB16" s="131"/>
      <c r="AC16" s="1157"/>
      <c r="AD16" s="468"/>
      <c r="AE16" s="469"/>
      <c r="AF16" s="451"/>
    </row>
    <row r="17" spans="1:32" ht="57.75" customHeight="1">
      <c r="A17" s="488" t="s">
        <v>42</v>
      </c>
      <c r="B17" s="489"/>
      <c r="C17" s="489"/>
      <c r="D17" s="489"/>
      <c r="E17" s="490"/>
      <c r="F17" s="472" t="s">
        <v>43</v>
      </c>
      <c r="G17" s="472"/>
      <c r="H17" s="472"/>
      <c r="I17" s="1158"/>
      <c r="J17" s="1158"/>
      <c r="K17" s="1158" t="s">
        <v>44</v>
      </c>
      <c r="L17" s="1158"/>
      <c r="M17" s="1158"/>
      <c r="N17" s="1158"/>
      <c r="O17" s="1158"/>
      <c r="P17" s="1158"/>
      <c r="Q17" s="1158"/>
      <c r="R17" s="1158"/>
      <c r="S17" s="1158"/>
      <c r="T17" s="1159" t="s">
        <v>45</v>
      </c>
      <c r="U17" s="1160"/>
      <c r="V17" s="1160"/>
      <c r="W17" s="1160"/>
      <c r="X17" s="1160"/>
      <c r="Y17" s="1160"/>
      <c r="Z17" s="1160"/>
      <c r="AA17" s="1160"/>
      <c r="AB17" s="1161"/>
      <c r="AC17" s="472" t="s">
        <v>46</v>
      </c>
      <c r="AD17" s="472"/>
      <c r="AE17" s="472"/>
      <c r="AF17" s="451"/>
    </row>
    <row r="18" spans="1:32" s="20" customFormat="1" ht="28.5">
      <c r="A18" s="494"/>
      <c r="B18" s="495"/>
      <c r="C18" s="495"/>
      <c r="D18" s="495"/>
      <c r="E18" s="496"/>
      <c r="F18" s="503"/>
      <c r="G18" s="504"/>
      <c r="H18" s="504"/>
      <c r="I18" s="504"/>
      <c r="J18" s="505"/>
      <c r="K18" s="486" t="s">
        <v>47</v>
      </c>
      <c r="L18" s="486"/>
      <c r="M18" s="486"/>
      <c r="N18" s="486"/>
      <c r="O18" s="486"/>
      <c r="P18" s="486"/>
      <c r="Q18" s="486"/>
      <c r="R18" s="486"/>
      <c r="S18" s="486"/>
      <c r="T18" s="477"/>
      <c r="U18" s="478"/>
      <c r="V18" s="478"/>
      <c r="W18" s="478"/>
      <c r="X18" s="478"/>
      <c r="Y18" s="478"/>
      <c r="Z18" s="478"/>
      <c r="AA18" s="478"/>
      <c r="AB18" s="512"/>
      <c r="AC18" s="477"/>
      <c r="AD18" s="478"/>
      <c r="AE18" s="479"/>
    </row>
    <row r="19" spans="1:32" s="20" customFormat="1" ht="28.5">
      <c r="A19" s="497"/>
      <c r="B19" s="498"/>
      <c r="C19" s="498"/>
      <c r="D19" s="498"/>
      <c r="E19" s="499"/>
      <c r="F19" s="506"/>
      <c r="G19" s="507"/>
      <c r="H19" s="507"/>
      <c r="I19" s="507"/>
      <c r="J19" s="508"/>
      <c r="K19" s="486"/>
      <c r="L19" s="486"/>
      <c r="M19" s="486"/>
      <c r="N19" s="486"/>
      <c r="O19" s="486"/>
      <c r="P19" s="486"/>
      <c r="Q19" s="486"/>
      <c r="R19" s="486"/>
      <c r="S19" s="486"/>
      <c r="T19" s="480"/>
      <c r="U19" s="481"/>
      <c r="V19" s="481"/>
      <c r="W19" s="481"/>
      <c r="X19" s="481"/>
      <c r="Y19" s="481"/>
      <c r="Z19" s="481"/>
      <c r="AA19" s="481"/>
      <c r="AB19" s="513"/>
      <c r="AC19" s="480"/>
      <c r="AD19" s="481"/>
      <c r="AE19" s="482"/>
    </row>
    <row r="20" spans="1:32" s="20" customFormat="1" ht="28.5">
      <c r="A20" s="497"/>
      <c r="B20" s="498"/>
      <c r="C20" s="498"/>
      <c r="D20" s="498"/>
      <c r="E20" s="499"/>
      <c r="F20" s="506"/>
      <c r="G20" s="507"/>
      <c r="H20" s="507"/>
      <c r="I20" s="507"/>
      <c r="J20" s="508"/>
      <c r="K20" s="486" t="s">
        <v>48</v>
      </c>
      <c r="L20" s="486"/>
      <c r="M20" s="486"/>
      <c r="N20" s="486"/>
      <c r="O20" s="486"/>
      <c r="P20" s="486"/>
      <c r="Q20" s="486"/>
      <c r="R20" s="486"/>
      <c r="S20" s="486"/>
      <c r="T20" s="480"/>
      <c r="U20" s="481"/>
      <c r="V20" s="481"/>
      <c r="W20" s="481"/>
      <c r="X20" s="481"/>
      <c r="Y20" s="481"/>
      <c r="Z20" s="481"/>
      <c r="AA20" s="481"/>
      <c r="AB20" s="513"/>
      <c r="AC20" s="480"/>
      <c r="AD20" s="481"/>
      <c r="AE20" s="482"/>
    </row>
    <row r="21" spans="1:32" s="20" customFormat="1" ht="29.25" thickBot="1">
      <c r="A21" s="500"/>
      <c r="B21" s="501"/>
      <c r="C21" s="501"/>
      <c r="D21" s="501"/>
      <c r="E21" s="502"/>
      <c r="F21" s="509"/>
      <c r="G21" s="510"/>
      <c r="H21" s="510"/>
      <c r="I21" s="510"/>
      <c r="J21" s="511"/>
      <c r="K21" s="487"/>
      <c r="L21" s="487"/>
      <c r="M21" s="487"/>
      <c r="N21" s="487"/>
      <c r="O21" s="487"/>
      <c r="P21" s="487"/>
      <c r="Q21" s="487"/>
      <c r="R21" s="487"/>
      <c r="S21" s="487"/>
      <c r="T21" s="483"/>
      <c r="U21" s="484"/>
      <c r="V21" s="484"/>
      <c r="W21" s="484"/>
      <c r="X21" s="484"/>
      <c r="Y21" s="484"/>
      <c r="Z21" s="484"/>
      <c r="AA21" s="484"/>
      <c r="AB21" s="514"/>
      <c r="AC21" s="483"/>
      <c r="AD21" s="484"/>
      <c r="AE21" s="485"/>
    </row>
    <row r="22" spans="1:32" ht="18.75" thickTop="1"/>
  </sheetData>
  <mergeCells count="45">
    <mergeCell ref="AC18:AE21"/>
    <mergeCell ref="K20:K21"/>
    <mergeCell ref="L20:S21"/>
    <mergeCell ref="B16:H16"/>
    <mergeCell ref="AC16:AE16"/>
    <mergeCell ref="A17:E17"/>
    <mergeCell ref="F17:J17"/>
    <mergeCell ref="K17:S17"/>
    <mergeCell ref="T17:AB17"/>
    <mergeCell ref="AC17:AE17"/>
    <mergeCell ref="A18:E21"/>
    <mergeCell ref="F18:J21"/>
    <mergeCell ref="K18:K19"/>
    <mergeCell ref="L18:S19"/>
    <mergeCell ref="T18:AB21"/>
    <mergeCell ref="B13:H13"/>
    <mergeCell ref="AC13:AE13"/>
    <mergeCell ref="B14:H14"/>
    <mergeCell ref="AC14:AE14"/>
    <mergeCell ref="B15:H15"/>
    <mergeCell ref="AC15:AE15"/>
    <mergeCell ref="AC6:AE7"/>
    <mergeCell ref="B8:H8"/>
    <mergeCell ref="AC8:AE12"/>
    <mergeCell ref="B9:H9"/>
    <mergeCell ref="B10:H10"/>
    <mergeCell ref="B11:H11"/>
    <mergeCell ref="B12:H12"/>
    <mergeCell ref="L6:Q6"/>
    <mergeCell ref="A1:AD1"/>
    <mergeCell ref="AF1:AF17"/>
    <mergeCell ref="A2:AE2"/>
    <mergeCell ref="A3:F3"/>
    <mergeCell ref="G3:H3"/>
    <mergeCell ref="I3:AE4"/>
    <mergeCell ref="A4:F5"/>
    <mergeCell ref="G4:H4"/>
    <mergeCell ref="G5:H5"/>
    <mergeCell ref="I5:AE5"/>
    <mergeCell ref="A6:A7"/>
    <mergeCell ref="B6:H7"/>
    <mergeCell ref="I6:I7"/>
    <mergeCell ref="J6:J7"/>
    <mergeCell ref="K6:K7"/>
    <mergeCell ref="R6:AB6"/>
  </mergeCells>
  <printOptions horizontalCentered="1" verticalCentered="1"/>
  <pageMargins left="0" right="0" top="0" bottom="0" header="0" footer="0"/>
  <pageSetup scale="36" orientation="landscape"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8609-C111-417A-A7AC-54BC12F3289B}">
  <dimension ref="A1:AC32"/>
  <sheetViews>
    <sheetView rightToLeft="1" zoomScale="70" zoomScaleNormal="70" zoomScaleSheetLayoutView="55" workbookViewId="0">
      <selection activeCell="N20" sqref="N20"/>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14.42578125" style="21" customWidth="1"/>
    <col min="8" max="8" width="24.2851562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1.140625" style="21" bestFit="1" customWidth="1"/>
    <col min="27" max="27" width="3.140625" style="2" customWidth="1"/>
    <col min="28" max="28" width="4.140625" style="2" customWidth="1"/>
    <col min="29" max="16384" width="9.140625" style="2"/>
  </cols>
  <sheetData>
    <row r="1" spans="1:27" ht="73.5" thickTop="1">
      <c r="A1" s="1162" t="s">
        <v>0</v>
      </c>
      <c r="B1" s="1163"/>
      <c r="C1" s="1163"/>
      <c r="D1" s="1163"/>
      <c r="E1" s="1163"/>
      <c r="F1" s="1163"/>
      <c r="G1" s="1163"/>
      <c r="H1" s="1163"/>
      <c r="I1" s="1163"/>
      <c r="J1" s="1163"/>
      <c r="K1" s="1163"/>
      <c r="L1" s="1163"/>
      <c r="M1" s="1163"/>
      <c r="N1" s="1163"/>
      <c r="O1" s="1163"/>
      <c r="P1" s="1163"/>
      <c r="Q1" s="1163"/>
      <c r="R1" s="1163"/>
      <c r="S1" s="1163"/>
      <c r="T1" s="1163"/>
      <c r="U1" s="1163"/>
      <c r="V1" s="1163"/>
      <c r="W1" s="1163"/>
      <c r="X1" s="1163"/>
      <c r="Y1" s="1163"/>
      <c r="Z1" s="32" t="s">
        <v>49</v>
      </c>
      <c r="AA1" s="451"/>
    </row>
    <row r="2" spans="1:27">
      <c r="A2" s="1164"/>
      <c r="B2" s="1164"/>
      <c r="C2" s="1164"/>
      <c r="D2" s="1164"/>
      <c r="E2" s="1164"/>
      <c r="F2" s="1164"/>
      <c r="G2" s="1164"/>
      <c r="H2" s="1164"/>
      <c r="I2" s="1164"/>
      <c r="J2" s="1164"/>
      <c r="K2" s="1164"/>
      <c r="L2" s="1164"/>
      <c r="M2" s="1164"/>
      <c r="N2" s="1164"/>
      <c r="O2" s="1164"/>
      <c r="P2" s="1164"/>
      <c r="Q2" s="1164"/>
      <c r="R2" s="1164"/>
      <c r="S2" s="1164"/>
      <c r="T2" s="1164"/>
      <c r="U2" s="1164"/>
      <c r="V2" s="1164"/>
      <c r="W2" s="1164"/>
      <c r="X2" s="1164"/>
      <c r="Y2" s="1164"/>
      <c r="Z2" s="1164"/>
      <c r="AA2" s="451"/>
    </row>
    <row r="3" spans="1:27" s="3" customFormat="1" ht="28.5">
      <c r="A3" s="1165" t="s">
        <v>102</v>
      </c>
      <c r="B3" s="1166"/>
      <c r="C3" s="1166"/>
      <c r="D3" s="1166"/>
      <c r="E3" s="1166"/>
      <c r="F3" s="1167" t="s">
        <v>103</v>
      </c>
      <c r="G3" s="1168"/>
      <c r="H3" s="1169"/>
      <c r="I3" s="1170" t="s">
        <v>104</v>
      </c>
      <c r="J3" s="1171"/>
      <c r="K3" s="1171"/>
      <c r="L3" s="1171"/>
      <c r="M3" s="1171"/>
      <c r="N3" s="1171"/>
      <c r="O3" s="1171"/>
      <c r="P3" s="1171"/>
      <c r="Q3" s="1171"/>
      <c r="R3" s="1171"/>
      <c r="S3" s="1171"/>
      <c r="T3" s="1171"/>
      <c r="U3" s="1171"/>
      <c r="V3" s="1171"/>
      <c r="W3" s="1171"/>
      <c r="X3" s="1171"/>
      <c r="Y3" s="1171"/>
      <c r="Z3" s="1172"/>
      <c r="AA3" s="451"/>
    </row>
    <row r="4" spans="1:27" s="3" customFormat="1" ht="28.5" customHeight="1">
      <c r="A4" s="1176" t="s">
        <v>53</v>
      </c>
      <c r="B4" s="1166"/>
      <c r="C4" s="1166"/>
      <c r="D4" s="1166"/>
      <c r="E4" s="1166"/>
      <c r="F4" s="1179" t="s">
        <v>54</v>
      </c>
      <c r="G4" s="1180"/>
      <c r="H4" s="1181"/>
      <c r="I4" s="1173"/>
      <c r="J4" s="1174"/>
      <c r="K4" s="1174"/>
      <c r="L4" s="1174"/>
      <c r="M4" s="1174"/>
      <c r="N4" s="1174"/>
      <c r="O4" s="1174"/>
      <c r="P4" s="1174"/>
      <c r="Q4" s="1174"/>
      <c r="R4" s="1174"/>
      <c r="S4" s="1174"/>
      <c r="T4" s="1174"/>
      <c r="U4" s="1174"/>
      <c r="V4" s="1174"/>
      <c r="W4" s="1174"/>
      <c r="X4" s="1174"/>
      <c r="Y4" s="1174"/>
      <c r="Z4" s="1175"/>
      <c r="AA4" s="451"/>
    </row>
    <row r="5" spans="1:27" s="3" customFormat="1" ht="29.25" customHeight="1">
      <c r="A5" s="1177"/>
      <c r="B5" s="1178"/>
      <c r="C5" s="1178"/>
      <c r="D5" s="1178"/>
      <c r="E5" s="1178"/>
      <c r="F5" s="1182" t="s">
        <v>56</v>
      </c>
      <c r="G5" s="1183"/>
      <c r="H5" s="1184"/>
      <c r="I5" s="1177" t="s">
        <v>57</v>
      </c>
      <c r="J5" s="1178"/>
      <c r="K5" s="1178"/>
      <c r="L5" s="1178"/>
      <c r="M5" s="1178"/>
      <c r="N5" s="1178"/>
      <c r="O5" s="1178"/>
      <c r="P5" s="1178"/>
      <c r="Q5" s="1178"/>
      <c r="R5" s="1178"/>
      <c r="S5" s="1178"/>
      <c r="T5" s="1178"/>
      <c r="U5" s="1178"/>
      <c r="V5" s="1178"/>
      <c r="W5" s="1178"/>
      <c r="X5" s="1178"/>
      <c r="Y5" s="1178"/>
      <c r="Z5" s="1185"/>
      <c r="AA5" s="451"/>
    </row>
    <row r="6" spans="1:27" ht="28.5" customHeight="1">
      <c r="A6" s="1186" t="s">
        <v>9</v>
      </c>
      <c r="B6" s="1188" t="s">
        <v>10</v>
      </c>
      <c r="C6" s="1188"/>
      <c r="D6" s="1188"/>
      <c r="E6" s="1188"/>
      <c r="F6" s="1188"/>
      <c r="G6" s="1188"/>
      <c r="H6" s="1189"/>
      <c r="I6" s="1192" t="s">
        <v>11</v>
      </c>
      <c r="J6" s="1194" t="s">
        <v>12</v>
      </c>
      <c r="K6" s="1196" t="s">
        <v>13</v>
      </c>
      <c r="L6" s="1223" t="s">
        <v>14</v>
      </c>
      <c r="M6" s="1224"/>
      <c r="N6" s="1224"/>
      <c r="O6" s="1224"/>
      <c r="P6" s="1224"/>
      <c r="Q6" s="1224"/>
      <c r="R6" s="1224"/>
      <c r="S6" s="1224"/>
      <c r="T6" s="1224"/>
      <c r="U6" s="1224"/>
      <c r="V6" s="1224"/>
      <c r="W6" s="1225"/>
      <c r="X6" s="1198" t="s">
        <v>15</v>
      </c>
      <c r="Y6" s="1188"/>
      <c r="Z6" s="1199"/>
      <c r="AA6" s="451"/>
    </row>
    <row r="7" spans="1:27" ht="55.5" customHeight="1">
      <c r="A7" s="1187"/>
      <c r="B7" s="1190"/>
      <c r="C7" s="1190"/>
      <c r="D7" s="1190"/>
      <c r="E7" s="1190"/>
      <c r="F7" s="1190"/>
      <c r="G7" s="1190"/>
      <c r="H7" s="1191"/>
      <c r="I7" s="1193"/>
      <c r="J7" s="1195"/>
      <c r="K7" s="1197"/>
      <c r="L7" s="33" t="s">
        <v>16</v>
      </c>
      <c r="M7" s="34" t="s">
        <v>17</v>
      </c>
      <c r="N7" s="33" t="s">
        <v>18</v>
      </c>
      <c r="O7" s="34" t="s">
        <v>19</v>
      </c>
      <c r="P7" s="35" t="s">
        <v>20</v>
      </c>
      <c r="Q7" s="36" t="s">
        <v>21</v>
      </c>
      <c r="R7" s="33" t="s">
        <v>22</v>
      </c>
      <c r="S7" s="34" t="s">
        <v>23</v>
      </c>
      <c r="T7" s="33" t="s">
        <v>24</v>
      </c>
      <c r="U7" s="33" t="s">
        <v>25</v>
      </c>
      <c r="V7" s="33" t="s">
        <v>26</v>
      </c>
      <c r="W7" s="34" t="s">
        <v>27</v>
      </c>
      <c r="X7" s="1200"/>
      <c r="Y7" s="1190"/>
      <c r="Z7" s="1201"/>
      <c r="AA7" s="451"/>
    </row>
    <row r="8" spans="1:27" s="14" customFormat="1" ht="26.25">
      <c r="A8" s="37" t="s">
        <v>28</v>
      </c>
      <c r="B8" s="1212" t="s">
        <v>105</v>
      </c>
      <c r="C8" s="1212"/>
      <c r="D8" s="1212"/>
      <c r="E8" s="1212"/>
      <c r="F8" s="1212"/>
      <c r="G8" s="1212"/>
      <c r="H8" s="1212"/>
      <c r="I8" s="38">
        <v>25</v>
      </c>
      <c r="J8" s="39" t="s">
        <v>106</v>
      </c>
      <c r="K8" s="40"/>
      <c r="L8" s="41"/>
      <c r="M8" s="42"/>
      <c r="N8" s="41"/>
      <c r="O8" s="42"/>
      <c r="P8" s="43"/>
      <c r="Q8" s="44"/>
      <c r="R8" s="45"/>
      <c r="S8" s="42"/>
      <c r="T8" s="41"/>
      <c r="U8" s="46"/>
      <c r="V8" s="46"/>
      <c r="W8" s="42"/>
      <c r="X8" s="1202" t="s">
        <v>83</v>
      </c>
      <c r="Y8" s="1203"/>
      <c r="Z8" s="1203"/>
      <c r="AA8" s="451"/>
    </row>
    <row r="9" spans="1:27" s="14" customFormat="1" ht="24">
      <c r="A9" s="47" t="s">
        <v>32</v>
      </c>
      <c r="B9" s="1208" t="s">
        <v>107</v>
      </c>
      <c r="C9" s="1209"/>
      <c r="D9" s="1209"/>
      <c r="E9" s="1209"/>
      <c r="F9" s="1209"/>
      <c r="G9" s="1209"/>
      <c r="H9" s="1210"/>
      <c r="I9" s="48">
        <v>10</v>
      </c>
      <c r="J9" s="39" t="s">
        <v>106</v>
      </c>
      <c r="K9" s="39"/>
      <c r="L9" s="45"/>
      <c r="M9" s="49"/>
      <c r="N9" s="45"/>
      <c r="O9" s="49"/>
      <c r="P9" s="50"/>
      <c r="Q9" s="51"/>
      <c r="R9" s="49"/>
      <c r="S9" s="49"/>
      <c r="T9" s="45"/>
      <c r="U9" s="49"/>
      <c r="V9" s="45"/>
      <c r="W9" s="45"/>
      <c r="X9" s="1204"/>
      <c r="Y9" s="1205"/>
      <c r="Z9" s="1205"/>
      <c r="AA9" s="451"/>
    </row>
    <row r="10" spans="1:27" s="14" customFormat="1" ht="24">
      <c r="A10" s="47" t="s">
        <v>34</v>
      </c>
      <c r="B10" s="1208" t="s">
        <v>108</v>
      </c>
      <c r="C10" s="1209"/>
      <c r="D10" s="1209"/>
      <c r="E10" s="1209"/>
      <c r="F10" s="1209"/>
      <c r="G10" s="1209"/>
      <c r="H10" s="1210"/>
      <c r="I10" s="52">
        <v>15</v>
      </c>
      <c r="J10" s="53" t="s">
        <v>106</v>
      </c>
      <c r="K10" s="39"/>
      <c r="L10" s="45"/>
      <c r="M10" s="49"/>
      <c r="N10" s="45"/>
      <c r="O10" s="49"/>
      <c r="P10" s="49"/>
      <c r="Q10" s="50"/>
      <c r="R10" s="51"/>
      <c r="S10" s="49"/>
      <c r="T10" s="45"/>
      <c r="U10" s="49"/>
      <c r="V10" s="45"/>
      <c r="W10" s="45"/>
      <c r="X10" s="1204"/>
      <c r="Y10" s="1205"/>
      <c r="Z10" s="1205"/>
      <c r="AA10" s="451"/>
    </row>
    <row r="11" spans="1:27" s="14" customFormat="1" ht="24">
      <c r="A11" s="54" t="s">
        <v>36</v>
      </c>
      <c r="B11" s="1208" t="s">
        <v>109</v>
      </c>
      <c r="C11" s="1209"/>
      <c r="D11" s="1209"/>
      <c r="E11" s="1209"/>
      <c r="F11" s="1209"/>
      <c r="G11" s="1209"/>
      <c r="H11" s="1210"/>
      <c r="I11" s="55">
        <v>5</v>
      </c>
      <c r="J11" s="56" t="s">
        <v>106</v>
      </c>
      <c r="K11" s="57"/>
      <c r="L11" s="46"/>
      <c r="M11" s="58"/>
      <c r="N11" s="46"/>
      <c r="O11" s="58"/>
      <c r="P11" s="58"/>
      <c r="Q11" s="59"/>
      <c r="R11" s="60"/>
      <c r="S11" s="58"/>
      <c r="T11" s="46"/>
      <c r="U11" s="58"/>
      <c r="V11" s="46"/>
      <c r="W11" s="46"/>
      <c r="X11" s="1204"/>
      <c r="Y11" s="1205"/>
      <c r="Z11" s="1205"/>
      <c r="AA11" s="451"/>
    </row>
    <row r="12" spans="1:27" s="14" customFormat="1" ht="26.25">
      <c r="A12" s="47" t="s">
        <v>66</v>
      </c>
      <c r="B12" s="1211" t="s">
        <v>81</v>
      </c>
      <c r="C12" s="1212"/>
      <c r="D12" s="1212"/>
      <c r="E12" s="1212"/>
      <c r="F12" s="1212"/>
      <c r="G12" s="1212"/>
      <c r="H12" s="1213"/>
      <c r="I12" s="61">
        <v>25</v>
      </c>
      <c r="J12" s="62" t="s">
        <v>106</v>
      </c>
      <c r="K12" s="63"/>
      <c r="L12" s="41"/>
      <c r="M12" s="42"/>
      <c r="N12" s="41"/>
      <c r="O12" s="42"/>
      <c r="P12" s="42"/>
      <c r="Q12" s="64"/>
      <c r="R12" s="65"/>
      <c r="S12" s="42"/>
      <c r="T12" s="41"/>
      <c r="U12" s="42"/>
      <c r="V12" s="41"/>
      <c r="W12" s="41"/>
      <c r="X12" s="1204"/>
      <c r="Y12" s="1205"/>
      <c r="Z12" s="1205"/>
      <c r="AA12" s="451"/>
    </row>
    <row r="13" spans="1:27" s="14" customFormat="1" ht="24">
      <c r="A13" s="47" t="s">
        <v>89</v>
      </c>
      <c r="B13" s="1214" t="s">
        <v>84</v>
      </c>
      <c r="C13" s="1215"/>
      <c r="D13" s="1215"/>
      <c r="E13" s="1215"/>
      <c r="F13" s="1215"/>
      <c r="G13" s="1215"/>
      <c r="H13" s="1216"/>
      <c r="I13" s="55">
        <v>10</v>
      </c>
      <c r="J13" s="69" t="s">
        <v>106</v>
      </c>
      <c r="K13" s="70"/>
      <c r="L13" s="45"/>
      <c r="M13" s="49"/>
      <c r="N13" s="45"/>
      <c r="O13" s="49"/>
      <c r="P13" s="49"/>
      <c r="Q13" s="50"/>
      <c r="R13" s="51"/>
      <c r="S13" s="49"/>
      <c r="T13" s="45"/>
      <c r="U13" s="49"/>
      <c r="V13" s="45"/>
      <c r="W13" s="45"/>
      <c r="X13" s="1204"/>
      <c r="Y13" s="1205"/>
      <c r="Z13" s="1205"/>
      <c r="AA13" s="451"/>
    </row>
    <row r="14" spans="1:27" s="14" customFormat="1" ht="24">
      <c r="A14" s="47" t="s">
        <v>91</v>
      </c>
      <c r="B14" s="1217" t="s">
        <v>85</v>
      </c>
      <c r="C14" s="1218"/>
      <c r="D14" s="1218"/>
      <c r="E14" s="1218"/>
      <c r="F14" s="1218"/>
      <c r="G14" s="1218"/>
      <c r="H14" s="1219"/>
      <c r="I14" s="55">
        <v>10</v>
      </c>
      <c r="J14" s="69" t="s">
        <v>106</v>
      </c>
      <c r="K14" s="57"/>
      <c r="L14" s="46"/>
      <c r="M14" s="58"/>
      <c r="N14" s="46"/>
      <c r="O14" s="58"/>
      <c r="P14" s="58"/>
      <c r="Q14" s="59"/>
      <c r="R14" s="60"/>
      <c r="S14" s="58"/>
      <c r="T14" s="46"/>
      <c r="U14" s="58"/>
      <c r="V14" s="46"/>
      <c r="W14" s="46"/>
      <c r="X14" s="1204"/>
      <c r="Y14" s="1205"/>
      <c r="Z14" s="1205"/>
      <c r="AA14" s="451"/>
    </row>
    <row r="15" spans="1:27" s="14" customFormat="1" ht="24">
      <c r="A15" s="47" t="s">
        <v>110</v>
      </c>
      <c r="B15" s="1220" t="s">
        <v>86</v>
      </c>
      <c r="C15" s="1221"/>
      <c r="D15" s="1221"/>
      <c r="E15" s="1221"/>
      <c r="F15" s="1221"/>
      <c r="G15" s="1221"/>
      <c r="H15" s="1222"/>
      <c r="I15" s="73">
        <v>5</v>
      </c>
      <c r="J15" s="74" t="s">
        <v>106</v>
      </c>
      <c r="K15" s="40"/>
      <c r="L15" s="46"/>
      <c r="M15" s="58"/>
      <c r="N15" s="46"/>
      <c r="O15" s="58"/>
      <c r="P15" s="58"/>
      <c r="Q15" s="45"/>
      <c r="R15" s="58"/>
      <c r="S15" s="58"/>
      <c r="T15" s="46"/>
      <c r="U15" s="58"/>
      <c r="V15" s="46"/>
      <c r="W15" s="46"/>
      <c r="X15" s="1204"/>
      <c r="Y15" s="1205"/>
      <c r="Z15" s="1205"/>
      <c r="AA15" s="451"/>
    </row>
    <row r="16" spans="1:27" s="14" customFormat="1" ht="26.25">
      <c r="A16" s="47" t="s">
        <v>68</v>
      </c>
      <c r="B16" s="1226" t="s">
        <v>87</v>
      </c>
      <c r="C16" s="1227"/>
      <c r="D16" s="1227"/>
      <c r="E16" s="1227"/>
      <c r="F16" s="1227"/>
      <c r="G16" s="1227"/>
      <c r="H16" s="1228"/>
      <c r="I16" s="61">
        <v>25</v>
      </c>
      <c r="J16" s="53" t="s">
        <v>111</v>
      </c>
      <c r="K16" s="39"/>
      <c r="L16" s="49"/>
      <c r="M16" s="49"/>
      <c r="N16" s="45"/>
      <c r="O16" s="49"/>
      <c r="P16" s="49"/>
      <c r="Q16" s="45"/>
      <c r="R16" s="50"/>
      <c r="S16" s="51"/>
      <c r="T16" s="45"/>
      <c r="U16" s="49"/>
      <c r="V16" s="45"/>
      <c r="W16" s="45"/>
      <c r="X16" s="1204"/>
      <c r="Y16" s="1205"/>
      <c r="Z16" s="1205"/>
      <c r="AA16" s="451"/>
    </row>
    <row r="17" spans="1:29" s="14" customFormat="1" ht="26.25">
      <c r="A17" s="47" t="s">
        <v>94</v>
      </c>
      <c r="B17" s="71" t="s">
        <v>90</v>
      </c>
      <c r="C17" s="75"/>
      <c r="D17" s="75"/>
      <c r="E17" s="1229"/>
      <c r="F17" s="1229"/>
      <c r="G17" s="1229"/>
      <c r="H17" s="1230"/>
      <c r="I17" s="76">
        <v>15</v>
      </c>
      <c r="J17" s="74" t="s">
        <v>106</v>
      </c>
      <c r="K17" s="57"/>
      <c r="L17" s="58"/>
      <c r="M17" s="58"/>
      <c r="N17" s="46"/>
      <c r="O17" s="58"/>
      <c r="P17" s="58"/>
      <c r="Q17" s="46"/>
      <c r="R17" s="59"/>
      <c r="S17" s="60"/>
      <c r="T17" s="46"/>
      <c r="U17" s="58"/>
      <c r="V17" s="46"/>
      <c r="W17" s="46"/>
      <c r="X17" s="1204"/>
      <c r="Y17" s="1205"/>
      <c r="Z17" s="1205"/>
      <c r="AA17" s="451"/>
    </row>
    <row r="18" spans="1:29" s="14" customFormat="1" ht="24">
      <c r="A18" s="47" t="s">
        <v>96</v>
      </c>
      <c r="B18" s="66" t="s">
        <v>112</v>
      </c>
      <c r="C18" s="67"/>
      <c r="D18" s="67"/>
      <c r="E18" s="67"/>
      <c r="F18" s="67"/>
      <c r="G18" s="67"/>
      <c r="H18" s="68"/>
      <c r="I18" s="52">
        <v>10</v>
      </c>
      <c r="J18" s="53" t="s">
        <v>111</v>
      </c>
      <c r="K18" s="39"/>
      <c r="L18" s="58"/>
      <c r="M18" s="58"/>
      <c r="N18" s="46"/>
      <c r="O18" s="58"/>
      <c r="P18" s="58"/>
      <c r="Q18" s="46"/>
      <c r="R18" s="59"/>
      <c r="S18" s="60"/>
      <c r="T18" s="46"/>
      <c r="U18" s="58"/>
      <c r="V18" s="46"/>
      <c r="W18" s="46"/>
      <c r="X18" s="1206"/>
      <c r="Y18" s="1207"/>
      <c r="Z18" s="1207"/>
      <c r="AA18" s="451"/>
    </row>
    <row r="19" spans="1:29" s="14" customFormat="1" ht="26.25">
      <c r="A19" s="77" t="s">
        <v>70</v>
      </c>
      <c r="B19" s="1211" t="s">
        <v>113</v>
      </c>
      <c r="C19" s="1212"/>
      <c r="D19" s="1212"/>
      <c r="E19" s="1212"/>
      <c r="F19" s="1212"/>
      <c r="G19" s="1212"/>
      <c r="H19" s="1213"/>
      <c r="I19" s="78">
        <v>25</v>
      </c>
      <c r="J19" s="69" t="s">
        <v>111</v>
      </c>
      <c r="K19" s="57"/>
      <c r="L19" s="79"/>
      <c r="M19" s="80"/>
      <c r="N19" s="81"/>
      <c r="O19" s="82"/>
      <c r="P19" s="82"/>
      <c r="Q19" s="81"/>
      <c r="R19" s="83"/>
      <c r="S19" s="84"/>
      <c r="T19" s="84"/>
      <c r="U19" s="85"/>
      <c r="V19" s="84"/>
      <c r="W19" s="84"/>
      <c r="X19" s="86"/>
      <c r="Y19" s="87"/>
      <c r="Z19" s="87"/>
      <c r="AA19" s="451"/>
    </row>
    <row r="20" spans="1:29" s="14" customFormat="1" ht="24">
      <c r="A20" s="47" t="s">
        <v>114</v>
      </c>
      <c r="B20" s="66" t="s">
        <v>97</v>
      </c>
      <c r="C20" s="67"/>
      <c r="D20" s="67"/>
      <c r="E20" s="67"/>
      <c r="F20" s="67"/>
      <c r="G20" s="67"/>
      <c r="H20" s="68"/>
      <c r="I20" s="52">
        <v>5</v>
      </c>
      <c r="J20" s="53" t="s">
        <v>111</v>
      </c>
      <c r="K20" s="88"/>
      <c r="L20" s="89"/>
      <c r="M20" s="90"/>
      <c r="N20" s="98"/>
      <c r="O20" s="91"/>
      <c r="P20" s="92"/>
      <c r="Q20" s="93"/>
      <c r="R20" s="94"/>
      <c r="S20" s="93"/>
      <c r="T20" s="45"/>
      <c r="U20" s="95"/>
      <c r="V20" s="46"/>
      <c r="W20" s="58"/>
      <c r="X20" s="86"/>
      <c r="Y20" s="87"/>
      <c r="Z20" s="87"/>
      <c r="AA20" s="451"/>
      <c r="AC20" s="14">
        <f>2.5</f>
        <v>2.5</v>
      </c>
    </row>
    <row r="21" spans="1:29" s="14" customFormat="1" ht="24">
      <c r="A21" s="96" t="s">
        <v>115</v>
      </c>
      <c r="B21" s="66" t="s">
        <v>116</v>
      </c>
      <c r="C21" s="71"/>
      <c r="D21" s="71"/>
      <c r="E21" s="71"/>
      <c r="F21" s="71"/>
      <c r="G21" s="71"/>
      <c r="H21" s="72"/>
      <c r="I21" s="55">
        <v>5</v>
      </c>
      <c r="J21" s="69" t="s">
        <v>111</v>
      </c>
      <c r="K21" s="97"/>
      <c r="L21" s="98"/>
      <c r="M21" s="93"/>
      <c r="N21" s="98"/>
      <c r="O21" s="98"/>
      <c r="P21" s="93"/>
      <c r="Q21" s="84"/>
      <c r="R21" s="85"/>
      <c r="S21" s="99"/>
      <c r="T21" s="46"/>
      <c r="U21" s="58"/>
      <c r="V21" s="46"/>
      <c r="W21" s="58"/>
      <c r="X21" s="86"/>
      <c r="Y21" s="87"/>
      <c r="Z21" s="87"/>
      <c r="AA21" s="451"/>
    </row>
    <row r="22" spans="1:29" s="14" customFormat="1" ht="24">
      <c r="A22" s="47" t="s">
        <v>117</v>
      </c>
      <c r="B22" s="66" t="s">
        <v>118</v>
      </c>
      <c r="C22" s="67"/>
      <c r="D22" s="67"/>
      <c r="E22" s="67"/>
      <c r="F22" s="67"/>
      <c r="G22" s="67"/>
      <c r="H22" s="68"/>
      <c r="I22" s="55">
        <v>5</v>
      </c>
      <c r="J22" s="69" t="s">
        <v>111</v>
      </c>
      <c r="K22" s="97"/>
      <c r="L22" s="98"/>
      <c r="M22" s="93"/>
      <c r="N22" s="100"/>
      <c r="O22" s="93"/>
      <c r="P22" s="101"/>
      <c r="Q22" s="99"/>
      <c r="R22" s="102"/>
      <c r="S22" s="93"/>
      <c r="T22" s="84"/>
      <c r="U22" s="85"/>
      <c r="V22" s="45"/>
      <c r="W22" s="49"/>
      <c r="X22" s="86"/>
      <c r="Y22" s="87"/>
      <c r="Z22" s="87"/>
      <c r="AA22" s="451"/>
    </row>
    <row r="23" spans="1:29" s="14" customFormat="1" ht="24">
      <c r="A23" s="96" t="s">
        <v>119</v>
      </c>
      <c r="B23" s="66" t="s">
        <v>120</v>
      </c>
      <c r="C23" s="67"/>
      <c r="D23" s="67"/>
      <c r="E23" s="67"/>
      <c r="F23" s="67"/>
      <c r="G23" s="67"/>
      <c r="H23" s="68"/>
      <c r="I23" s="55">
        <v>5</v>
      </c>
      <c r="J23" s="88" t="s">
        <v>111</v>
      </c>
      <c r="K23" s="39"/>
      <c r="L23" s="98"/>
      <c r="M23" s="93"/>
      <c r="N23" s="100"/>
      <c r="O23" s="100"/>
      <c r="P23" s="93"/>
      <c r="Q23" s="99"/>
      <c r="R23" s="102"/>
      <c r="S23" s="99"/>
      <c r="T23" s="46"/>
      <c r="U23" s="58"/>
      <c r="V23" s="103"/>
      <c r="W23" s="58"/>
      <c r="X23" s="86"/>
      <c r="Y23" s="87"/>
      <c r="Z23" s="87"/>
      <c r="AA23" s="451"/>
    </row>
    <row r="24" spans="1:29" s="14" customFormat="1" ht="24">
      <c r="A24" s="54" t="s">
        <v>121</v>
      </c>
      <c r="B24" s="1214" t="s">
        <v>122</v>
      </c>
      <c r="C24" s="1215"/>
      <c r="D24" s="1215"/>
      <c r="E24" s="1215"/>
      <c r="F24" s="1215"/>
      <c r="G24" s="1215"/>
      <c r="H24" s="1216"/>
      <c r="I24" s="55">
        <v>5</v>
      </c>
      <c r="J24" s="74" t="s">
        <v>111</v>
      </c>
      <c r="K24" s="97"/>
      <c r="L24" s="98"/>
      <c r="M24" s="93"/>
      <c r="N24" s="100"/>
      <c r="O24" s="100"/>
      <c r="P24" s="93"/>
      <c r="Q24" s="99"/>
      <c r="R24" s="102"/>
      <c r="S24" s="99"/>
      <c r="T24" s="46"/>
      <c r="U24" s="58"/>
      <c r="V24" s="46"/>
      <c r="W24" s="104"/>
      <c r="X24" s="86"/>
      <c r="Y24" s="87"/>
      <c r="Z24" s="87"/>
      <c r="AA24" s="451"/>
    </row>
    <row r="25" spans="1:29" ht="70.5" customHeight="1">
      <c r="A25" s="1223" t="s">
        <v>42</v>
      </c>
      <c r="B25" s="1224"/>
      <c r="C25" s="1224"/>
      <c r="D25" s="1224"/>
      <c r="E25" s="1231" t="s">
        <v>43</v>
      </c>
      <c r="F25" s="1232"/>
      <c r="G25" s="1232"/>
      <c r="H25" s="1232"/>
      <c r="I25" s="1232"/>
      <c r="J25" s="1233"/>
      <c r="K25" s="1234" t="s">
        <v>44</v>
      </c>
      <c r="L25" s="1235"/>
      <c r="M25" s="1235"/>
      <c r="N25" s="1235"/>
      <c r="O25" s="1234" t="s">
        <v>123</v>
      </c>
      <c r="P25" s="1235"/>
      <c r="Q25" s="1235"/>
      <c r="R25" s="1235"/>
      <c r="S25" s="1235"/>
      <c r="T25" s="1235"/>
      <c r="U25" s="1235"/>
      <c r="V25" s="1235"/>
      <c r="W25" s="1236"/>
      <c r="X25" s="481" t="s">
        <v>124</v>
      </c>
      <c r="Y25" s="481"/>
      <c r="Z25" s="547"/>
      <c r="AA25" s="451"/>
    </row>
    <row r="26" spans="1:29" s="20" customFormat="1" ht="28.5">
      <c r="A26" s="105"/>
      <c r="B26" s="106"/>
      <c r="C26" s="106"/>
      <c r="D26" s="106"/>
      <c r="E26" s="1237"/>
      <c r="F26" s="1238"/>
      <c r="G26" s="107"/>
      <c r="H26" s="507"/>
      <c r="I26" s="507"/>
      <c r="J26" s="1240"/>
      <c r="K26" s="1244" t="s">
        <v>47</v>
      </c>
      <c r="L26" s="1246"/>
      <c r="M26" s="1246"/>
      <c r="N26" s="1238"/>
      <c r="O26" s="109"/>
      <c r="P26" s="109"/>
      <c r="Q26" s="109"/>
      <c r="R26" s="109"/>
      <c r="S26" s="109"/>
      <c r="T26" s="109"/>
      <c r="U26" s="109"/>
      <c r="V26" s="109"/>
      <c r="W26" s="110"/>
      <c r="X26" s="109"/>
      <c r="Y26" s="109"/>
      <c r="Z26" s="111"/>
    </row>
    <row r="27" spans="1:29" s="20" customFormat="1" ht="28.5">
      <c r="A27" s="105"/>
      <c r="B27" s="106"/>
      <c r="C27" s="106"/>
      <c r="D27" s="106"/>
      <c r="E27" s="1239"/>
      <c r="F27" s="1240"/>
      <c r="G27" s="108"/>
      <c r="H27" s="507"/>
      <c r="I27" s="507"/>
      <c r="J27" s="1240"/>
      <c r="K27" s="1245"/>
      <c r="L27" s="1243"/>
      <c r="M27" s="1243"/>
      <c r="N27" s="1242"/>
      <c r="O27" s="109"/>
      <c r="P27" s="109"/>
      <c r="Q27" s="109"/>
      <c r="R27" s="109"/>
      <c r="S27" s="109"/>
      <c r="T27" s="109"/>
      <c r="U27" s="109"/>
      <c r="V27" s="109"/>
      <c r="W27" s="110"/>
      <c r="X27" s="109"/>
      <c r="Y27" s="109"/>
      <c r="Z27" s="111"/>
    </row>
    <row r="28" spans="1:29" s="20" customFormat="1" ht="28.5">
      <c r="A28" s="105"/>
      <c r="B28" s="106"/>
      <c r="C28" s="106"/>
      <c r="D28" s="106"/>
      <c r="E28" s="1239"/>
      <c r="F28" s="1240"/>
      <c r="G28" s="108"/>
      <c r="H28" s="507"/>
      <c r="I28" s="507"/>
      <c r="J28" s="1240"/>
      <c r="K28" s="1244" t="s">
        <v>48</v>
      </c>
      <c r="L28" s="507"/>
      <c r="M28" s="507"/>
      <c r="N28" s="1240"/>
      <c r="O28" s="109"/>
      <c r="P28" s="109"/>
      <c r="Q28" s="109"/>
      <c r="R28" s="109"/>
      <c r="S28" s="109"/>
      <c r="T28" s="109"/>
      <c r="U28" s="109"/>
      <c r="V28" s="109"/>
      <c r="W28" s="110"/>
      <c r="X28" s="109"/>
      <c r="Y28" s="109"/>
      <c r="Z28" s="111"/>
    </row>
    <row r="29" spans="1:29" s="20" customFormat="1" ht="29.25" thickBot="1">
      <c r="A29" s="113"/>
      <c r="B29" s="114"/>
      <c r="C29" s="114"/>
      <c r="D29" s="114"/>
      <c r="E29" s="1241"/>
      <c r="F29" s="1242"/>
      <c r="G29" s="112"/>
      <c r="H29" s="1243"/>
      <c r="I29" s="1243"/>
      <c r="J29" s="1242"/>
      <c r="K29" s="1247"/>
      <c r="L29" s="540"/>
      <c r="M29" s="540"/>
      <c r="N29" s="1248"/>
      <c r="O29" s="115"/>
      <c r="P29" s="115"/>
      <c r="Q29" s="115"/>
      <c r="R29" s="115"/>
      <c r="S29" s="115"/>
      <c r="T29" s="115"/>
      <c r="U29" s="115"/>
      <c r="V29" s="115"/>
      <c r="W29" s="116"/>
      <c r="X29" s="115"/>
      <c r="Y29" s="115"/>
      <c r="Z29" s="117"/>
    </row>
    <row r="30" spans="1:29" ht="18.75" thickTop="1">
      <c r="A30" s="118"/>
      <c r="F30" s="119"/>
      <c r="W30" s="120"/>
    </row>
    <row r="31" spans="1:29">
      <c r="A31" s="118"/>
      <c r="W31" s="120"/>
    </row>
    <row r="32" spans="1:29">
      <c r="A32" s="121"/>
      <c r="B32" s="122"/>
      <c r="C32" s="122"/>
      <c r="D32" s="122"/>
      <c r="E32" s="122"/>
      <c r="F32" s="122"/>
      <c r="G32" s="122"/>
      <c r="H32" s="122"/>
      <c r="I32" s="122"/>
      <c r="J32" s="122"/>
      <c r="K32" s="122"/>
      <c r="L32" s="122"/>
      <c r="M32" s="122"/>
      <c r="N32" s="122"/>
      <c r="O32" s="122"/>
      <c r="P32" s="122"/>
      <c r="Q32" s="122"/>
      <c r="R32" s="122"/>
      <c r="S32" s="122"/>
      <c r="T32" s="122"/>
      <c r="U32" s="122"/>
      <c r="V32" s="122"/>
      <c r="W32" s="123"/>
    </row>
  </sheetData>
  <mergeCells count="41">
    <mergeCell ref="E26:F29"/>
    <mergeCell ref="H26:J29"/>
    <mergeCell ref="K26:K27"/>
    <mergeCell ref="L26:N27"/>
    <mergeCell ref="K28:K29"/>
    <mergeCell ref="L28:N29"/>
    <mergeCell ref="A25:D25"/>
    <mergeCell ref="E25:J25"/>
    <mergeCell ref="K25:N25"/>
    <mergeCell ref="O25:W25"/>
    <mergeCell ref="X25:Z25"/>
    <mergeCell ref="L6:W6"/>
    <mergeCell ref="B16:H16"/>
    <mergeCell ref="E17:H17"/>
    <mergeCell ref="B19:H19"/>
    <mergeCell ref="B24:H24"/>
    <mergeCell ref="B8:H8"/>
    <mergeCell ref="X8:Z18"/>
    <mergeCell ref="B9:H9"/>
    <mergeCell ref="B10:H10"/>
    <mergeCell ref="B11:H11"/>
    <mergeCell ref="B12:H12"/>
    <mergeCell ref="B13:H13"/>
    <mergeCell ref="B14:H14"/>
    <mergeCell ref="B15:H15"/>
    <mergeCell ref="A1:Y1"/>
    <mergeCell ref="AA1:AA25"/>
    <mergeCell ref="A2:Z2"/>
    <mergeCell ref="A3:E3"/>
    <mergeCell ref="F3:H3"/>
    <mergeCell ref="I3:Z4"/>
    <mergeCell ref="A4:E5"/>
    <mergeCell ref="F4:H4"/>
    <mergeCell ref="F5:H5"/>
    <mergeCell ref="I5:Z5"/>
    <mergeCell ref="A6:A7"/>
    <mergeCell ref="B6:H7"/>
    <mergeCell ref="I6:I7"/>
    <mergeCell ref="J6:J7"/>
    <mergeCell ref="K6:K7"/>
    <mergeCell ref="X6:Z7"/>
  </mergeCells>
  <printOptions horizontalCentered="1" verticalCentered="1"/>
  <pageMargins left="0" right="0" top="0" bottom="0" header="0" footer="0"/>
  <pageSetup scale="42" orientation="landscape"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61772-7567-4A6D-B080-F6AEF1FE5296}">
  <dimension ref="A1:AD25"/>
  <sheetViews>
    <sheetView rightToLeft="1" zoomScale="70" zoomScaleNormal="70" zoomScaleSheetLayoutView="55" workbookViewId="0">
      <selection activeCell="AD13" sqref="AD13:AD16"/>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77</v>
      </c>
      <c r="B3" s="456"/>
      <c r="C3" s="456"/>
      <c r="D3" s="456"/>
      <c r="E3" s="456"/>
      <c r="F3" s="456"/>
      <c r="G3" s="457" t="s">
        <v>3</v>
      </c>
      <c r="H3" s="457"/>
      <c r="I3" s="458" t="s">
        <v>78</v>
      </c>
      <c r="J3" s="458"/>
      <c r="K3" s="458"/>
      <c r="L3" s="458"/>
      <c r="M3" s="458"/>
      <c r="N3" s="458"/>
      <c r="O3" s="458"/>
      <c r="P3" s="458"/>
      <c r="Q3" s="458"/>
      <c r="R3" s="458"/>
      <c r="S3" s="458"/>
      <c r="T3" s="458"/>
      <c r="U3" s="458"/>
      <c r="V3" s="458"/>
      <c r="W3" s="458"/>
      <c r="X3" s="458"/>
      <c r="Y3" s="458"/>
      <c r="Z3" s="459"/>
      <c r="AA3" s="451"/>
    </row>
    <row r="4" spans="1:30" s="3" customFormat="1" ht="28.5" customHeight="1">
      <c r="A4" s="460" t="s">
        <v>5</v>
      </c>
      <c r="B4" s="461"/>
      <c r="C4" s="461"/>
      <c r="D4" s="461"/>
      <c r="E4" s="461"/>
      <c r="F4" s="462"/>
      <c r="G4" s="457" t="s">
        <v>79</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80</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5.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45">
      <c r="A8" s="23" t="s">
        <v>28</v>
      </c>
      <c r="B8" s="474" t="s">
        <v>81</v>
      </c>
      <c r="C8" s="474"/>
      <c r="D8" s="474"/>
      <c r="E8" s="474"/>
      <c r="F8" s="474"/>
      <c r="G8" s="474"/>
      <c r="H8" s="474"/>
      <c r="I8" s="8">
        <v>35</v>
      </c>
      <c r="J8" s="9" t="s">
        <v>82</v>
      </c>
      <c r="K8" s="10"/>
      <c r="L8" s="30"/>
      <c r="M8" s="30"/>
      <c r="N8" s="30"/>
      <c r="O8" s="30"/>
      <c r="P8" s="30"/>
      <c r="Q8" s="30"/>
      <c r="R8" s="30"/>
      <c r="S8" s="30"/>
      <c r="T8" s="30"/>
      <c r="U8" s="30"/>
      <c r="V8" s="30"/>
      <c r="W8" s="30"/>
      <c r="X8" s="1250" t="s">
        <v>83</v>
      </c>
      <c r="Y8" s="1251"/>
      <c r="Z8" s="1252"/>
      <c r="AA8" s="451"/>
    </row>
    <row r="9" spans="1:30" s="14" customFormat="1" ht="45">
      <c r="A9" s="23" t="s">
        <v>32</v>
      </c>
      <c r="B9" s="1249" t="s">
        <v>84</v>
      </c>
      <c r="C9" s="1249"/>
      <c r="D9" s="1249"/>
      <c r="E9" s="1249"/>
      <c r="F9" s="1249"/>
      <c r="G9" s="1249"/>
      <c r="H9" s="1249"/>
      <c r="I9" s="15">
        <v>10</v>
      </c>
      <c r="J9" s="9" t="s">
        <v>82</v>
      </c>
      <c r="K9" s="10"/>
      <c r="L9" s="30"/>
      <c r="M9" s="30"/>
      <c r="N9" s="30"/>
      <c r="O9" s="30"/>
      <c r="P9" s="30"/>
      <c r="Q9" s="30"/>
      <c r="R9" s="30"/>
      <c r="S9" s="30"/>
      <c r="T9" s="30"/>
      <c r="U9" s="30"/>
      <c r="V9" s="30"/>
      <c r="W9" s="30"/>
      <c r="X9" s="1253"/>
      <c r="Y9" s="1254"/>
      <c r="Z9" s="1255"/>
      <c r="AA9" s="451"/>
    </row>
    <row r="10" spans="1:30" s="14" customFormat="1" ht="45">
      <c r="A10" s="23" t="s">
        <v>34</v>
      </c>
      <c r="B10" s="1249" t="s">
        <v>85</v>
      </c>
      <c r="C10" s="1249"/>
      <c r="D10" s="1249"/>
      <c r="E10" s="1249"/>
      <c r="F10" s="1249"/>
      <c r="G10" s="1249"/>
      <c r="H10" s="1249"/>
      <c r="I10" s="15">
        <v>10</v>
      </c>
      <c r="J10" s="9" t="s">
        <v>82</v>
      </c>
      <c r="K10" s="10"/>
      <c r="L10" s="30"/>
      <c r="M10" s="30"/>
      <c r="N10" s="30"/>
      <c r="O10" s="30"/>
      <c r="P10" s="30"/>
      <c r="Q10" s="30"/>
      <c r="R10" s="30"/>
      <c r="S10" s="30"/>
      <c r="T10" s="30"/>
      <c r="U10" s="30"/>
      <c r="V10" s="30"/>
      <c r="W10" s="30"/>
      <c r="X10" s="1253"/>
      <c r="Y10" s="1254"/>
      <c r="Z10" s="1255"/>
      <c r="AA10" s="451"/>
    </row>
    <row r="11" spans="1:30" s="14" customFormat="1" ht="45">
      <c r="A11" s="23" t="s">
        <v>36</v>
      </c>
      <c r="B11" s="1249" t="s">
        <v>86</v>
      </c>
      <c r="C11" s="1249"/>
      <c r="D11" s="1249"/>
      <c r="E11" s="1249"/>
      <c r="F11" s="1249"/>
      <c r="G11" s="1249"/>
      <c r="H11" s="1249"/>
      <c r="I11" s="15">
        <v>15</v>
      </c>
      <c r="J11" s="9" t="s">
        <v>82</v>
      </c>
      <c r="K11" s="10"/>
      <c r="L11" s="30"/>
      <c r="M11" s="30"/>
      <c r="N11" s="30"/>
      <c r="O11" s="30"/>
      <c r="P11" s="30"/>
      <c r="Q11" s="30"/>
      <c r="R11" s="30"/>
      <c r="S11" s="30"/>
      <c r="T11" s="30"/>
      <c r="U11" s="30"/>
      <c r="V11" s="30"/>
      <c r="W11" s="30"/>
      <c r="X11" s="1256"/>
      <c r="Y11" s="1257"/>
      <c r="Z11" s="1258"/>
      <c r="AA11" s="451"/>
    </row>
    <row r="12" spans="1:30" s="14" customFormat="1" ht="45">
      <c r="A12" s="23" t="s">
        <v>66</v>
      </c>
      <c r="B12" s="474" t="s">
        <v>87</v>
      </c>
      <c r="C12" s="474"/>
      <c r="D12" s="474"/>
      <c r="E12" s="474"/>
      <c r="F12" s="474"/>
      <c r="G12" s="474"/>
      <c r="H12" s="474"/>
      <c r="I12" s="8">
        <v>25</v>
      </c>
      <c r="J12" s="9" t="s">
        <v>88</v>
      </c>
      <c r="K12" s="10"/>
      <c r="L12" s="31"/>
      <c r="M12" s="31"/>
      <c r="N12" s="31"/>
      <c r="O12" s="16"/>
      <c r="P12" s="16"/>
      <c r="Q12" s="16"/>
      <c r="R12" s="16"/>
      <c r="S12" s="19"/>
      <c r="T12" s="19"/>
      <c r="U12" s="19"/>
      <c r="V12" s="16"/>
      <c r="W12" s="16"/>
      <c r="X12" s="475"/>
      <c r="Y12" s="475"/>
      <c r="Z12" s="476"/>
      <c r="AA12" s="451"/>
    </row>
    <row r="13" spans="1:30" s="14" customFormat="1" ht="45">
      <c r="A13" s="23" t="s">
        <v>89</v>
      </c>
      <c r="B13" s="1249" t="s">
        <v>90</v>
      </c>
      <c r="C13" s="1249"/>
      <c r="D13" s="1249"/>
      <c r="E13" s="1249"/>
      <c r="F13" s="1249"/>
      <c r="G13" s="1249"/>
      <c r="H13" s="1249"/>
      <c r="I13" s="15">
        <v>15</v>
      </c>
      <c r="J13" s="9" t="s">
        <v>88</v>
      </c>
      <c r="K13" s="10"/>
      <c r="L13" s="31"/>
      <c r="M13" s="31"/>
      <c r="N13" s="31"/>
      <c r="O13" s="16"/>
      <c r="P13" s="16"/>
      <c r="Q13" s="16"/>
      <c r="R13" s="16"/>
      <c r="S13" s="19"/>
      <c r="T13" s="19"/>
      <c r="U13" s="19"/>
      <c r="V13" s="16"/>
      <c r="W13" s="16"/>
      <c r="X13" s="12"/>
      <c r="Y13" s="12"/>
      <c r="Z13" s="13"/>
      <c r="AA13" s="451"/>
      <c r="AD13" s="14">
        <v>15</v>
      </c>
    </row>
    <row r="14" spans="1:30" s="14" customFormat="1" ht="45">
      <c r="A14" s="23" t="s">
        <v>91</v>
      </c>
      <c r="B14" s="1249" t="s">
        <v>92</v>
      </c>
      <c r="C14" s="1249"/>
      <c r="D14" s="1249"/>
      <c r="E14" s="1249"/>
      <c r="F14" s="1249"/>
      <c r="G14" s="1249"/>
      <c r="H14" s="1249"/>
      <c r="I14" s="15">
        <v>10</v>
      </c>
      <c r="J14" s="9" t="s">
        <v>88</v>
      </c>
      <c r="K14" s="10"/>
      <c r="L14" s="16"/>
      <c r="M14" s="31"/>
      <c r="N14" s="31"/>
      <c r="O14" s="16"/>
      <c r="P14" s="16"/>
      <c r="Q14" s="16"/>
      <c r="R14" s="16"/>
      <c r="S14" s="19"/>
      <c r="T14" s="19"/>
      <c r="U14" s="19"/>
      <c r="V14" s="16"/>
      <c r="W14" s="16"/>
      <c r="X14" s="12"/>
      <c r="Y14" s="12"/>
      <c r="Z14" s="13"/>
      <c r="AA14" s="451"/>
      <c r="AD14" s="14">
        <v>10</v>
      </c>
    </row>
    <row r="15" spans="1:30" s="14" customFormat="1" ht="45">
      <c r="A15" s="23" t="s">
        <v>68</v>
      </c>
      <c r="B15" s="474" t="s">
        <v>93</v>
      </c>
      <c r="C15" s="474"/>
      <c r="D15" s="474"/>
      <c r="E15" s="474"/>
      <c r="F15" s="474"/>
      <c r="G15" s="474"/>
      <c r="H15" s="474"/>
      <c r="I15" s="8">
        <v>40</v>
      </c>
      <c r="J15" s="9" t="s">
        <v>88</v>
      </c>
      <c r="K15" s="10"/>
      <c r="L15" s="31"/>
      <c r="M15" s="31"/>
      <c r="N15" s="31"/>
      <c r="O15" s="31"/>
      <c r="P15" s="31"/>
      <c r="Q15" s="31"/>
      <c r="R15" s="31"/>
      <c r="S15" s="31"/>
      <c r="T15" s="31"/>
      <c r="U15" s="31"/>
      <c r="V15" s="31"/>
      <c r="W15" s="31"/>
      <c r="X15" s="12"/>
      <c r="Y15" s="12"/>
      <c r="Z15" s="13"/>
      <c r="AA15" s="451"/>
    </row>
    <row r="16" spans="1:30" s="14" customFormat="1" ht="45">
      <c r="A16" s="23" t="s">
        <v>94</v>
      </c>
      <c r="B16" s="1249" t="s">
        <v>95</v>
      </c>
      <c r="C16" s="1249"/>
      <c r="D16" s="1249"/>
      <c r="E16" s="1249"/>
      <c r="F16" s="1249"/>
      <c r="G16" s="1249"/>
      <c r="H16" s="1249"/>
      <c r="I16" s="15">
        <v>10</v>
      </c>
      <c r="J16" s="9" t="s">
        <v>88</v>
      </c>
      <c r="K16" s="10"/>
      <c r="L16" s="31"/>
      <c r="M16" s="31"/>
      <c r="N16" s="31"/>
      <c r="O16" s="16"/>
      <c r="P16" s="16"/>
      <c r="Q16" s="16"/>
      <c r="R16" s="16"/>
      <c r="S16" s="16"/>
      <c r="T16" s="19"/>
      <c r="U16" s="19"/>
      <c r="V16" s="19"/>
      <c r="W16" s="16"/>
      <c r="X16" s="12"/>
      <c r="Y16" s="12"/>
      <c r="Z16" s="13"/>
      <c r="AA16" s="451"/>
      <c r="AD16" s="14">
        <v>15</v>
      </c>
    </row>
    <row r="17" spans="1:27" s="14" customFormat="1" ht="45">
      <c r="A17" s="23" t="s">
        <v>96</v>
      </c>
      <c r="B17" s="1249" t="s">
        <v>97</v>
      </c>
      <c r="C17" s="1249"/>
      <c r="D17" s="1249"/>
      <c r="E17" s="1249"/>
      <c r="F17" s="1249"/>
      <c r="G17" s="1249"/>
      <c r="H17" s="1249"/>
      <c r="I17" s="15">
        <v>10</v>
      </c>
      <c r="J17" s="9" t="s">
        <v>88</v>
      </c>
      <c r="K17" s="10"/>
      <c r="L17" s="16"/>
      <c r="M17" s="16"/>
      <c r="N17" s="16"/>
      <c r="O17" s="31"/>
      <c r="P17" s="31"/>
      <c r="Q17" s="31"/>
      <c r="R17" s="16"/>
      <c r="S17" s="16"/>
      <c r="T17" s="19"/>
      <c r="U17" s="19"/>
      <c r="V17" s="19"/>
      <c r="W17" s="19"/>
      <c r="X17" s="12"/>
      <c r="Y17" s="12"/>
      <c r="Z17" s="13"/>
      <c r="AA17" s="451"/>
    </row>
    <row r="18" spans="1:27" s="14" customFormat="1" ht="45">
      <c r="A18" s="23" t="s">
        <v>98</v>
      </c>
      <c r="B18" s="1249" t="s">
        <v>99</v>
      </c>
      <c r="C18" s="1249"/>
      <c r="D18" s="1249"/>
      <c r="E18" s="1249"/>
      <c r="F18" s="1249"/>
      <c r="G18" s="1249"/>
      <c r="H18" s="1249"/>
      <c r="I18" s="15">
        <v>10</v>
      </c>
      <c r="J18" s="9" t="s">
        <v>88</v>
      </c>
      <c r="K18" s="10"/>
      <c r="L18" s="16"/>
      <c r="M18" s="16"/>
      <c r="N18" s="16"/>
      <c r="O18" s="16"/>
      <c r="P18" s="16"/>
      <c r="Q18" s="16"/>
      <c r="R18" s="31"/>
      <c r="S18" s="31"/>
      <c r="T18" s="31"/>
      <c r="U18" s="19"/>
      <c r="V18" s="19"/>
      <c r="W18" s="19"/>
      <c r="X18" s="12"/>
      <c r="Y18" s="12"/>
      <c r="Z18" s="13"/>
      <c r="AA18" s="451"/>
    </row>
    <row r="19" spans="1:27" s="14" customFormat="1" ht="45">
      <c r="A19" s="23" t="s">
        <v>100</v>
      </c>
      <c r="B19" s="1249" t="s">
        <v>101</v>
      </c>
      <c r="C19" s="1249"/>
      <c r="D19" s="1249"/>
      <c r="E19" s="1249"/>
      <c r="F19" s="1249"/>
      <c r="G19" s="1249"/>
      <c r="H19" s="1249"/>
      <c r="I19" s="15">
        <v>10</v>
      </c>
      <c r="J19" s="9" t="s">
        <v>88</v>
      </c>
      <c r="K19" s="10"/>
      <c r="L19" s="16"/>
      <c r="M19" s="16"/>
      <c r="N19" s="16"/>
      <c r="O19" s="16"/>
      <c r="P19" s="16"/>
      <c r="Q19" s="16"/>
      <c r="R19" s="16"/>
      <c r="S19" s="16"/>
      <c r="T19" s="19"/>
      <c r="U19" s="31"/>
      <c r="V19" s="31"/>
      <c r="W19" s="31"/>
      <c r="X19" s="12"/>
      <c r="Y19" s="12"/>
      <c r="Z19" s="13"/>
      <c r="AA19" s="451"/>
    </row>
    <row r="20" spans="1:27" ht="57.75" customHeight="1">
      <c r="A20" s="488" t="s">
        <v>42</v>
      </c>
      <c r="B20" s="489"/>
      <c r="C20" s="489"/>
      <c r="D20" s="489"/>
      <c r="E20" s="490"/>
      <c r="F20" s="472" t="s">
        <v>43</v>
      </c>
      <c r="G20" s="472"/>
      <c r="H20" s="472"/>
      <c r="I20" s="472"/>
      <c r="J20" s="472"/>
      <c r="K20" s="472" t="s">
        <v>44</v>
      </c>
      <c r="L20" s="472"/>
      <c r="M20" s="472"/>
      <c r="N20" s="472"/>
      <c r="O20" s="491" t="s">
        <v>45</v>
      </c>
      <c r="P20" s="492"/>
      <c r="Q20" s="492"/>
      <c r="R20" s="492"/>
      <c r="S20" s="492"/>
      <c r="T20" s="492"/>
      <c r="U20" s="492"/>
      <c r="V20" s="492"/>
      <c r="W20" s="493"/>
      <c r="X20" s="472" t="s">
        <v>46</v>
      </c>
      <c r="Y20" s="472"/>
      <c r="Z20" s="472"/>
      <c r="AA20" s="451"/>
    </row>
    <row r="21" spans="1:27" s="20" customFormat="1" ht="28.5">
      <c r="A21" s="494"/>
      <c r="B21" s="495"/>
      <c r="C21" s="495"/>
      <c r="D21" s="495"/>
      <c r="E21" s="496"/>
      <c r="F21" s="503"/>
      <c r="G21" s="504"/>
      <c r="H21" s="504"/>
      <c r="I21" s="504"/>
      <c r="J21" s="505"/>
      <c r="K21" s="486" t="s">
        <v>47</v>
      </c>
      <c r="L21" s="486"/>
      <c r="M21" s="486"/>
      <c r="N21" s="486"/>
      <c r="O21" s="477"/>
      <c r="P21" s="478"/>
      <c r="Q21" s="478"/>
      <c r="R21" s="478"/>
      <c r="S21" s="478"/>
      <c r="T21" s="478"/>
      <c r="U21" s="478"/>
      <c r="V21" s="478"/>
      <c r="W21" s="512"/>
      <c r="X21" s="477"/>
      <c r="Y21" s="478"/>
      <c r="Z21" s="479"/>
    </row>
    <row r="22" spans="1:27" s="20" customFormat="1" ht="28.5">
      <c r="A22" s="497"/>
      <c r="B22" s="498"/>
      <c r="C22" s="498"/>
      <c r="D22" s="498"/>
      <c r="E22" s="499"/>
      <c r="F22" s="506"/>
      <c r="G22" s="507"/>
      <c r="H22" s="507"/>
      <c r="I22" s="507"/>
      <c r="J22" s="508"/>
      <c r="K22" s="486"/>
      <c r="L22" s="486"/>
      <c r="M22" s="486"/>
      <c r="N22" s="486"/>
      <c r="O22" s="480"/>
      <c r="P22" s="481"/>
      <c r="Q22" s="481"/>
      <c r="R22" s="481"/>
      <c r="S22" s="481"/>
      <c r="T22" s="481"/>
      <c r="U22" s="481"/>
      <c r="V22" s="481"/>
      <c r="W22" s="513"/>
      <c r="X22" s="480"/>
      <c r="Y22" s="481"/>
      <c r="Z22" s="482"/>
    </row>
    <row r="23" spans="1:27" s="20" customFormat="1" ht="28.5">
      <c r="A23" s="497"/>
      <c r="B23" s="498"/>
      <c r="C23" s="498"/>
      <c r="D23" s="498"/>
      <c r="E23" s="499"/>
      <c r="F23" s="506"/>
      <c r="G23" s="507"/>
      <c r="H23" s="507"/>
      <c r="I23" s="507"/>
      <c r="J23" s="508"/>
      <c r="K23" s="486" t="s">
        <v>48</v>
      </c>
      <c r="L23" s="486"/>
      <c r="M23" s="486"/>
      <c r="N23" s="486"/>
      <c r="O23" s="480"/>
      <c r="P23" s="481"/>
      <c r="Q23" s="481"/>
      <c r="R23" s="481"/>
      <c r="S23" s="481"/>
      <c r="T23" s="481"/>
      <c r="U23" s="481"/>
      <c r="V23" s="481"/>
      <c r="W23" s="513"/>
      <c r="X23" s="480"/>
      <c r="Y23" s="481"/>
      <c r="Z23" s="482"/>
    </row>
    <row r="24" spans="1:27" s="20" customFormat="1" ht="29.25" thickBot="1">
      <c r="A24" s="500"/>
      <c r="B24" s="501"/>
      <c r="C24" s="501"/>
      <c r="D24" s="501"/>
      <c r="E24" s="502"/>
      <c r="F24" s="509"/>
      <c r="G24" s="510"/>
      <c r="H24" s="510"/>
      <c r="I24" s="510"/>
      <c r="J24" s="511"/>
      <c r="K24" s="487"/>
      <c r="L24" s="487"/>
      <c r="M24" s="487"/>
      <c r="N24" s="487"/>
      <c r="O24" s="483"/>
      <c r="P24" s="484"/>
      <c r="Q24" s="484"/>
      <c r="R24" s="484"/>
      <c r="S24" s="484"/>
      <c r="T24" s="484"/>
      <c r="U24" s="484"/>
      <c r="V24" s="484"/>
      <c r="W24" s="514"/>
      <c r="X24" s="483"/>
      <c r="Y24" s="484"/>
      <c r="Z24" s="485"/>
    </row>
    <row r="25" spans="1:27" ht="18.75" thickTop="1"/>
  </sheetData>
  <mergeCells count="44">
    <mergeCell ref="O20:W20"/>
    <mergeCell ref="X20:Z20"/>
    <mergeCell ref="A21:E24"/>
    <mergeCell ref="F21:J24"/>
    <mergeCell ref="K21:K22"/>
    <mergeCell ref="L21:N22"/>
    <mergeCell ref="O21:W24"/>
    <mergeCell ref="X21:Z24"/>
    <mergeCell ref="K23:K24"/>
    <mergeCell ref="L23:N24"/>
    <mergeCell ref="K20:N20"/>
    <mergeCell ref="B17:H17"/>
    <mergeCell ref="B18:H18"/>
    <mergeCell ref="B19:H19"/>
    <mergeCell ref="A20:E20"/>
    <mergeCell ref="F20:J20"/>
    <mergeCell ref="B12:H12"/>
    <mergeCell ref="X12:Z12"/>
    <mergeCell ref="B13:H13"/>
    <mergeCell ref="B14:H14"/>
    <mergeCell ref="B15:H15"/>
    <mergeCell ref="X6:Z7"/>
    <mergeCell ref="B8:H8"/>
    <mergeCell ref="X8:Z11"/>
    <mergeCell ref="B9:H9"/>
    <mergeCell ref="B10:H10"/>
    <mergeCell ref="B11:H11"/>
    <mergeCell ref="L6:W6"/>
    <mergeCell ref="A1:Y1"/>
    <mergeCell ref="AA1:AA20"/>
    <mergeCell ref="A2:Z2"/>
    <mergeCell ref="A3:F3"/>
    <mergeCell ref="G3:H3"/>
    <mergeCell ref="I3:Z4"/>
    <mergeCell ref="A4:F5"/>
    <mergeCell ref="G4:H4"/>
    <mergeCell ref="G5:H5"/>
    <mergeCell ref="I5:Z5"/>
    <mergeCell ref="A6:A7"/>
    <mergeCell ref="B6:H7"/>
    <mergeCell ref="I6:I7"/>
    <mergeCell ref="J6:J7"/>
    <mergeCell ref="K6:K7"/>
    <mergeCell ref="B16:H16"/>
  </mergeCells>
  <printOptions horizontalCentered="1" verticalCentered="1"/>
  <pageMargins left="0" right="0" top="0" bottom="0" header="0" footer="0"/>
  <pageSetup scale="40" orientation="landscape"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4FF7D-7118-4F36-8C23-046BA99E4AD3}">
  <dimension ref="A1:AB17"/>
  <sheetViews>
    <sheetView rightToLeft="1" zoomScale="85" zoomScaleNormal="85" zoomScaleSheetLayoutView="55" workbookViewId="0">
      <selection activeCell="AB8" sqref="AB8"/>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34.7109375" style="21" customWidth="1"/>
    <col min="6" max="6" width="14.42578125" style="21" bestFit="1" customWidth="1"/>
    <col min="7" max="7" width="24.28515625" style="21" customWidth="1"/>
    <col min="8" max="8" width="21.140625" style="21" customWidth="1"/>
    <col min="9" max="9" width="26" style="21" customWidth="1"/>
    <col min="10" max="10" width="28.42578125" style="21" customWidth="1"/>
    <col min="11" max="12" width="4.7109375" style="21" customWidth="1"/>
    <col min="13" max="13" width="6.140625" style="21" customWidth="1"/>
    <col min="14" max="22" width="4.7109375" style="21" customWidth="1"/>
    <col min="23" max="23" width="4.42578125" style="21" bestFit="1" customWidth="1"/>
    <col min="24" max="24" width="7.140625" style="21" customWidth="1"/>
    <col min="25" max="25" width="26.85546875" style="21" customWidth="1"/>
    <col min="26" max="26" width="3.140625" style="2" customWidth="1"/>
    <col min="27" max="27" width="4.140625" style="2" customWidth="1"/>
    <col min="28" max="16384" width="9.140625" style="2"/>
  </cols>
  <sheetData>
    <row r="1" spans="1:28" ht="74.25" thickTop="1" thickBot="1">
      <c r="A1" s="1263" t="s">
        <v>0</v>
      </c>
      <c r="B1" s="1264"/>
      <c r="C1" s="1264"/>
      <c r="D1" s="1264"/>
      <c r="E1" s="1264"/>
      <c r="F1" s="1264"/>
      <c r="G1" s="1264"/>
      <c r="H1" s="1264"/>
      <c r="I1" s="1264"/>
      <c r="J1" s="1264"/>
      <c r="K1" s="1264"/>
      <c r="L1" s="1264"/>
      <c r="M1" s="1264"/>
      <c r="N1" s="1264"/>
      <c r="O1" s="1264"/>
      <c r="P1" s="1264"/>
      <c r="Q1" s="1264"/>
      <c r="R1" s="1264"/>
      <c r="S1" s="1264"/>
      <c r="T1" s="1264"/>
      <c r="U1" s="1264"/>
      <c r="V1" s="1265"/>
      <c r="W1" s="1266" t="s">
        <v>49</v>
      </c>
      <c r="X1" s="1267"/>
      <c r="Y1" s="1268"/>
      <c r="Z1" s="451"/>
    </row>
    <row r="2" spans="1:28" ht="19.5" thickTop="1" thickBot="1">
      <c r="A2" s="555"/>
      <c r="B2" s="555"/>
      <c r="C2" s="555"/>
      <c r="D2" s="555"/>
      <c r="E2" s="555"/>
      <c r="F2" s="555"/>
      <c r="G2" s="555"/>
      <c r="H2" s="555"/>
      <c r="I2" s="555"/>
      <c r="J2" s="555"/>
      <c r="K2" s="555"/>
      <c r="L2" s="555"/>
      <c r="M2" s="555"/>
      <c r="N2" s="555"/>
      <c r="O2" s="555"/>
      <c r="P2" s="555"/>
      <c r="Q2" s="555"/>
      <c r="R2" s="555"/>
      <c r="S2" s="555"/>
      <c r="T2" s="555"/>
      <c r="U2" s="555"/>
      <c r="V2" s="555"/>
      <c r="W2" s="556"/>
      <c r="X2" s="556"/>
      <c r="Y2" s="556"/>
      <c r="Z2" s="451"/>
    </row>
    <row r="3" spans="1:28" s="3" customFormat="1" ht="29.25" thickTop="1">
      <c r="A3" s="656" t="s">
        <v>50</v>
      </c>
      <c r="B3" s="657"/>
      <c r="C3" s="657"/>
      <c r="D3" s="657"/>
      <c r="E3" s="658"/>
      <c r="F3" s="659" t="s">
        <v>51</v>
      </c>
      <c r="G3" s="660"/>
      <c r="H3" s="661" t="s">
        <v>52</v>
      </c>
      <c r="I3" s="662"/>
      <c r="J3" s="662"/>
      <c r="K3" s="662"/>
      <c r="L3" s="662"/>
      <c r="M3" s="662"/>
      <c r="N3" s="662"/>
      <c r="O3" s="662"/>
      <c r="P3" s="662"/>
      <c r="Q3" s="662"/>
      <c r="R3" s="662"/>
      <c r="S3" s="662"/>
      <c r="T3" s="662"/>
      <c r="U3" s="662"/>
      <c r="V3" s="662"/>
      <c r="W3" s="662"/>
      <c r="X3" s="662"/>
      <c r="Y3" s="663"/>
      <c r="Z3" s="451"/>
    </row>
    <row r="4" spans="1:28" s="3" customFormat="1" ht="28.5">
      <c r="A4" s="667" t="s">
        <v>53</v>
      </c>
      <c r="B4" s="668"/>
      <c r="C4" s="668"/>
      <c r="D4" s="668"/>
      <c r="E4" s="669"/>
      <c r="F4" s="670" t="s">
        <v>54</v>
      </c>
      <c r="G4" s="671"/>
      <c r="H4" s="664"/>
      <c r="I4" s="665"/>
      <c r="J4" s="665"/>
      <c r="K4" s="665"/>
      <c r="L4" s="665"/>
      <c r="M4" s="665"/>
      <c r="N4" s="665"/>
      <c r="O4" s="665"/>
      <c r="P4" s="665"/>
      <c r="Q4" s="665"/>
      <c r="R4" s="665"/>
      <c r="S4" s="665"/>
      <c r="T4" s="665"/>
      <c r="U4" s="665"/>
      <c r="V4" s="665"/>
      <c r="W4" s="665"/>
      <c r="X4" s="665"/>
      <c r="Y4" s="666"/>
      <c r="Z4" s="451"/>
    </row>
    <row r="5" spans="1:28" s="3" customFormat="1" ht="29.25" thickBot="1">
      <c r="A5" s="672" t="s">
        <v>55</v>
      </c>
      <c r="B5" s="673"/>
      <c r="C5" s="673"/>
      <c r="D5" s="673"/>
      <c r="E5" s="674"/>
      <c r="F5" s="675" t="s">
        <v>56</v>
      </c>
      <c r="G5" s="675"/>
      <c r="H5" s="676" t="s">
        <v>57</v>
      </c>
      <c r="I5" s="677"/>
      <c r="J5" s="677"/>
      <c r="K5" s="677"/>
      <c r="L5" s="677"/>
      <c r="M5" s="677"/>
      <c r="N5" s="677"/>
      <c r="O5" s="677"/>
      <c r="P5" s="677"/>
      <c r="Q5" s="677"/>
      <c r="R5" s="677"/>
      <c r="S5" s="677"/>
      <c r="T5" s="677"/>
      <c r="U5" s="677"/>
      <c r="V5" s="677"/>
      <c r="W5" s="677"/>
      <c r="X5" s="677"/>
      <c r="Y5" s="678"/>
      <c r="Z5" s="451"/>
    </row>
    <row r="6" spans="1:28" ht="28.5">
      <c r="A6" s="580" t="s">
        <v>9</v>
      </c>
      <c r="B6" s="582" t="s">
        <v>58</v>
      </c>
      <c r="C6" s="583"/>
      <c r="D6" s="583"/>
      <c r="E6" s="583"/>
      <c r="F6" s="583"/>
      <c r="G6" s="584"/>
      <c r="H6" s="587" t="s">
        <v>59</v>
      </c>
      <c r="I6" s="589" t="s">
        <v>60</v>
      </c>
      <c r="J6" s="587" t="s">
        <v>61</v>
      </c>
      <c r="K6" s="591" t="s">
        <v>62</v>
      </c>
      <c r="L6" s="592"/>
      <c r="M6" s="592"/>
      <c r="N6" s="592"/>
      <c r="O6" s="592"/>
      <c r="P6" s="592"/>
      <c r="Q6" s="592"/>
      <c r="R6" s="592"/>
      <c r="S6" s="592"/>
      <c r="T6" s="592"/>
      <c r="U6" s="592"/>
      <c r="V6" s="593"/>
      <c r="W6" s="582" t="s">
        <v>63</v>
      </c>
      <c r="X6" s="583"/>
      <c r="Y6" s="590"/>
      <c r="Z6" s="451"/>
    </row>
    <row r="7" spans="1:28" ht="55.5">
      <c r="A7" s="581"/>
      <c r="B7" s="585"/>
      <c r="C7" s="498"/>
      <c r="D7" s="498"/>
      <c r="E7" s="498"/>
      <c r="F7" s="498"/>
      <c r="G7" s="586"/>
      <c r="H7" s="588"/>
      <c r="I7" s="588"/>
      <c r="J7" s="588"/>
      <c r="K7" s="22" t="s">
        <v>16</v>
      </c>
      <c r="L7" s="22" t="s">
        <v>17</v>
      </c>
      <c r="M7" s="22" t="s">
        <v>18</v>
      </c>
      <c r="N7" s="22" t="s">
        <v>19</v>
      </c>
      <c r="O7" s="22" t="s">
        <v>20</v>
      </c>
      <c r="P7" s="22" t="s">
        <v>21</v>
      </c>
      <c r="Q7" s="22" t="s">
        <v>22</v>
      </c>
      <c r="R7" s="22" t="s">
        <v>23</v>
      </c>
      <c r="S7" s="22" t="s">
        <v>24</v>
      </c>
      <c r="T7" s="22" t="s">
        <v>25</v>
      </c>
      <c r="U7" s="22" t="s">
        <v>26</v>
      </c>
      <c r="V7" s="22" t="s">
        <v>27</v>
      </c>
      <c r="W7" s="585"/>
      <c r="X7" s="498"/>
      <c r="Y7" s="523"/>
      <c r="Z7" s="451"/>
    </row>
    <row r="8" spans="1:28" s="14" customFormat="1" ht="24">
      <c r="A8" s="23" t="s">
        <v>28</v>
      </c>
      <c r="B8" s="530" t="s">
        <v>64</v>
      </c>
      <c r="C8" s="1259"/>
      <c r="D8" s="1259"/>
      <c r="E8" s="1259"/>
      <c r="F8" s="1259"/>
      <c r="G8" s="1260"/>
      <c r="H8" s="15">
        <v>25</v>
      </c>
      <c r="I8" s="9" t="s">
        <v>65</v>
      </c>
      <c r="J8" s="9"/>
      <c r="K8" s="24"/>
      <c r="L8" s="24"/>
      <c r="M8" s="24"/>
      <c r="N8" s="24"/>
      <c r="O8" s="19"/>
      <c r="P8" s="19"/>
      <c r="Q8" s="19"/>
      <c r="R8" s="19"/>
      <c r="S8" s="19"/>
      <c r="T8" s="19"/>
      <c r="U8" s="19"/>
      <c r="V8" s="19"/>
      <c r="W8" s="25"/>
      <c r="X8" s="26"/>
      <c r="Y8" s="26"/>
      <c r="Z8" s="451"/>
      <c r="AB8" s="14">
        <f>(25/4)*3</f>
        <v>18.75</v>
      </c>
    </row>
    <row r="9" spans="1:28" s="14" customFormat="1" ht="24">
      <c r="A9" s="23" t="s">
        <v>66</v>
      </c>
      <c r="B9" s="530" t="s">
        <v>67</v>
      </c>
      <c r="C9" s="1259"/>
      <c r="D9" s="1259"/>
      <c r="E9" s="1259"/>
      <c r="F9" s="1259"/>
      <c r="G9" s="1260"/>
      <c r="H9" s="15">
        <v>25</v>
      </c>
      <c r="I9" s="9" t="s">
        <v>65</v>
      </c>
      <c r="J9" s="9"/>
      <c r="K9" s="19"/>
      <c r="L9" s="19"/>
      <c r="M9" s="19"/>
      <c r="N9" s="19"/>
      <c r="O9" s="24"/>
      <c r="P9" s="24"/>
      <c r="Q9" s="24"/>
      <c r="R9" s="24"/>
      <c r="S9" s="19"/>
      <c r="T9" s="19"/>
      <c r="U9" s="19"/>
      <c r="V9" s="19"/>
      <c r="W9" s="25"/>
      <c r="X9" s="26"/>
      <c r="Y9" s="26"/>
      <c r="Z9" s="451"/>
    </row>
    <row r="10" spans="1:28" s="14" customFormat="1" ht="24">
      <c r="A10" s="23" t="s">
        <v>68</v>
      </c>
      <c r="B10" s="530" t="s">
        <v>69</v>
      </c>
      <c r="C10" s="1259"/>
      <c r="D10" s="1259"/>
      <c r="E10" s="1259"/>
      <c r="F10" s="1259"/>
      <c r="G10" s="1260"/>
      <c r="H10" s="15">
        <v>25</v>
      </c>
      <c r="I10" s="9" t="s">
        <v>65</v>
      </c>
      <c r="J10" s="9"/>
      <c r="K10" s="19"/>
      <c r="L10" s="19"/>
      <c r="M10" s="19"/>
      <c r="N10" s="19"/>
      <c r="O10" s="19"/>
      <c r="P10" s="19"/>
      <c r="Q10" s="19"/>
      <c r="R10" s="19"/>
      <c r="S10" s="24"/>
      <c r="T10" s="24"/>
      <c r="U10" s="24"/>
      <c r="V10" s="24"/>
      <c r="W10" s="27"/>
      <c r="X10" s="28"/>
      <c r="Y10" s="28"/>
      <c r="Z10" s="451"/>
    </row>
    <row r="11" spans="1:28" s="14" customFormat="1" ht="24.75" thickBot="1">
      <c r="A11" s="23" t="s">
        <v>70</v>
      </c>
      <c r="B11" s="530" t="s">
        <v>71</v>
      </c>
      <c r="C11" s="1259"/>
      <c r="D11" s="1259"/>
      <c r="E11" s="1259"/>
      <c r="F11" s="1259"/>
      <c r="G11" s="1260"/>
      <c r="H11" s="15">
        <v>25</v>
      </c>
      <c r="I11" s="9" t="s">
        <v>65</v>
      </c>
      <c r="J11" s="9"/>
      <c r="K11" s="19"/>
      <c r="L11" s="19"/>
      <c r="M11" s="19"/>
      <c r="N11" s="19"/>
      <c r="O11" s="19"/>
      <c r="P11" s="19"/>
      <c r="Q11" s="19"/>
      <c r="R11" s="19"/>
      <c r="S11" s="19"/>
      <c r="T11" s="19"/>
      <c r="U11" s="24"/>
      <c r="V11" s="24"/>
      <c r="W11" s="1261"/>
      <c r="X11" s="1262"/>
      <c r="Y11" s="1262"/>
      <c r="Z11" s="451"/>
    </row>
    <row r="12" spans="1:28" ht="30" thickTop="1" thickBot="1">
      <c r="A12" s="519" t="s">
        <v>72</v>
      </c>
      <c r="B12" s="520"/>
      <c r="C12" s="520"/>
      <c r="D12" s="521"/>
      <c r="E12" s="527" t="s">
        <v>73</v>
      </c>
      <c r="F12" s="528"/>
      <c r="G12" s="528"/>
      <c r="H12" s="528"/>
      <c r="I12" s="528"/>
      <c r="J12" s="527" t="s">
        <v>74</v>
      </c>
      <c r="K12" s="528"/>
      <c r="L12" s="528"/>
      <c r="M12" s="529"/>
      <c r="N12" s="543" t="s">
        <v>75</v>
      </c>
      <c r="O12" s="544"/>
      <c r="P12" s="544"/>
      <c r="Q12" s="544"/>
      <c r="R12" s="544"/>
      <c r="S12" s="544"/>
      <c r="T12" s="544"/>
      <c r="U12" s="544"/>
      <c r="V12" s="545"/>
      <c r="W12" s="543" t="s">
        <v>76</v>
      </c>
      <c r="X12" s="544"/>
      <c r="Y12" s="545"/>
      <c r="Z12" s="451"/>
    </row>
    <row r="13" spans="1:28" s="20" customFormat="1" ht="29.25" thickTop="1">
      <c r="A13" s="522"/>
      <c r="B13" s="498"/>
      <c r="C13" s="498"/>
      <c r="D13" s="523"/>
      <c r="E13" s="533"/>
      <c r="F13" s="534"/>
      <c r="G13" s="533"/>
      <c r="H13" s="539"/>
      <c r="I13" s="534"/>
      <c r="J13" s="541" t="s">
        <v>47</v>
      </c>
      <c r="K13" s="539"/>
      <c r="L13" s="539"/>
      <c r="M13" s="534"/>
      <c r="N13" s="546"/>
      <c r="O13" s="481"/>
      <c r="P13" s="481"/>
      <c r="Q13" s="481"/>
      <c r="R13" s="481"/>
      <c r="S13" s="481"/>
      <c r="T13" s="481"/>
      <c r="U13" s="481"/>
      <c r="V13" s="547"/>
      <c r="W13" s="546"/>
      <c r="X13" s="481"/>
      <c r="Y13" s="547"/>
    </row>
    <row r="14" spans="1:28" s="20" customFormat="1" ht="29.25" thickBot="1">
      <c r="A14" s="522"/>
      <c r="B14" s="498"/>
      <c r="C14" s="498"/>
      <c r="D14" s="523"/>
      <c r="E14" s="535"/>
      <c r="F14" s="536"/>
      <c r="G14" s="535"/>
      <c r="H14" s="507"/>
      <c r="I14" s="536"/>
      <c r="J14" s="542"/>
      <c r="K14" s="540"/>
      <c r="L14" s="540"/>
      <c r="M14" s="538"/>
      <c r="N14" s="546"/>
      <c r="O14" s="481"/>
      <c r="P14" s="481"/>
      <c r="Q14" s="481"/>
      <c r="R14" s="481"/>
      <c r="S14" s="481"/>
      <c r="T14" s="481"/>
      <c r="U14" s="481"/>
      <c r="V14" s="547"/>
      <c r="W14" s="546"/>
      <c r="X14" s="481"/>
      <c r="Y14" s="547"/>
    </row>
    <row r="15" spans="1:28" s="20" customFormat="1" ht="29.25" thickTop="1">
      <c r="A15" s="522"/>
      <c r="B15" s="498"/>
      <c r="C15" s="498"/>
      <c r="D15" s="523"/>
      <c r="E15" s="535"/>
      <c r="F15" s="536"/>
      <c r="G15" s="535"/>
      <c r="H15" s="507"/>
      <c r="I15" s="536"/>
      <c r="J15" s="541" t="s">
        <v>48</v>
      </c>
      <c r="K15" s="539"/>
      <c r="L15" s="539"/>
      <c r="M15" s="534"/>
      <c r="N15" s="546"/>
      <c r="O15" s="481"/>
      <c r="P15" s="481"/>
      <c r="Q15" s="481"/>
      <c r="R15" s="481"/>
      <c r="S15" s="481"/>
      <c r="T15" s="481"/>
      <c r="U15" s="481"/>
      <c r="V15" s="547"/>
      <c r="W15" s="546"/>
      <c r="X15" s="481"/>
      <c r="Y15" s="547"/>
    </row>
    <row r="16" spans="1:28" s="20" customFormat="1" ht="29.25" thickBot="1">
      <c r="A16" s="524"/>
      <c r="B16" s="525"/>
      <c r="C16" s="525"/>
      <c r="D16" s="526"/>
      <c r="E16" s="537"/>
      <c r="F16" s="538"/>
      <c r="G16" s="537"/>
      <c r="H16" s="540"/>
      <c r="I16" s="538"/>
      <c r="J16" s="542"/>
      <c r="K16" s="540"/>
      <c r="L16" s="540"/>
      <c r="M16" s="538"/>
      <c r="N16" s="548"/>
      <c r="O16" s="549"/>
      <c r="P16" s="549"/>
      <c r="Q16" s="549"/>
      <c r="R16" s="549"/>
      <c r="S16" s="549"/>
      <c r="T16" s="549"/>
      <c r="U16" s="549"/>
      <c r="V16" s="550"/>
      <c r="W16" s="548"/>
      <c r="X16" s="549"/>
      <c r="Y16" s="550"/>
    </row>
    <row r="17" ht="18.75" thickTop="1"/>
  </sheetData>
  <mergeCells count="35">
    <mergeCell ref="Z1:Z12"/>
    <mergeCell ref="A2:Y2"/>
    <mergeCell ref="A3:E3"/>
    <mergeCell ref="F3:G3"/>
    <mergeCell ref="H3:Y4"/>
    <mergeCell ref="A4:E4"/>
    <mergeCell ref="F4:G4"/>
    <mergeCell ref="A5:E5"/>
    <mergeCell ref="F5:G5"/>
    <mergeCell ref="H5:Y5"/>
    <mergeCell ref="A6:A7"/>
    <mergeCell ref="B6:G7"/>
    <mergeCell ref="H6:H7"/>
    <mergeCell ref="A1:V1"/>
    <mergeCell ref="W1:Y1"/>
    <mergeCell ref="J6:J7"/>
    <mergeCell ref="I6:I7"/>
    <mergeCell ref="B10:G10"/>
    <mergeCell ref="K6:V6"/>
    <mergeCell ref="W6:Y7"/>
    <mergeCell ref="B8:G8"/>
    <mergeCell ref="B9:G9"/>
    <mergeCell ref="B11:G11"/>
    <mergeCell ref="W11:Y11"/>
    <mergeCell ref="E13:F16"/>
    <mergeCell ref="G13:I16"/>
    <mergeCell ref="J13:J14"/>
    <mergeCell ref="K13:M14"/>
    <mergeCell ref="J15:J16"/>
    <mergeCell ref="K15:M16"/>
    <mergeCell ref="A12:D16"/>
    <mergeCell ref="E12:I12"/>
    <mergeCell ref="J12:M12"/>
    <mergeCell ref="N12:V16"/>
    <mergeCell ref="W12:Y16"/>
  </mergeCells>
  <printOptions horizontalCentered="1" verticalCentered="1"/>
  <pageMargins left="0" right="0" top="0" bottom="0" header="0" footer="0"/>
  <pageSetup scale="45" orientation="landscape"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D3AD-6CCA-4B58-9D88-56D29A289586}">
  <dimension ref="A1:AD19"/>
  <sheetViews>
    <sheetView rightToLeft="1" zoomScale="55" zoomScaleNormal="55" zoomScaleSheetLayoutView="55" zoomScalePageLayoutView="70" workbookViewId="0">
      <selection activeCell="AD11" sqref="AD11"/>
    </sheetView>
  </sheetViews>
  <sheetFormatPr defaultColWidth="9.140625" defaultRowHeight="18"/>
  <cols>
    <col min="1" max="1" width="8.140625" style="21" bestFit="1" customWidth="1"/>
    <col min="2" max="2" width="9.140625" style="21"/>
    <col min="3" max="3" width="8.42578125" style="21" customWidth="1"/>
    <col min="4" max="4" width="17.5703125" style="21" customWidth="1"/>
    <col min="5" max="5" width="22.7109375" style="21" customWidth="1"/>
    <col min="6" max="6" width="34.7109375" style="21" customWidth="1"/>
    <col min="7" max="7" width="14.42578125" style="21" bestFit="1" customWidth="1"/>
    <col min="8" max="8" width="25.7109375" style="21" customWidth="1"/>
    <col min="9" max="9" width="21.140625" style="21" customWidth="1"/>
    <col min="10" max="10" width="26" style="21" customWidth="1"/>
    <col min="11" max="11" width="28.42578125" style="21" customWidth="1"/>
    <col min="12" max="13" width="4.7109375" style="21" customWidth="1"/>
    <col min="14" max="14" width="6.140625" style="21" customWidth="1"/>
    <col min="15" max="23" width="4.7109375" style="21" customWidth="1"/>
    <col min="24" max="24" width="4.42578125" style="21" bestFit="1" customWidth="1"/>
    <col min="25" max="25" width="7.140625" style="21" customWidth="1"/>
    <col min="26" max="26" width="45.5703125" style="21" customWidth="1"/>
    <col min="27" max="27" width="3.140625" style="2" customWidth="1"/>
    <col min="28" max="28" width="4.140625" style="2" customWidth="1"/>
    <col min="29" max="16384" width="9.140625" style="2"/>
  </cols>
  <sheetData>
    <row r="1" spans="1:30" ht="73.5" thickTop="1">
      <c r="A1" s="449" t="s">
        <v>0</v>
      </c>
      <c r="B1" s="450"/>
      <c r="C1" s="450"/>
      <c r="D1" s="450"/>
      <c r="E1" s="450"/>
      <c r="F1" s="450"/>
      <c r="G1" s="450"/>
      <c r="H1" s="450"/>
      <c r="I1" s="450"/>
      <c r="J1" s="450"/>
      <c r="K1" s="450"/>
      <c r="L1" s="450"/>
      <c r="M1" s="450"/>
      <c r="N1" s="450"/>
      <c r="O1" s="450"/>
      <c r="P1" s="450"/>
      <c r="Q1" s="450"/>
      <c r="R1" s="450"/>
      <c r="S1" s="450"/>
      <c r="T1" s="450"/>
      <c r="U1" s="450"/>
      <c r="V1" s="450"/>
      <c r="W1" s="450"/>
      <c r="X1" s="450"/>
      <c r="Y1" s="450"/>
      <c r="Z1" s="1" t="s">
        <v>1</v>
      </c>
      <c r="AA1" s="451"/>
    </row>
    <row r="2" spans="1:30">
      <c r="A2" s="452"/>
      <c r="B2" s="453"/>
      <c r="C2" s="453"/>
      <c r="D2" s="453"/>
      <c r="E2" s="453"/>
      <c r="F2" s="453"/>
      <c r="G2" s="453"/>
      <c r="H2" s="453"/>
      <c r="I2" s="453"/>
      <c r="J2" s="453"/>
      <c r="K2" s="453"/>
      <c r="L2" s="453"/>
      <c r="M2" s="453"/>
      <c r="N2" s="453"/>
      <c r="O2" s="453"/>
      <c r="P2" s="453"/>
      <c r="Q2" s="453"/>
      <c r="R2" s="453"/>
      <c r="S2" s="453"/>
      <c r="T2" s="453"/>
      <c r="U2" s="453"/>
      <c r="V2" s="453"/>
      <c r="W2" s="453"/>
      <c r="X2" s="453"/>
      <c r="Y2" s="453"/>
      <c r="Z2" s="454"/>
      <c r="AA2" s="451"/>
    </row>
    <row r="3" spans="1:30" s="3" customFormat="1" ht="28.5">
      <c r="A3" s="455" t="s">
        <v>2</v>
      </c>
      <c r="B3" s="456"/>
      <c r="C3" s="456"/>
      <c r="D3" s="456"/>
      <c r="E3" s="456"/>
      <c r="F3" s="456"/>
      <c r="G3" s="457" t="s">
        <v>3</v>
      </c>
      <c r="H3" s="457"/>
      <c r="I3" s="458" t="s">
        <v>4</v>
      </c>
      <c r="J3" s="458"/>
      <c r="K3" s="458"/>
      <c r="L3" s="458"/>
      <c r="M3" s="458"/>
      <c r="N3" s="458"/>
      <c r="O3" s="458"/>
      <c r="P3" s="458"/>
      <c r="Q3" s="458"/>
      <c r="R3" s="458"/>
      <c r="S3" s="458"/>
      <c r="T3" s="458"/>
      <c r="U3" s="458"/>
      <c r="V3" s="458"/>
      <c r="W3" s="458"/>
      <c r="X3" s="458"/>
      <c r="Y3" s="458"/>
      <c r="Z3" s="459"/>
      <c r="AA3" s="451"/>
    </row>
    <row r="4" spans="1:30" s="3" customFormat="1" ht="28.5" customHeight="1">
      <c r="A4" s="460" t="s">
        <v>5</v>
      </c>
      <c r="B4" s="461"/>
      <c r="C4" s="461"/>
      <c r="D4" s="461"/>
      <c r="E4" s="461"/>
      <c r="F4" s="462"/>
      <c r="G4" s="457" t="s">
        <v>6</v>
      </c>
      <c r="H4" s="457"/>
      <c r="I4" s="458"/>
      <c r="J4" s="458"/>
      <c r="K4" s="458"/>
      <c r="L4" s="458"/>
      <c r="M4" s="458"/>
      <c r="N4" s="458"/>
      <c r="O4" s="458"/>
      <c r="P4" s="458"/>
      <c r="Q4" s="458"/>
      <c r="R4" s="458"/>
      <c r="S4" s="458"/>
      <c r="T4" s="458"/>
      <c r="U4" s="458"/>
      <c r="V4" s="458"/>
      <c r="W4" s="458"/>
      <c r="X4" s="458"/>
      <c r="Y4" s="458"/>
      <c r="Z4" s="459"/>
      <c r="AA4" s="451"/>
    </row>
    <row r="5" spans="1:30" s="3" customFormat="1" ht="28.5" customHeight="1">
      <c r="A5" s="463"/>
      <c r="B5" s="464"/>
      <c r="C5" s="464"/>
      <c r="D5" s="464"/>
      <c r="E5" s="464"/>
      <c r="F5" s="465"/>
      <c r="G5" s="456" t="s">
        <v>7</v>
      </c>
      <c r="H5" s="456"/>
      <c r="I5" s="456" t="s">
        <v>8</v>
      </c>
      <c r="J5" s="456"/>
      <c r="K5" s="456"/>
      <c r="L5" s="456"/>
      <c r="M5" s="456"/>
      <c r="N5" s="456"/>
      <c r="O5" s="456"/>
      <c r="P5" s="456"/>
      <c r="Q5" s="456"/>
      <c r="R5" s="456"/>
      <c r="S5" s="456"/>
      <c r="T5" s="456"/>
      <c r="U5" s="456"/>
      <c r="V5" s="456"/>
      <c r="W5" s="456"/>
      <c r="X5" s="456"/>
      <c r="Y5" s="456"/>
      <c r="Z5" s="466"/>
      <c r="AA5" s="451"/>
    </row>
    <row r="6" spans="1:30" ht="28.5">
      <c r="A6" s="470" t="s">
        <v>9</v>
      </c>
      <c r="B6" s="471" t="s">
        <v>10</v>
      </c>
      <c r="C6" s="471"/>
      <c r="D6" s="471"/>
      <c r="E6" s="471"/>
      <c r="F6" s="471"/>
      <c r="G6" s="471"/>
      <c r="H6" s="471"/>
      <c r="I6" s="472" t="s">
        <v>11</v>
      </c>
      <c r="J6" s="471" t="s">
        <v>12</v>
      </c>
      <c r="K6" s="472" t="s">
        <v>13</v>
      </c>
      <c r="L6" s="471" t="s">
        <v>14</v>
      </c>
      <c r="M6" s="471"/>
      <c r="N6" s="471"/>
      <c r="O6" s="471"/>
      <c r="P6" s="471"/>
      <c r="Q6" s="471"/>
      <c r="R6" s="471"/>
      <c r="S6" s="471"/>
      <c r="T6" s="471"/>
      <c r="U6" s="471"/>
      <c r="V6" s="471"/>
      <c r="W6" s="471"/>
      <c r="X6" s="471" t="s">
        <v>15</v>
      </c>
      <c r="Y6" s="471"/>
      <c r="Z6" s="473"/>
      <c r="AA6" s="451"/>
    </row>
    <row r="7" spans="1:30" ht="56.25">
      <c r="A7" s="470"/>
      <c r="B7" s="471"/>
      <c r="C7" s="471"/>
      <c r="D7" s="471"/>
      <c r="E7" s="471"/>
      <c r="F7" s="471"/>
      <c r="G7" s="471"/>
      <c r="H7" s="471"/>
      <c r="I7" s="471"/>
      <c r="J7" s="471"/>
      <c r="K7" s="471"/>
      <c r="L7" s="6" t="s">
        <v>16</v>
      </c>
      <c r="M7" s="6" t="s">
        <v>17</v>
      </c>
      <c r="N7" s="6" t="s">
        <v>18</v>
      </c>
      <c r="O7" s="6" t="s">
        <v>19</v>
      </c>
      <c r="P7" s="6" t="s">
        <v>20</v>
      </c>
      <c r="Q7" s="6" t="s">
        <v>21</v>
      </c>
      <c r="R7" s="6" t="s">
        <v>22</v>
      </c>
      <c r="S7" s="6" t="s">
        <v>23</v>
      </c>
      <c r="T7" s="6" t="s">
        <v>24</v>
      </c>
      <c r="U7" s="6" t="s">
        <v>25</v>
      </c>
      <c r="V7" s="6" t="s">
        <v>26</v>
      </c>
      <c r="W7" s="6" t="s">
        <v>27</v>
      </c>
      <c r="X7" s="471"/>
      <c r="Y7" s="471"/>
      <c r="Z7" s="473"/>
      <c r="AA7" s="451"/>
    </row>
    <row r="8" spans="1:30" s="14" customFormat="1" ht="45">
      <c r="A8" s="7" t="s">
        <v>28</v>
      </c>
      <c r="B8" s="474" t="s">
        <v>29</v>
      </c>
      <c r="C8" s="474"/>
      <c r="D8" s="474"/>
      <c r="E8" s="474"/>
      <c r="F8" s="474"/>
      <c r="G8" s="474"/>
      <c r="H8" s="474"/>
      <c r="I8" s="8">
        <v>100</v>
      </c>
      <c r="J8" s="9" t="s">
        <v>30</v>
      </c>
      <c r="K8" s="10" t="s">
        <v>31</v>
      </c>
      <c r="L8" s="11"/>
      <c r="M8" s="11"/>
      <c r="N8" s="11"/>
      <c r="O8" s="11"/>
      <c r="P8" s="11"/>
      <c r="Q8" s="11"/>
      <c r="R8" s="11"/>
      <c r="S8" s="11"/>
      <c r="T8" s="11"/>
      <c r="U8" s="11"/>
      <c r="V8" s="11"/>
      <c r="W8" s="11"/>
      <c r="X8" s="475"/>
      <c r="Y8" s="475"/>
      <c r="Z8" s="476"/>
      <c r="AA8" s="451"/>
    </row>
    <row r="9" spans="1:30" s="14" customFormat="1" ht="45">
      <c r="A9" s="7" t="s">
        <v>32</v>
      </c>
      <c r="B9" s="467" t="s">
        <v>33</v>
      </c>
      <c r="C9" s="467"/>
      <c r="D9" s="467"/>
      <c r="E9" s="467"/>
      <c r="F9" s="467"/>
      <c r="G9" s="467"/>
      <c r="H9" s="467"/>
      <c r="I9" s="15">
        <v>20</v>
      </c>
      <c r="J9" s="9" t="s">
        <v>30</v>
      </c>
      <c r="K9" s="10"/>
      <c r="L9" s="11"/>
      <c r="M9" s="11"/>
      <c r="N9" s="11"/>
      <c r="O9" s="11"/>
      <c r="P9" s="16"/>
      <c r="Q9" s="16"/>
      <c r="R9" s="16"/>
      <c r="S9" s="16"/>
      <c r="T9" s="16"/>
      <c r="U9" s="16"/>
      <c r="V9" s="16"/>
      <c r="W9" s="16"/>
      <c r="X9" s="475"/>
      <c r="Y9" s="475"/>
      <c r="Z9" s="476"/>
      <c r="AA9" s="451"/>
      <c r="AD9" s="14">
        <f>(20/4)*3</f>
        <v>15</v>
      </c>
    </row>
    <row r="10" spans="1:30" s="14" customFormat="1" ht="45">
      <c r="A10" s="7" t="s">
        <v>34</v>
      </c>
      <c r="B10" s="467" t="s">
        <v>35</v>
      </c>
      <c r="C10" s="467"/>
      <c r="D10" s="467"/>
      <c r="E10" s="467"/>
      <c r="F10" s="467"/>
      <c r="G10" s="467"/>
      <c r="H10" s="467"/>
      <c r="I10" s="15">
        <v>20</v>
      </c>
      <c r="J10" s="9" t="s">
        <v>30</v>
      </c>
      <c r="K10" s="10"/>
      <c r="L10" s="16"/>
      <c r="M10" s="16"/>
      <c r="N10" s="16"/>
      <c r="O10" s="16"/>
      <c r="P10" s="11"/>
      <c r="Q10" s="11"/>
      <c r="R10" s="11"/>
      <c r="S10" s="16"/>
      <c r="T10" s="16"/>
      <c r="U10" s="16"/>
      <c r="V10" s="16"/>
      <c r="W10" s="16"/>
      <c r="X10" s="468"/>
      <c r="Y10" s="468"/>
      <c r="Z10" s="469"/>
      <c r="AA10" s="451"/>
    </row>
    <row r="11" spans="1:30" s="14" customFormat="1" ht="45">
      <c r="A11" s="7" t="s">
        <v>36</v>
      </c>
      <c r="B11" s="467" t="s">
        <v>37</v>
      </c>
      <c r="C11" s="467"/>
      <c r="D11" s="467"/>
      <c r="E11" s="467"/>
      <c r="F11" s="467"/>
      <c r="G11" s="467"/>
      <c r="H11" s="467"/>
      <c r="I11" s="15">
        <v>20</v>
      </c>
      <c r="J11" s="9" t="s">
        <v>30</v>
      </c>
      <c r="K11" s="10"/>
      <c r="L11" s="16"/>
      <c r="M11" s="16"/>
      <c r="N11" s="16"/>
      <c r="O11" s="16"/>
      <c r="P11" s="16"/>
      <c r="Q11" s="16"/>
      <c r="R11" s="16"/>
      <c r="S11" s="11"/>
      <c r="T11" s="11"/>
      <c r="U11" s="11"/>
      <c r="V11" s="16"/>
      <c r="W11" s="16"/>
      <c r="X11" s="468"/>
      <c r="Y11" s="468"/>
      <c r="Z11" s="469"/>
      <c r="AA11" s="451"/>
    </row>
    <row r="12" spans="1:30" s="14" customFormat="1" ht="45">
      <c r="A12" s="7" t="s">
        <v>38</v>
      </c>
      <c r="B12" s="467" t="s">
        <v>39</v>
      </c>
      <c r="C12" s="467"/>
      <c r="D12" s="467"/>
      <c r="E12" s="467"/>
      <c r="F12" s="467"/>
      <c r="G12" s="467"/>
      <c r="H12" s="467"/>
      <c r="I12" s="15">
        <v>20</v>
      </c>
      <c r="J12" s="9" t="s">
        <v>30</v>
      </c>
      <c r="K12" s="10"/>
      <c r="L12" s="16"/>
      <c r="M12" s="16"/>
      <c r="N12" s="16"/>
      <c r="O12" s="16"/>
      <c r="P12" s="16"/>
      <c r="Q12" s="16"/>
      <c r="R12" s="16"/>
      <c r="S12" s="11"/>
      <c r="T12" s="11"/>
      <c r="U12" s="11"/>
      <c r="V12" s="11"/>
      <c r="W12" s="16"/>
      <c r="X12" s="475"/>
      <c r="Y12" s="475"/>
      <c r="Z12" s="476"/>
      <c r="AA12" s="451"/>
    </row>
    <row r="13" spans="1:30" s="14" customFormat="1" ht="45">
      <c r="A13" s="7" t="s">
        <v>40</v>
      </c>
      <c r="B13" s="467" t="s">
        <v>41</v>
      </c>
      <c r="C13" s="467"/>
      <c r="D13" s="467"/>
      <c r="E13" s="467"/>
      <c r="F13" s="467"/>
      <c r="G13" s="467"/>
      <c r="H13" s="467"/>
      <c r="I13" s="15">
        <v>20</v>
      </c>
      <c r="J13" s="9" t="s">
        <v>30</v>
      </c>
      <c r="K13" s="10"/>
      <c r="L13" s="16"/>
      <c r="M13" s="16"/>
      <c r="N13" s="16"/>
      <c r="O13" s="16"/>
      <c r="P13" s="16"/>
      <c r="Q13" s="16"/>
      <c r="R13" s="19"/>
      <c r="S13" s="11"/>
      <c r="T13" s="11"/>
      <c r="U13" s="11"/>
      <c r="V13" s="11"/>
      <c r="W13" s="11"/>
      <c r="X13" s="468"/>
      <c r="Y13" s="468"/>
      <c r="Z13" s="469"/>
      <c r="AA13" s="451"/>
    </row>
    <row r="14" spans="1:30" ht="57.75" customHeight="1">
      <c r="A14" s="488" t="s">
        <v>42</v>
      </c>
      <c r="B14" s="489"/>
      <c r="C14" s="489"/>
      <c r="D14" s="489"/>
      <c r="E14" s="490"/>
      <c r="F14" s="472" t="s">
        <v>43</v>
      </c>
      <c r="G14" s="472"/>
      <c r="H14" s="472"/>
      <c r="I14" s="472"/>
      <c r="J14" s="472"/>
      <c r="K14" s="472" t="s">
        <v>44</v>
      </c>
      <c r="L14" s="472"/>
      <c r="M14" s="472"/>
      <c r="N14" s="472"/>
      <c r="O14" s="491" t="s">
        <v>45</v>
      </c>
      <c r="P14" s="492"/>
      <c r="Q14" s="492"/>
      <c r="R14" s="492"/>
      <c r="S14" s="492"/>
      <c r="T14" s="492"/>
      <c r="U14" s="492"/>
      <c r="V14" s="492"/>
      <c r="W14" s="493"/>
      <c r="X14" s="472" t="s">
        <v>46</v>
      </c>
      <c r="Y14" s="472"/>
      <c r="Z14" s="472"/>
      <c r="AA14" s="451"/>
    </row>
    <row r="15" spans="1:30" s="20" customFormat="1" ht="28.5">
      <c r="A15" s="494"/>
      <c r="B15" s="495"/>
      <c r="C15" s="495"/>
      <c r="D15" s="495"/>
      <c r="E15" s="496"/>
      <c r="F15" s="503"/>
      <c r="G15" s="504"/>
      <c r="H15" s="504"/>
      <c r="I15" s="504"/>
      <c r="J15" s="505"/>
      <c r="K15" s="486" t="s">
        <v>47</v>
      </c>
      <c r="L15" s="486"/>
      <c r="M15" s="486"/>
      <c r="N15" s="486"/>
      <c r="O15" s="477"/>
      <c r="P15" s="478"/>
      <c r="Q15" s="478"/>
      <c r="R15" s="478"/>
      <c r="S15" s="478"/>
      <c r="T15" s="478"/>
      <c r="U15" s="478"/>
      <c r="V15" s="478"/>
      <c r="W15" s="512"/>
      <c r="X15" s="477"/>
      <c r="Y15" s="478"/>
      <c r="Z15" s="479"/>
    </row>
    <row r="16" spans="1:30" s="20" customFormat="1" ht="28.5">
      <c r="A16" s="497"/>
      <c r="B16" s="498"/>
      <c r="C16" s="498"/>
      <c r="D16" s="498"/>
      <c r="E16" s="499"/>
      <c r="F16" s="506"/>
      <c r="G16" s="507"/>
      <c r="H16" s="507"/>
      <c r="I16" s="507"/>
      <c r="J16" s="508"/>
      <c r="K16" s="486"/>
      <c r="L16" s="486"/>
      <c r="M16" s="486"/>
      <c r="N16" s="486"/>
      <c r="O16" s="480"/>
      <c r="P16" s="481"/>
      <c r="Q16" s="481"/>
      <c r="R16" s="481"/>
      <c r="S16" s="481"/>
      <c r="T16" s="481"/>
      <c r="U16" s="481"/>
      <c r="V16" s="481"/>
      <c r="W16" s="513"/>
      <c r="X16" s="480"/>
      <c r="Y16" s="481"/>
      <c r="Z16" s="482"/>
    </row>
    <row r="17" spans="1:26" s="20" customFormat="1" ht="28.5">
      <c r="A17" s="497"/>
      <c r="B17" s="498"/>
      <c r="C17" s="498"/>
      <c r="D17" s="498"/>
      <c r="E17" s="499"/>
      <c r="F17" s="506"/>
      <c r="G17" s="507"/>
      <c r="H17" s="507"/>
      <c r="I17" s="507"/>
      <c r="J17" s="508"/>
      <c r="K17" s="486" t="s">
        <v>48</v>
      </c>
      <c r="L17" s="486"/>
      <c r="M17" s="486"/>
      <c r="N17" s="486"/>
      <c r="O17" s="480"/>
      <c r="P17" s="481"/>
      <c r="Q17" s="481"/>
      <c r="R17" s="481"/>
      <c r="S17" s="481"/>
      <c r="T17" s="481"/>
      <c r="U17" s="481"/>
      <c r="V17" s="481"/>
      <c r="W17" s="513"/>
      <c r="X17" s="480"/>
      <c r="Y17" s="481"/>
      <c r="Z17" s="482"/>
    </row>
    <row r="18" spans="1:26" s="20" customFormat="1" ht="29.25" thickBot="1">
      <c r="A18" s="500"/>
      <c r="B18" s="501"/>
      <c r="C18" s="501"/>
      <c r="D18" s="501"/>
      <c r="E18" s="502"/>
      <c r="F18" s="509"/>
      <c r="G18" s="510"/>
      <c r="H18" s="510"/>
      <c r="I18" s="510"/>
      <c r="J18" s="511"/>
      <c r="K18" s="487"/>
      <c r="L18" s="487"/>
      <c r="M18" s="487"/>
      <c r="N18" s="487"/>
      <c r="O18" s="483"/>
      <c r="P18" s="484"/>
      <c r="Q18" s="484"/>
      <c r="R18" s="484"/>
      <c r="S18" s="484"/>
      <c r="T18" s="484"/>
      <c r="U18" s="484"/>
      <c r="V18" s="484"/>
      <c r="W18" s="514"/>
      <c r="X18" s="483"/>
      <c r="Y18" s="484"/>
      <c r="Z18" s="485"/>
    </row>
    <row r="19" spans="1:26" ht="18.75" thickTop="1"/>
  </sheetData>
  <mergeCells count="42">
    <mergeCell ref="B13:H13"/>
    <mergeCell ref="X13:Z13"/>
    <mergeCell ref="X15:Z18"/>
    <mergeCell ref="K17:K18"/>
    <mergeCell ref="L17:N18"/>
    <mergeCell ref="A14:E14"/>
    <mergeCell ref="F14:J14"/>
    <mergeCell ref="K14:N14"/>
    <mergeCell ref="O14:W14"/>
    <mergeCell ref="X14:Z14"/>
    <mergeCell ref="A15:E18"/>
    <mergeCell ref="F15:J18"/>
    <mergeCell ref="K15:K16"/>
    <mergeCell ref="L15:N16"/>
    <mergeCell ref="O15:W18"/>
    <mergeCell ref="B9:H9"/>
    <mergeCell ref="X9:Z9"/>
    <mergeCell ref="B11:H11"/>
    <mergeCell ref="X11:Z11"/>
    <mergeCell ref="B12:H12"/>
    <mergeCell ref="X12:Z12"/>
    <mergeCell ref="K6:K7"/>
    <mergeCell ref="L6:W6"/>
    <mergeCell ref="X6:Z7"/>
    <mergeCell ref="B8:H8"/>
    <mergeCell ref="X8:Z8"/>
    <mergeCell ref="A1:Y1"/>
    <mergeCell ref="AA1:AA14"/>
    <mergeCell ref="A2:Z2"/>
    <mergeCell ref="A3:F3"/>
    <mergeCell ref="G3:H3"/>
    <mergeCell ref="I3:Z4"/>
    <mergeCell ref="A4:F5"/>
    <mergeCell ref="G4:H4"/>
    <mergeCell ref="G5:H5"/>
    <mergeCell ref="I5:Z5"/>
    <mergeCell ref="B10:H10"/>
    <mergeCell ref="X10:Z10"/>
    <mergeCell ref="A6:A7"/>
    <mergeCell ref="B6:H7"/>
    <mergeCell ref="I6:I7"/>
    <mergeCell ref="J6:J7"/>
  </mergeCells>
  <printOptions horizontalCentered="1" verticalCentered="1"/>
  <pageMargins left="0" right="0" top="0" bottom="0" header="0" footer="0"/>
  <pageSetup scale="40" orientation="landscape"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0F2E-3E6C-41B6-A8F4-5F1377338878}">
  <dimension ref="A1:B167"/>
  <sheetViews>
    <sheetView rightToLeft="1" zoomScale="55" zoomScaleNormal="55" workbookViewId="0">
      <selection activeCell="N58" sqref="N58"/>
    </sheetView>
  </sheetViews>
  <sheetFormatPr defaultRowHeight="17.25"/>
  <cols>
    <col min="1" max="1" width="30.85546875" style="1287" customWidth="1"/>
    <col min="2" max="2" width="49.7109375" style="1288" customWidth="1"/>
    <col min="3" max="16384" width="9.140625" style="1286"/>
  </cols>
  <sheetData>
    <row r="1" spans="1:2" ht="32.25" thickBot="1">
      <c r="A1" s="440" t="s">
        <v>2569</v>
      </c>
      <c r="B1" s="441" t="s">
        <v>1670</v>
      </c>
    </row>
    <row r="2" spans="1:2" ht="15">
      <c r="A2" s="722" t="s">
        <v>2577</v>
      </c>
      <c r="B2" s="703" t="s">
        <v>669</v>
      </c>
    </row>
    <row r="3" spans="1:2" ht="15">
      <c r="A3" s="723"/>
      <c r="B3" s="704"/>
    </row>
    <row r="4" spans="1:2" ht="15">
      <c r="A4" s="723"/>
      <c r="B4" s="704"/>
    </row>
    <row r="5" spans="1:2" ht="15">
      <c r="A5" s="723"/>
      <c r="B5" s="704"/>
    </row>
    <row r="6" spans="1:2" ht="15">
      <c r="A6" s="723"/>
      <c r="B6" s="704"/>
    </row>
    <row r="7" spans="1:2" ht="15">
      <c r="A7" s="723"/>
      <c r="B7" s="704"/>
    </row>
    <row r="8" spans="1:2" ht="15.75" thickBot="1">
      <c r="A8" s="723"/>
      <c r="B8" s="705"/>
    </row>
    <row r="9" spans="1:2" ht="15">
      <c r="A9" s="723"/>
      <c r="B9" s="706" t="s">
        <v>1098</v>
      </c>
    </row>
    <row r="10" spans="1:2" ht="15">
      <c r="A10" s="723"/>
      <c r="B10" s="707"/>
    </row>
    <row r="11" spans="1:2" ht="15">
      <c r="A11" s="723"/>
      <c r="B11" s="707"/>
    </row>
    <row r="12" spans="1:2" ht="15">
      <c r="A12" s="723"/>
      <c r="B12" s="707"/>
    </row>
    <row r="13" spans="1:2" ht="15">
      <c r="A13" s="723"/>
      <c r="B13" s="707"/>
    </row>
    <row r="14" spans="1:2" ht="15">
      <c r="A14" s="723"/>
      <c r="B14" s="707"/>
    </row>
    <row r="15" spans="1:2" ht="15">
      <c r="A15" s="723"/>
      <c r="B15" s="707"/>
    </row>
    <row r="16" spans="1:2" ht="15.75" thickBot="1">
      <c r="A16" s="724"/>
      <c r="B16" s="708"/>
    </row>
    <row r="17" spans="1:2" ht="15">
      <c r="A17" s="722" t="s">
        <v>2576</v>
      </c>
      <c r="B17" s="700" t="s">
        <v>1692</v>
      </c>
    </row>
    <row r="18" spans="1:2" ht="15">
      <c r="A18" s="723"/>
      <c r="B18" s="701"/>
    </row>
    <row r="19" spans="1:2" ht="15">
      <c r="A19" s="723"/>
      <c r="B19" s="701"/>
    </row>
    <row r="20" spans="1:2" ht="15">
      <c r="A20" s="723"/>
      <c r="B20" s="701"/>
    </row>
    <row r="21" spans="1:2" ht="15">
      <c r="A21" s="723"/>
      <c r="B21" s="701"/>
    </row>
    <row r="22" spans="1:2" ht="15">
      <c r="A22" s="723"/>
      <c r="B22" s="701"/>
    </row>
    <row r="23" spans="1:2" ht="15.75" thickBot="1">
      <c r="A23" s="723"/>
      <c r="B23" s="702"/>
    </row>
    <row r="24" spans="1:2" ht="15">
      <c r="A24" s="723"/>
      <c r="B24" s="709" t="s">
        <v>1699</v>
      </c>
    </row>
    <row r="25" spans="1:2" ht="15">
      <c r="A25" s="723"/>
      <c r="B25" s="707"/>
    </row>
    <row r="26" spans="1:2" ht="15">
      <c r="A26" s="723"/>
      <c r="B26" s="707"/>
    </row>
    <row r="27" spans="1:2" ht="15.75" thickBot="1">
      <c r="A27" s="723"/>
      <c r="B27" s="710"/>
    </row>
    <row r="28" spans="1:2" ht="15">
      <c r="A28" s="723"/>
      <c r="B28" s="700" t="s">
        <v>1702</v>
      </c>
    </row>
    <row r="29" spans="1:2" ht="15">
      <c r="A29" s="723"/>
      <c r="B29" s="701"/>
    </row>
    <row r="30" spans="1:2" ht="15">
      <c r="A30" s="723"/>
      <c r="B30" s="701"/>
    </row>
    <row r="31" spans="1:2" ht="15">
      <c r="A31" s="723"/>
      <c r="B31" s="701"/>
    </row>
    <row r="32" spans="1:2" ht="15.75" thickBot="1">
      <c r="A32" s="723"/>
      <c r="B32" s="702"/>
    </row>
    <row r="33" spans="1:2" ht="15">
      <c r="A33" s="723"/>
      <c r="B33" s="706" t="s">
        <v>1711</v>
      </c>
    </row>
    <row r="34" spans="1:2" ht="15">
      <c r="A34" s="723"/>
      <c r="B34" s="707"/>
    </row>
    <row r="35" spans="1:2" ht="15">
      <c r="A35" s="723"/>
      <c r="B35" s="707"/>
    </row>
    <row r="36" spans="1:2" ht="15">
      <c r="A36" s="723"/>
      <c r="B36" s="707"/>
    </row>
    <row r="37" spans="1:2" ht="15">
      <c r="A37" s="723"/>
      <c r="B37" s="707"/>
    </row>
    <row r="38" spans="1:2" ht="15.75" thickBot="1">
      <c r="A38" s="724"/>
      <c r="B38" s="708"/>
    </row>
    <row r="39" spans="1:2" ht="15">
      <c r="A39" s="722" t="s">
        <v>2575</v>
      </c>
      <c r="B39" s="714" t="s">
        <v>1748</v>
      </c>
    </row>
    <row r="40" spans="1:2" ht="15">
      <c r="A40" s="723"/>
      <c r="B40" s="715"/>
    </row>
    <row r="41" spans="1:2" ht="15">
      <c r="A41" s="723"/>
      <c r="B41" s="715"/>
    </row>
    <row r="42" spans="1:2" ht="15">
      <c r="A42" s="723"/>
      <c r="B42" s="715"/>
    </row>
    <row r="43" spans="1:2" ht="15">
      <c r="A43" s="723"/>
      <c r="B43" s="715"/>
    </row>
    <row r="44" spans="1:2" ht="15">
      <c r="A44" s="723"/>
      <c r="B44" s="715"/>
    </row>
    <row r="45" spans="1:2" ht="15.75" thickBot="1">
      <c r="A45" s="723"/>
      <c r="B45" s="716"/>
    </row>
    <row r="46" spans="1:2" ht="15">
      <c r="A46" s="723"/>
      <c r="B46" s="711" t="s">
        <v>1754</v>
      </c>
    </row>
    <row r="47" spans="1:2" ht="15">
      <c r="A47" s="723"/>
      <c r="B47" s="712"/>
    </row>
    <row r="48" spans="1:2" ht="15.75" thickBot="1">
      <c r="A48" s="724"/>
      <c r="B48" s="713"/>
    </row>
    <row r="49" spans="1:2" ht="15">
      <c r="A49" s="722" t="s">
        <v>2573</v>
      </c>
      <c r="B49" s="714" t="s">
        <v>775</v>
      </c>
    </row>
    <row r="50" spans="1:2" ht="15">
      <c r="A50" s="723"/>
      <c r="B50" s="715"/>
    </row>
    <row r="51" spans="1:2" ht="15">
      <c r="A51" s="723"/>
      <c r="B51" s="715"/>
    </row>
    <row r="52" spans="1:2" ht="15">
      <c r="A52" s="723"/>
      <c r="B52" s="715"/>
    </row>
    <row r="53" spans="1:2" ht="15">
      <c r="A53" s="723"/>
      <c r="B53" s="715"/>
    </row>
    <row r="54" spans="1:2" ht="15.75" thickBot="1">
      <c r="A54" s="723"/>
      <c r="B54" s="716"/>
    </row>
    <row r="55" spans="1:2" ht="15">
      <c r="A55" s="723"/>
      <c r="B55" s="711" t="s">
        <v>1764</v>
      </c>
    </row>
    <row r="56" spans="1:2" ht="15">
      <c r="A56" s="723"/>
      <c r="B56" s="712"/>
    </row>
    <row r="57" spans="1:2" ht="15">
      <c r="A57" s="723"/>
      <c r="B57" s="712"/>
    </row>
    <row r="58" spans="1:2" ht="15">
      <c r="A58" s="723"/>
      <c r="B58" s="712"/>
    </row>
    <row r="59" spans="1:2" ht="15">
      <c r="A59" s="723"/>
      <c r="B59" s="712"/>
    </row>
    <row r="60" spans="1:2" ht="15">
      <c r="A60" s="723"/>
      <c r="B60" s="712"/>
    </row>
    <row r="61" spans="1:2" ht="15">
      <c r="A61" s="723"/>
      <c r="B61" s="712"/>
    </row>
    <row r="62" spans="1:2" ht="15">
      <c r="A62" s="723"/>
      <c r="B62" s="712"/>
    </row>
    <row r="63" spans="1:2" ht="15.75" thickBot="1">
      <c r="A63" s="724"/>
      <c r="B63" s="713"/>
    </row>
    <row r="64" spans="1:2" ht="15">
      <c r="A64" s="722" t="s">
        <v>2572</v>
      </c>
      <c r="B64" s="703" t="s">
        <v>1705</v>
      </c>
    </row>
    <row r="65" spans="1:2" ht="15">
      <c r="A65" s="723"/>
      <c r="B65" s="704"/>
    </row>
    <row r="66" spans="1:2" ht="15">
      <c r="A66" s="723"/>
      <c r="B66" s="704"/>
    </row>
    <row r="67" spans="1:2" ht="15">
      <c r="A67" s="723"/>
      <c r="B67" s="704"/>
    </row>
    <row r="68" spans="1:2" ht="15">
      <c r="A68" s="723"/>
      <c r="B68" s="704"/>
    </row>
    <row r="69" spans="1:2" ht="15.75" thickBot="1">
      <c r="A69" s="723"/>
      <c r="B69" s="705"/>
    </row>
    <row r="70" spans="1:2" ht="15">
      <c r="A70" s="723"/>
      <c r="B70" s="711" t="s">
        <v>1774</v>
      </c>
    </row>
    <row r="71" spans="1:2" ht="15">
      <c r="A71" s="723"/>
      <c r="B71" s="712"/>
    </row>
    <row r="72" spans="1:2" ht="15">
      <c r="A72" s="723"/>
      <c r="B72" s="712"/>
    </row>
    <row r="73" spans="1:2" ht="15.75" thickBot="1">
      <c r="A73" s="723"/>
      <c r="B73" s="725"/>
    </row>
    <row r="74" spans="1:2" ht="15">
      <c r="A74" s="723"/>
      <c r="B74" s="718" t="s">
        <v>1779</v>
      </c>
    </row>
    <row r="75" spans="1:2" ht="15">
      <c r="A75" s="723"/>
      <c r="B75" s="715"/>
    </row>
    <row r="76" spans="1:2" ht="15">
      <c r="A76" s="723"/>
      <c r="B76" s="715"/>
    </row>
    <row r="77" spans="1:2" ht="15.75" thickBot="1">
      <c r="A77" s="724"/>
      <c r="B77" s="721"/>
    </row>
    <row r="78" spans="1:2" ht="15">
      <c r="A78" s="722" t="s">
        <v>2571</v>
      </c>
      <c r="B78" s="711" t="s">
        <v>1784</v>
      </c>
    </row>
    <row r="79" spans="1:2" ht="15">
      <c r="A79" s="723"/>
      <c r="B79" s="712"/>
    </row>
    <row r="80" spans="1:2" ht="15">
      <c r="A80" s="723"/>
      <c r="B80" s="712"/>
    </row>
    <row r="81" spans="1:2" ht="15">
      <c r="A81" s="723"/>
      <c r="B81" s="712"/>
    </row>
    <row r="82" spans="1:2" ht="15">
      <c r="A82" s="723"/>
      <c r="B82" s="712"/>
    </row>
    <row r="83" spans="1:2" ht="15">
      <c r="A83" s="723"/>
      <c r="B83" s="712"/>
    </row>
    <row r="84" spans="1:2" ht="15">
      <c r="A84" s="723"/>
      <c r="B84" s="712"/>
    </row>
    <row r="85" spans="1:2" ht="15">
      <c r="A85" s="723"/>
      <c r="B85" s="712"/>
    </row>
    <row r="86" spans="1:2" ht="15.75" thickBot="1">
      <c r="A86" s="723"/>
      <c r="B86" s="713"/>
    </row>
    <row r="87" spans="1:2" ht="15">
      <c r="A87" s="723"/>
      <c r="B87" s="718" t="s">
        <v>896</v>
      </c>
    </row>
    <row r="88" spans="1:2" ht="15">
      <c r="A88" s="723"/>
      <c r="B88" s="715"/>
    </row>
    <row r="89" spans="1:2" ht="15">
      <c r="A89" s="723"/>
      <c r="B89" s="715"/>
    </row>
    <row r="90" spans="1:2" ht="15">
      <c r="A90" s="723"/>
      <c r="B90" s="715"/>
    </row>
    <row r="91" spans="1:2" ht="15.75" thickBot="1">
      <c r="A91" s="724"/>
      <c r="B91" s="716"/>
    </row>
    <row r="92" spans="1:2" ht="15">
      <c r="A92" s="722" t="s">
        <v>2570</v>
      </c>
      <c r="B92" s="706" t="s">
        <v>1184</v>
      </c>
    </row>
    <row r="93" spans="1:2" ht="15">
      <c r="A93" s="723"/>
      <c r="B93" s="707"/>
    </row>
    <row r="94" spans="1:2" ht="15">
      <c r="A94" s="723"/>
      <c r="B94" s="707"/>
    </row>
    <row r="95" spans="1:2" ht="15">
      <c r="A95" s="723"/>
      <c r="B95" s="707"/>
    </row>
    <row r="96" spans="1:2" ht="15">
      <c r="A96" s="723"/>
      <c r="B96" s="707"/>
    </row>
    <row r="97" spans="1:2" ht="15.75" thickBot="1">
      <c r="A97" s="723"/>
      <c r="B97" s="708"/>
    </row>
    <row r="98" spans="1:2" ht="15">
      <c r="A98" s="723"/>
      <c r="B98" s="718" t="s">
        <v>1828</v>
      </c>
    </row>
    <row r="99" spans="1:2" ht="15">
      <c r="A99" s="723"/>
      <c r="B99" s="715"/>
    </row>
    <row r="100" spans="1:2" ht="15">
      <c r="A100" s="723"/>
      <c r="B100" s="715"/>
    </row>
    <row r="101" spans="1:2" ht="15">
      <c r="A101" s="723"/>
      <c r="B101" s="715"/>
    </row>
    <row r="102" spans="1:2" ht="15">
      <c r="A102" s="723"/>
      <c r="B102" s="715"/>
    </row>
    <row r="103" spans="1:2" ht="15">
      <c r="A103" s="723"/>
      <c r="B103" s="715"/>
    </row>
    <row r="104" spans="1:2" ht="15">
      <c r="A104" s="723"/>
      <c r="B104" s="715"/>
    </row>
    <row r="105" spans="1:2" ht="15.75" thickBot="1">
      <c r="A105" s="723"/>
      <c r="B105" s="716"/>
    </row>
    <row r="106" spans="1:2" ht="15">
      <c r="A106" s="723"/>
      <c r="B106" s="711" t="s">
        <v>1797</v>
      </c>
    </row>
    <row r="107" spans="1:2" ht="15">
      <c r="A107" s="723"/>
      <c r="B107" s="712"/>
    </row>
    <row r="108" spans="1:2" ht="15">
      <c r="A108" s="723"/>
      <c r="B108" s="712"/>
    </row>
    <row r="109" spans="1:2" ht="15">
      <c r="A109" s="723"/>
      <c r="B109" s="712"/>
    </row>
    <row r="110" spans="1:2" ht="15">
      <c r="A110" s="723"/>
      <c r="B110" s="712"/>
    </row>
    <row r="111" spans="1:2" ht="15.75" thickBot="1">
      <c r="A111" s="723"/>
      <c r="B111" s="713"/>
    </row>
    <row r="112" spans="1:2" ht="15">
      <c r="A112" s="723"/>
      <c r="B112" s="718" t="s">
        <v>353</v>
      </c>
    </row>
    <row r="113" spans="1:2" ht="15">
      <c r="A113" s="723"/>
      <c r="B113" s="715"/>
    </row>
    <row r="114" spans="1:2" ht="15">
      <c r="A114" s="723"/>
      <c r="B114" s="715"/>
    </row>
    <row r="115" spans="1:2" ht="15">
      <c r="A115" s="723"/>
      <c r="B115" s="715"/>
    </row>
    <row r="116" spans="1:2" ht="15">
      <c r="A116" s="723"/>
      <c r="B116" s="715"/>
    </row>
    <row r="117" spans="1:2" ht="15.75" thickBot="1">
      <c r="A117" s="723"/>
      <c r="B117" s="716"/>
    </row>
    <row r="118" spans="1:2" ht="15">
      <c r="A118" s="723"/>
      <c r="B118" s="711" t="s">
        <v>652</v>
      </c>
    </row>
    <row r="119" spans="1:2" ht="15">
      <c r="A119" s="723"/>
      <c r="B119" s="712"/>
    </row>
    <row r="120" spans="1:2" ht="15">
      <c r="A120" s="723"/>
      <c r="B120" s="712"/>
    </row>
    <row r="121" spans="1:2" ht="15">
      <c r="A121" s="723"/>
      <c r="B121" s="712"/>
    </row>
    <row r="122" spans="1:2" ht="15">
      <c r="A122" s="723"/>
      <c r="B122" s="712"/>
    </row>
    <row r="123" spans="1:2" ht="15">
      <c r="A123" s="723"/>
      <c r="B123" s="712"/>
    </row>
    <row r="124" spans="1:2" ht="15">
      <c r="A124" s="723"/>
      <c r="B124" s="712"/>
    </row>
    <row r="125" spans="1:2" ht="15.75" thickBot="1">
      <c r="A125" s="724"/>
      <c r="B125" s="713"/>
    </row>
    <row r="126" spans="1:2" ht="15">
      <c r="A126" s="722" t="s">
        <v>2574</v>
      </c>
      <c r="B126" s="700" t="s">
        <v>1715</v>
      </c>
    </row>
    <row r="127" spans="1:2" ht="15">
      <c r="A127" s="723"/>
      <c r="B127" s="701"/>
    </row>
    <row r="128" spans="1:2" ht="15">
      <c r="A128" s="723"/>
      <c r="B128" s="701"/>
    </row>
    <row r="129" spans="1:2" ht="15.75" thickBot="1">
      <c r="A129" s="723"/>
      <c r="B129" s="719"/>
    </row>
    <row r="130" spans="1:2" ht="15">
      <c r="A130" s="723"/>
      <c r="B130" s="706" t="s">
        <v>1720</v>
      </c>
    </row>
    <row r="131" spans="1:2" ht="15">
      <c r="A131" s="723"/>
      <c r="B131" s="707"/>
    </row>
    <row r="132" spans="1:2" ht="15.75" thickBot="1">
      <c r="A132" s="723"/>
      <c r="B132" s="708"/>
    </row>
    <row r="133" spans="1:2" ht="15">
      <c r="A133" s="723"/>
      <c r="B133" s="720" t="s">
        <v>1724</v>
      </c>
    </row>
    <row r="134" spans="1:2" ht="15">
      <c r="A134" s="723"/>
      <c r="B134" s="701"/>
    </row>
    <row r="135" spans="1:2" ht="15">
      <c r="A135" s="723"/>
      <c r="B135" s="701"/>
    </row>
    <row r="136" spans="1:2" ht="15.75" thickBot="1">
      <c r="A136" s="723"/>
      <c r="B136" s="702"/>
    </row>
    <row r="137" spans="1:2" ht="15">
      <c r="A137" s="723"/>
      <c r="B137" s="709" t="s">
        <v>1729</v>
      </c>
    </row>
    <row r="138" spans="1:2" ht="15">
      <c r="A138" s="723"/>
      <c r="B138" s="707"/>
    </row>
    <row r="139" spans="1:2" ht="15">
      <c r="A139" s="723"/>
      <c r="B139" s="707"/>
    </row>
    <row r="140" spans="1:2" ht="15">
      <c r="A140" s="723"/>
      <c r="B140" s="707"/>
    </row>
    <row r="141" spans="1:2" ht="15">
      <c r="A141" s="723"/>
      <c r="B141" s="707"/>
    </row>
    <row r="142" spans="1:2" ht="15">
      <c r="A142" s="723"/>
      <c r="B142" s="707"/>
    </row>
    <row r="143" spans="1:2" ht="15.75" thickBot="1">
      <c r="A143" s="723"/>
      <c r="B143" s="710"/>
    </row>
    <row r="144" spans="1:2" ht="15">
      <c r="A144" s="723"/>
      <c r="B144" s="718" t="s">
        <v>1586</v>
      </c>
    </row>
    <row r="145" spans="1:2" ht="15">
      <c r="A145" s="723"/>
      <c r="B145" s="715"/>
    </row>
    <row r="146" spans="1:2" ht="15">
      <c r="A146" s="723"/>
      <c r="B146" s="715"/>
    </row>
    <row r="147" spans="1:2" ht="15">
      <c r="A147" s="723"/>
      <c r="B147" s="715"/>
    </row>
    <row r="148" spans="1:2" ht="15">
      <c r="A148" s="723"/>
      <c r="B148" s="715"/>
    </row>
    <row r="149" spans="1:2" ht="15">
      <c r="A149" s="723"/>
      <c r="B149" s="715"/>
    </row>
    <row r="150" spans="1:2" ht="15">
      <c r="A150" s="723"/>
      <c r="B150" s="715"/>
    </row>
    <row r="151" spans="1:2" ht="15.75" thickBot="1">
      <c r="A151" s="723"/>
      <c r="B151" s="716"/>
    </row>
    <row r="152" spans="1:2" ht="15">
      <c r="A152" s="723"/>
      <c r="B152" s="711" t="s">
        <v>701</v>
      </c>
    </row>
    <row r="153" spans="1:2" ht="15">
      <c r="A153" s="723"/>
      <c r="B153" s="712"/>
    </row>
    <row r="154" spans="1:2" ht="15">
      <c r="A154" s="723"/>
      <c r="B154" s="712"/>
    </row>
    <row r="155" spans="1:2" ht="15">
      <c r="A155" s="723"/>
      <c r="B155" s="712"/>
    </row>
    <row r="156" spans="1:2" ht="15.75" thickBot="1">
      <c r="A156" s="723"/>
      <c r="B156" s="725"/>
    </row>
    <row r="157" spans="1:2" ht="15">
      <c r="A157" s="723"/>
      <c r="B157" s="718" t="s">
        <v>1818</v>
      </c>
    </row>
    <row r="158" spans="1:2" ht="15">
      <c r="A158" s="723"/>
      <c r="B158" s="715"/>
    </row>
    <row r="159" spans="1:2" ht="15.75" thickBot="1">
      <c r="A159" s="723"/>
      <c r="B159" s="721"/>
    </row>
    <row r="160" spans="1:2" ht="15">
      <c r="A160" s="723"/>
      <c r="B160" s="717" t="s">
        <v>1822</v>
      </c>
    </row>
    <row r="161" spans="1:2" ht="15">
      <c r="A161" s="723"/>
      <c r="B161" s="712"/>
    </row>
    <row r="162" spans="1:2" ht="15">
      <c r="A162" s="723"/>
      <c r="B162" s="712"/>
    </row>
    <row r="163" spans="1:2" ht="15">
      <c r="A163" s="723"/>
      <c r="B163" s="712"/>
    </row>
    <row r="164" spans="1:2" ht="15.75" thickBot="1">
      <c r="A164" s="724"/>
      <c r="B164" s="713"/>
    </row>
    <row r="165" spans="1:2" ht="15">
      <c r="A165" s="1286"/>
      <c r="B165" s="1286"/>
    </row>
    <row r="166" spans="1:2" ht="15">
      <c r="A166" s="1286"/>
      <c r="B166" s="1286"/>
    </row>
    <row r="167" spans="1:2" ht="15">
      <c r="A167" s="1286"/>
      <c r="B167" s="1286"/>
    </row>
  </sheetData>
  <mergeCells count="36">
    <mergeCell ref="A126:A164"/>
    <mergeCell ref="B126:B129"/>
    <mergeCell ref="B130:B132"/>
    <mergeCell ref="B133:B136"/>
    <mergeCell ref="B137:B143"/>
    <mergeCell ref="B144:B151"/>
    <mergeCell ref="B152:B156"/>
    <mergeCell ref="B157:B159"/>
    <mergeCell ref="B160:B164"/>
    <mergeCell ref="A92:A125"/>
    <mergeCell ref="B92:B97"/>
    <mergeCell ref="B98:B105"/>
    <mergeCell ref="B106:B111"/>
    <mergeCell ref="B112:B117"/>
    <mergeCell ref="B118:B125"/>
    <mergeCell ref="A64:A77"/>
    <mergeCell ref="B64:B69"/>
    <mergeCell ref="B70:B73"/>
    <mergeCell ref="B74:B77"/>
    <mergeCell ref="A78:A91"/>
    <mergeCell ref="B78:B86"/>
    <mergeCell ref="B87:B91"/>
    <mergeCell ref="A39:A48"/>
    <mergeCell ref="B39:B45"/>
    <mergeCell ref="B46:B48"/>
    <mergeCell ref="A49:A63"/>
    <mergeCell ref="B49:B54"/>
    <mergeCell ref="B55:B63"/>
    <mergeCell ref="A2:A16"/>
    <mergeCell ref="B2:B8"/>
    <mergeCell ref="B9:B16"/>
    <mergeCell ref="A17:A38"/>
    <mergeCell ref="B17:B23"/>
    <mergeCell ref="B24:B27"/>
    <mergeCell ref="B28:B32"/>
    <mergeCell ref="B33:B38"/>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BD42-A7B0-4B46-BDB1-9EB21F382EB3}">
  <dimension ref="A1:AR165"/>
  <sheetViews>
    <sheetView rightToLeft="1" view="pageBreakPreview" zoomScale="55" zoomScaleNormal="50" zoomScaleSheetLayoutView="55" workbookViewId="0">
      <pane ySplit="1" topLeftCell="A85" activePane="bottomLeft" state="frozen"/>
      <selection activeCell="B1" sqref="B1"/>
      <selection pane="bottomLeft" activeCell="D97" sqref="D97"/>
    </sheetView>
  </sheetViews>
  <sheetFormatPr defaultColWidth="9.140625" defaultRowHeight="33"/>
  <cols>
    <col min="1" max="1" width="49.7109375" style="309" customWidth="1"/>
    <col min="2" max="2" width="96" style="310" customWidth="1"/>
    <col min="3" max="3" width="28.7109375" style="350" customWidth="1"/>
    <col min="4" max="4" width="45.42578125" style="351" customWidth="1"/>
    <col min="5" max="5" width="21.5703125" style="359" customWidth="1"/>
    <col min="6" max="6" width="19" style="359" customWidth="1"/>
    <col min="7" max="7" width="31.28515625" style="356" customWidth="1"/>
    <col min="8" max="8" width="107.140625" style="355" customWidth="1"/>
    <col min="9" max="9" width="103.85546875" style="358" customWidth="1"/>
    <col min="10" max="10" width="38.42578125" style="357" customWidth="1"/>
    <col min="11" max="11" width="69.28515625" style="356" customWidth="1"/>
    <col min="12" max="12" width="90.28515625" style="356" customWidth="1"/>
    <col min="13" max="13" width="218" style="355" customWidth="1"/>
    <col min="14" max="14" width="67.85546875" style="354" customWidth="1"/>
    <col min="15" max="15" width="28.42578125" style="353" customWidth="1"/>
    <col min="16" max="44" width="22.85546875" style="352" customWidth="1"/>
    <col min="45" max="16384" width="9.140625" style="153"/>
  </cols>
  <sheetData>
    <row r="1" spans="1:44" ht="34.5" thickBot="1">
      <c r="A1" s="295" t="s">
        <v>1670</v>
      </c>
      <c r="B1" s="296" t="s">
        <v>1671</v>
      </c>
      <c r="C1" s="296" t="s">
        <v>1857</v>
      </c>
      <c r="D1" s="312" t="s">
        <v>1858</v>
      </c>
      <c r="E1" s="412" t="s">
        <v>2489</v>
      </c>
      <c r="F1" s="412" t="s">
        <v>2488</v>
      </c>
      <c r="G1" s="412" t="s">
        <v>2487</v>
      </c>
      <c r="H1" s="412" t="s">
        <v>2486</v>
      </c>
      <c r="I1" s="312" t="s">
        <v>2485</v>
      </c>
      <c r="J1" s="413" t="s">
        <v>2484</v>
      </c>
      <c r="K1" s="412" t="s">
        <v>2483</v>
      </c>
      <c r="L1" s="412" t="s">
        <v>2482</v>
      </c>
      <c r="M1" s="412" t="s">
        <v>2481</v>
      </c>
      <c r="N1" s="411" t="s">
        <v>2480</v>
      </c>
      <c r="O1" s="410" t="s">
        <v>2479</v>
      </c>
      <c r="P1" s="313" t="s">
        <v>1859</v>
      </c>
      <c r="Q1" s="313" t="s">
        <v>614</v>
      </c>
      <c r="R1" s="313" t="s">
        <v>652</v>
      </c>
      <c r="S1" s="313" t="s">
        <v>1098</v>
      </c>
      <c r="T1" s="313" t="s">
        <v>1860</v>
      </c>
      <c r="U1" s="313" t="s">
        <v>1861</v>
      </c>
      <c r="V1" s="313" t="s">
        <v>1715</v>
      </c>
      <c r="W1" s="313" t="s">
        <v>1720</v>
      </c>
      <c r="X1" s="313" t="s">
        <v>1862</v>
      </c>
      <c r="Y1" s="313" t="s">
        <v>1586</v>
      </c>
      <c r="Z1" s="313" t="s">
        <v>1818</v>
      </c>
      <c r="AA1" s="313" t="s">
        <v>1863</v>
      </c>
      <c r="AB1" s="313" t="s">
        <v>1864</v>
      </c>
      <c r="AC1" s="313" t="s">
        <v>775</v>
      </c>
      <c r="AD1" s="313" t="s">
        <v>1865</v>
      </c>
      <c r="AE1" s="313" t="s">
        <v>942</v>
      </c>
      <c r="AF1" s="313" t="s">
        <v>1866</v>
      </c>
      <c r="AG1" s="313" t="s">
        <v>1483</v>
      </c>
      <c r="AH1" s="313" t="s">
        <v>1867</v>
      </c>
      <c r="AI1" s="313" t="s">
        <v>1868</v>
      </c>
      <c r="AJ1" s="313" t="s">
        <v>1319</v>
      </c>
      <c r="AK1" s="313" t="s">
        <v>1869</v>
      </c>
      <c r="AL1" s="313" t="s">
        <v>1870</v>
      </c>
      <c r="AM1" s="313" t="s">
        <v>1871</v>
      </c>
      <c r="AN1" s="313" t="s">
        <v>595</v>
      </c>
      <c r="AO1" s="313" t="s">
        <v>1754</v>
      </c>
      <c r="AP1" s="313" t="s">
        <v>1071</v>
      </c>
      <c r="AQ1" s="313" t="s">
        <v>353</v>
      </c>
      <c r="AR1" s="313" t="s">
        <v>255</v>
      </c>
    </row>
    <row r="2" spans="1:44" ht="83.25">
      <c r="A2" s="1278" t="s">
        <v>669</v>
      </c>
      <c r="B2" s="300" t="s">
        <v>1672</v>
      </c>
      <c r="C2" s="314">
        <v>4</v>
      </c>
      <c r="D2" s="315" t="s">
        <v>1872</v>
      </c>
      <c r="E2" s="382" t="s">
        <v>1988</v>
      </c>
      <c r="F2" s="382" t="s">
        <v>1954</v>
      </c>
      <c r="G2" s="409"/>
      <c r="H2" s="381" t="s">
        <v>2478</v>
      </c>
      <c r="I2" s="381" t="s">
        <v>2477</v>
      </c>
      <c r="J2" s="383"/>
      <c r="K2" s="382"/>
      <c r="L2" s="382"/>
      <c r="M2" s="381" t="s">
        <v>2476</v>
      </c>
      <c r="N2" s="404">
        <v>0.15</v>
      </c>
      <c r="O2" s="391"/>
      <c r="P2" s="316"/>
      <c r="Q2" s="316"/>
      <c r="R2" s="316"/>
      <c r="S2" s="316"/>
      <c r="T2" s="316"/>
      <c r="U2" s="316"/>
      <c r="V2" s="316"/>
      <c r="W2" s="316"/>
      <c r="X2" s="316"/>
      <c r="Y2" s="316"/>
      <c r="Z2" s="316"/>
      <c r="AA2" s="316"/>
      <c r="AB2" s="316"/>
      <c r="AC2" s="316">
        <v>1</v>
      </c>
      <c r="AD2" s="316">
        <v>1</v>
      </c>
      <c r="AE2" s="316"/>
      <c r="AF2" s="316"/>
      <c r="AG2" s="316"/>
      <c r="AH2" s="316"/>
      <c r="AI2" s="316"/>
      <c r="AJ2" s="316"/>
      <c r="AK2" s="316"/>
      <c r="AL2" s="316"/>
      <c r="AM2" s="316"/>
      <c r="AN2" s="316"/>
      <c r="AO2" s="316"/>
      <c r="AP2" s="316"/>
      <c r="AQ2" s="316">
        <v>1</v>
      </c>
      <c r="AR2" s="317"/>
    </row>
    <row r="3" spans="1:44" ht="83.25">
      <c r="A3" s="1274"/>
      <c r="B3" s="297" t="s">
        <v>1673</v>
      </c>
      <c r="C3" s="318">
        <v>4</v>
      </c>
      <c r="D3" s="319" t="s">
        <v>1873</v>
      </c>
      <c r="E3" s="320" t="s">
        <v>1988</v>
      </c>
      <c r="F3" s="320" t="s">
        <v>1984</v>
      </c>
      <c r="G3" s="320"/>
      <c r="H3" s="308" t="s">
        <v>2475</v>
      </c>
      <c r="I3" s="308" t="s">
        <v>2474</v>
      </c>
      <c r="J3" s="377"/>
      <c r="K3" s="320"/>
      <c r="L3" s="320"/>
      <c r="M3" s="308" t="s">
        <v>2473</v>
      </c>
      <c r="N3" s="403"/>
      <c r="O3" s="321"/>
      <c r="P3" s="322"/>
      <c r="Q3" s="322"/>
      <c r="R3" s="322"/>
      <c r="S3" s="322">
        <v>1</v>
      </c>
      <c r="T3" s="322"/>
      <c r="U3" s="322"/>
      <c r="V3" s="322"/>
      <c r="W3" s="322"/>
      <c r="X3" s="322"/>
      <c r="Y3" s="322"/>
      <c r="Z3" s="322"/>
      <c r="AA3" s="322"/>
      <c r="AB3" s="322"/>
      <c r="AC3" s="322">
        <v>1</v>
      </c>
      <c r="AD3" s="322"/>
      <c r="AE3" s="322"/>
      <c r="AF3" s="322"/>
      <c r="AG3" s="322"/>
      <c r="AH3" s="322"/>
      <c r="AI3" s="322"/>
      <c r="AJ3" s="322"/>
      <c r="AK3" s="322"/>
      <c r="AL3" s="322"/>
      <c r="AM3" s="322"/>
      <c r="AN3" s="322"/>
      <c r="AO3" s="322"/>
      <c r="AP3" s="322"/>
      <c r="AQ3" s="322"/>
      <c r="AR3" s="323"/>
    </row>
    <row r="4" spans="1:44" ht="111">
      <c r="A4" s="1274"/>
      <c r="B4" s="297" t="s">
        <v>1674</v>
      </c>
      <c r="C4" s="318">
        <v>3</v>
      </c>
      <c r="D4" s="319" t="s">
        <v>1874</v>
      </c>
      <c r="E4" s="320" t="s">
        <v>1988</v>
      </c>
      <c r="F4" s="320" t="s">
        <v>2072</v>
      </c>
      <c r="G4" s="320"/>
      <c r="H4" s="308" t="s">
        <v>2472</v>
      </c>
      <c r="I4" s="308" t="s">
        <v>2471</v>
      </c>
      <c r="J4" s="377"/>
      <c r="K4" s="320"/>
      <c r="L4" s="320"/>
      <c r="M4" s="308" t="s">
        <v>2470</v>
      </c>
      <c r="N4" s="390" t="s">
        <v>2469</v>
      </c>
      <c r="O4" s="321"/>
      <c r="P4" s="322"/>
      <c r="Q4" s="322">
        <v>1</v>
      </c>
      <c r="R4" s="322"/>
      <c r="S4" s="322"/>
      <c r="T4" s="322"/>
      <c r="U4" s="322"/>
      <c r="V4" s="322"/>
      <c r="W4" s="322"/>
      <c r="X4" s="322"/>
      <c r="Y4" s="322"/>
      <c r="Z4" s="322"/>
      <c r="AA4" s="322"/>
      <c r="AB4" s="322"/>
      <c r="AC4" s="322">
        <v>1</v>
      </c>
      <c r="AD4" s="322"/>
      <c r="AE4" s="322"/>
      <c r="AF4" s="322"/>
      <c r="AG4" s="322"/>
      <c r="AH4" s="322"/>
      <c r="AI4" s="322"/>
      <c r="AJ4" s="322"/>
      <c r="AK4" s="322"/>
      <c r="AL4" s="322"/>
      <c r="AM4" s="322"/>
      <c r="AN4" s="322">
        <v>1</v>
      </c>
      <c r="AO4" s="322">
        <v>1</v>
      </c>
      <c r="AP4" s="322"/>
      <c r="AQ4" s="322"/>
      <c r="AR4" s="323"/>
    </row>
    <row r="5" spans="1:44" ht="111">
      <c r="A5" s="1274"/>
      <c r="B5" s="297" t="s">
        <v>1675</v>
      </c>
      <c r="C5" s="318">
        <v>3</v>
      </c>
      <c r="D5" s="319" t="s">
        <v>1875</v>
      </c>
      <c r="E5" s="320" t="s">
        <v>1988</v>
      </c>
      <c r="F5" s="320" t="s">
        <v>2072</v>
      </c>
      <c r="G5" s="320"/>
      <c r="H5" s="308" t="s">
        <v>2466</v>
      </c>
      <c r="I5" s="308" t="s">
        <v>2468</v>
      </c>
      <c r="J5" s="377"/>
      <c r="K5" s="320"/>
      <c r="L5" s="320"/>
      <c r="M5" s="308" t="s">
        <v>2467</v>
      </c>
      <c r="N5" s="390">
        <v>1</v>
      </c>
      <c r="O5" s="378"/>
      <c r="P5" s="324"/>
      <c r="Q5" s="322"/>
      <c r="R5" s="322">
        <v>1</v>
      </c>
      <c r="S5" s="322"/>
      <c r="T5" s="322"/>
      <c r="U5" s="322"/>
      <c r="V5" s="322"/>
      <c r="W5" s="322"/>
      <c r="X5" s="322"/>
      <c r="Y5" s="322"/>
      <c r="Z5" s="322"/>
      <c r="AA5" s="322"/>
      <c r="AB5" s="322"/>
      <c r="AC5" s="322">
        <v>1</v>
      </c>
      <c r="AD5" s="322"/>
      <c r="AE5" s="322"/>
      <c r="AF5" s="322"/>
      <c r="AG5" s="322"/>
      <c r="AH5" s="322"/>
      <c r="AI5" s="322"/>
      <c r="AJ5" s="322"/>
      <c r="AK5" s="322"/>
      <c r="AL5" s="322"/>
      <c r="AM5" s="322"/>
      <c r="AN5" s="322"/>
      <c r="AO5" s="322"/>
      <c r="AP5" s="322"/>
      <c r="AQ5" s="322"/>
      <c r="AR5" s="323"/>
    </row>
    <row r="6" spans="1:44" ht="111">
      <c r="A6" s="1274"/>
      <c r="B6" s="297" t="s">
        <v>1676</v>
      </c>
      <c r="C6" s="318">
        <v>4</v>
      </c>
      <c r="D6" s="319" t="s">
        <v>1876</v>
      </c>
      <c r="E6" s="320" t="s">
        <v>1988</v>
      </c>
      <c r="F6" s="320" t="s">
        <v>2072</v>
      </c>
      <c r="G6" s="320"/>
      <c r="H6" s="308" t="s">
        <v>2466</v>
      </c>
      <c r="I6" s="308" t="s">
        <v>2465</v>
      </c>
      <c r="J6" s="377"/>
      <c r="K6" s="320"/>
      <c r="L6" s="320"/>
      <c r="M6" s="308" t="s">
        <v>2464</v>
      </c>
      <c r="N6" s="390">
        <v>1</v>
      </c>
      <c r="O6" s="378"/>
      <c r="P6" s="324"/>
      <c r="Q6" s="322"/>
      <c r="R6" s="322">
        <v>1</v>
      </c>
      <c r="S6" s="322"/>
      <c r="T6" s="322"/>
      <c r="U6" s="322"/>
      <c r="V6" s="322"/>
      <c r="W6" s="322"/>
      <c r="X6" s="322"/>
      <c r="Y6" s="322"/>
      <c r="Z6" s="322"/>
      <c r="AA6" s="322"/>
      <c r="AB6" s="322"/>
      <c r="AC6" s="322">
        <v>1</v>
      </c>
      <c r="AD6" s="322"/>
      <c r="AE6" s="322"/>
      <c r="AF6" s="322"/>
      <c r="AG6" s="322"/>
      <c r="AH6" s="322"/>
      <c r="AI6" s="322"/>
      <c r="AJ6" s="322"/>
      <c r="AK6" s="322"/>
      <c r="AL6" s="322"/>
      <c r="AM6" s="322"/>
      <c r="AN6" s="322"/>
      <c r="AO6" s="322"/>
      <c r="AP6" s="322">
        <v>1</v>
      </c>
      <c r="AQ6" s="322"/>
      <c r="AR6" s="323"/>
    </row>
    <row r="7" spans="1:44" ht="83.25">
      <c r="A7" s="1274"/>
      <c r="B7" s="298" t="s">
        <v>1677</v>
      </c>
      <c r="C7" s="325">
        <v>5</v>
      </c>
      <c r="D7" s="326" t="s">
        <v>614</v>
      </c>
      <c r="E7" s="388" t="s">
        <v>1988</v>
      </c>
      <c r="F7" s="388" t="s">
        <v>1954</v>
      </c>
      <c r="G7" s="388"/>
      <c r="H7" s="387" t="s">
        <v>2463</v>
      </c>
      <c r="I7" s="387" t="s">
        <v>2462</v>
      </c>
      <c r="J7" s="389"/>
      <c r="K7" s="388"/>
      <c r="L7" s="388"/>
      <c r="M7" s="387" t="s">
        <v>2461</v>
      </c>
      <c r="N7" s="386">
        <v>1</v>
      </c>
      <c r="O7" s="385"/>
      <c r="P7" s="324"/>
      <c r="Q7" s="322">
        <v>1</v>
      </c>
      <c r="R7" s="322"/>
      <c r="S7" s="322"/>
      <c r="T7" s="322"/>
      <c r="U7" s="322"/>
      <c r="V7" s="322"/>
      <c r="W7" s="322"/>
      <c r="X7" s="322"/>
      <c r="Y7" s="322"/>
      <c r="Z7" s="322"/>
      <c r="AA7" s="322"/>
      <c r="AB7" s="322"/>
      <c r="AC7" s="322"/>
      <c r="AD7" s="322"/>
      <c r="AE7" s="322"/>
      <c r="AF7" s="322"/>
      <c r="AG7" s="322"/>
      <c r="AH7" s="322"/>
      <c r="AI7" s="322"/>
      <c r="AJ7" s="322"/>
      <c r="AK7" s="322"/>
      <c r="AL7" s="322"/>
      <c r="AM7" s="322"/>
      <c r="AN7" s="322"/>
      <c r="AO7" s="322"/>
      <c r="AP7" s="322"/>
      <c r="AQ7" s="322"/>
      <c r="AR7" s="323"/>
    </row>
    <row r="8" spans="1:44" ht="33.75" thickBot="1">
      <c r="A8" s="1279"/>
      <c r="B8" s="299" t="s">
        <v>1091</v>
      </c>
      <c r="C8" s="327">
        <v>3</v>
      </c>
      <c r="D8" s="328" t="s">
        <v>1877</v>
      </c>
      <c r="E8" s="373" t="s">
        <v>1988</v>
      </c>
      <c r="F8" s="373" t="s">
        <v>2072</v>
      </c>
      <c r="G8" s="373"/>
      <c r="H8" s="372" t="s">
        <v>2460</v>
      </c>
      <c r="I8" s="372" t="s">
        <v>2459</v>
      </c>
      <c r="J8" s="399"/>
      <c r="K8" s="373"/>
      <c r="L8" s="373"/>
      <c r="M8" s="372" t="s">
        <v>2458</v>
      </c>
      <c r="N8" s="395">
        <v>1</v>
      </c>
      <c r="O8" s="398"/>
      <c r="P8" s="329"/>
      <c r="Q8" s="330"/>
      <c r="R8" s="330">
        <v>1</v>
      </c>
      <c r="S8" s="330"/>
      <c r="T8" s="330"/>
      <c r="U8" s="330"/>
      <c r="V8" s="330"/>
      <c r="W8" s="330"/>
      <c r="X8" s="330"/>
      <c r="Y8" s="330"/>
      <c r="Z8" s="330"/>
      <c r="AA8" s="330"/>
      <c r="AB8" s="330"/>
      <c r="AC8" s="330"/>
      <c r="AD8" s="330"/>
      <c r="AE8" s="330"/>
      <c r="AF8" s="330"/>
      <c r="AG8" s="330"/>
      <c r="AH8" s="330"/>
      <c r="AI8" s="330"/>
      <c r="AJ8" s="330"/>
      <c r="AK8" s="330"/>
      <c r="AL8" s="330"/>
      <c r="AM8" s="330"/>
      <c r="AN8" s="330">
        <v>1</v>
      </c>
      <c r="AO8" s="330"/>
      <c r="AP8" s="330"/>
      <c r="AQ8" s="330"/>
      <c r="AR8" s="331"/>
    </row>
    <row r="9" spans="1:44" ht="55.5">
      <c r="A9" s="1275" t="s">
        <v>1098</v>
      </c>
      <c r="B9" s="300" t="s">
        <v>1678</v>
      </c>
      <c r="C9" s="314">
        <v>5</v>
      </c>
      <c r="D9" s="332" t="s">
        <v>1878</v>
      </c>
      <c r="E9" s="382" t="s">
        <v>1988</v>
      </c>
      <c r="F9" s="382" t="s">
        <v>1954</v>
      </c>
      <c r="G9" s="397"/>
      <c r="H9" s="381" t="s">
        <v>2457</v>
      </c>
      <c r="I9" s="381" t="s">
        <v>2456</v>
      </c>
      <c r="J9" s="397"/>
      <c r="K9" s="397"/>
      <c r="L9" s="397"/>
      <c r="M9" s="381" t="s">
        <v>2455</v>
      </c>
      <c r="N9" s="396" t="s">
        <v>2454</v>
      </c>
      <c r="O9" s="379" t="s">
        <v>2138</v>
      </c>
      <c r="P9" s="333"/>
      <c r="Q9" s="316">
        <v>1</v>
      </c>
      <c r="R9" s="316"/>
      <c r="S9" s="316"/>
      <c r="T9" s="316"/>
      <c r="U9" s="316">
        <v>1</v>
      </c>
      <c r="V9" s="316"/>
      <c r="W9" s="316"/>
      <c r="X9" s="316"/>
      <c r="Y9" s="316"/>
      <c r="Z9" s="316"/>
      <c r="AA9" s="316"/>
      <c r="AB9" s="316"/>
      <c r="AC9" s="316">
        <v>1</v>
      </c>
      <c r="AD9" s="316"/>
      <c r="AE9" s="316">
        <v>1</v>
      </c>
      <c r="AF9" s="316"/>
      <c r="AG9" s="316">
        <v>1</v>
      </c>
      <c r="AH9" s="316">
        <v>1</v>
      </c>
      <c r="AI9" s="316">
        <v>1</v>
      </c>
      <c r="AJ9" s="316">
        <v>1</v>
      </c>
      <c r="AK9" s="316">
        <v>1</v>
      </c>
      <c r="AL9" s="316">
        <v>1</v>
      </c>
      <c r="AM9" s="316">
        <v>1</v>
      </c>
      <c r="AN9" s="316"/>
      <c r="AO9" s="316"/>
      <c r="AP9" s="316"/>
      <c r="AQ9" s="316"/>
      <c r="AR9" s="317"/>
    </row>
    <row r="10" spans="1:44" ht="45" customHeight="1">
      <c r="A10" s="1276"/>
      <c r="B10" s="297" t="s">
        <v>1679</v>
      </c>
      <c r="C10" s="318">
        <v>3</v>
      </c>
      <c r="D10" s="334" t="s">
        <v>1879</v>
      </c>
      <c r="E10" s="320" t="s">
        <v>1988</v>
      </c>
      <c r="F10" s="320" t="s">
        <v>1954</v>
      </c>
      <c r="G10" s="335"/>
      <c r="H10" s="308" t="s">
        <v>2453</v>
      </c>
      <c r="I10" s="308" t="s">
        <v>2452</v>
      </c>
      <c r="J10" s="335"/>
      <c r="K10" s="335"/>
      <c r="L10" s="335"/>
      <c r="M10" s="308" t="s">
        <v>2451</v>
      </c>
      <c r="N10" s="400">
        <v>20</v>
      </c>
      <c r="O10" s="321" t="s">
        <v>2138</v>
      </c>
      <c r="P10" s="322"/>
      <c r="Q10" s="322"/>
      <c r="R10" s="322"/>
      <c r="S10" s="322"/>
      <c r="T10" s="322"/>
      <c r="U10" s="322"/>
      <c r="V10" s="322">
        <v>1</v>
      </c>
      <c r="W10" s="322"/>
      <c r="X10" s="322"/>
      <c r="Y10" s="322"/>
      <c r="Z10" s="322"/>
      <c r="AA10" s="322"/>
      <c r="AB10" s="322"/>
      <c r="AC10" s="322"/>
      <c r="AD10" s="322"/>
      <c r="AE10" s="322"/>
      <c r="AF10" s="322"/>
      <c r="AG10" s="322">
        <v>1</v>
      </c>
      <c r="AH10" s="322">
        <v>1</v>
      </c>
      <c r="AI10" s="322">
        <v>1</v>
      </c>
      <c r="AJ10" s="322">
        <v>1</v>
      </c>
      <c r="AK10" s="322">
        <v>1</v>
      </c>
      <c r="AL10" s="322">
        <v>1</v>
      </c>
      <c r="AM10" s="322">
        <v>1</v>
      </c>
      <c r="AN10" s="322"/>
      <c r="AO10" s="322"/>
      <c r="AP10" s="322"/>
      <c r="AQ10" s="322"/>
      <c r="AR10" s="323"/>
    </row>
    <row r="11" spans="1:44" ht="111">
      <c r="A11" s="1276"/>
      <c r="B11" s="297" t="s">
        <v>1680</v>
      </c>
      <c r="C11" s="318">
        <v>3</v>
      </c>
      <c r="D11" s="334" t="s">
        <v>669</v>
      </c>
      <c r="E11" s="320" t="s">
        <v>1988</v>
      </c>
      <c r="F11" s="320" t="s">
        <v>1954</v>
      </c>
      <c r="G11" s="335"/>
      <c r="H11" s="308" t="s">
        <v>2450</v>
      </c>
      <c r="I11" s="308" t="s">
        <v>2449</v>
      </c>
      <c r="J11" s="335"/>
      <c r="K11" s="335"/>
      <c r="L11" s="335"/>
      <c r="M11" s="408" t="s">
        <v>2448</v>
      </c>
      <c r="N11" s="390" t="s">
        <v>2447</v>
      </c>
      <c r="O11" s="321" t="s">
        <v>2138</v>
      </c>
      <c r="P11" s="322"/>
      <c r="Q11" s="322"/>
      <c r="R11" s="322"/>
      <c r="S11" s="322"/>
      <c r="T11" s="322"/>
      <c r="U11" s="322">
        <v>1</v>
      </c>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3"/>
    </row>
    <row r="12" spans="1:44" ht="83.25">
      <c r="A12" s="1276"/>
      <c r="B12" s="297" t="s">
        <v>1681</v>
      </c>
      <c r="C12" s="318">
        <v>5</v>
      </c>
      <c r="D12" s="334" t="s">
        <v>1880</v>
      </c>
      <c r="E12" s="320" t="s">
        <v>1988</v>
      </c>
      <c r="F12" s="320" t="s">
        <v>1954</v>
      </c>
      <c r="G12" s="335"/>
      <c r="H12" s="308" t="s">
        <v>2446</v>
      </c>
      <c r="I12" s="308" t="s">
        <v>2445</v>
      </c>
      <c r="J12" s="335"/>
      <c r="K12" s="335"/>
      <c r="L12" s="335"/>
      <c r="M12" s="408" t="s">
        <v>2444</v>
      </c>
      <c r="N12" s="390" t="s">
        <v>2443</v>
      </c>
      <c r="O12" s="321" t="s">
        <v>2442</v>
      </c>
      <c r="P12" s="322"/>
      <c r="Q12" s="322"/>
      <c r="R12" s="322"/>
      <c r="S12" s="322"/>
      <c r="T12" s="322"/>
      <c r="U12" s="322">
        <v>1</v>
      </c>
      <c r="V12" s="322"/>
      <c r="W12" s="322"/>
      <c r="X12" s="322"/>
      <c r="Y12" s="322"/>
      <c r="Z12" s="322"/>
      <c r="AA12" s="322"/>
      <c r="AB12" s="322"/>
      <c r="AC12" s="322"/>
      <c r="AD12" s="322">
        <v>1</v>
      </c>
      <c r="AE12" s="322"/>
      <c r="AF12" s="322"/>
      <c r="AG12" s="322">
        <v>1</v>
      </c>
      <c r="AH12" s="322">
        <v>1</v>
      </c>
      <c r="AI12" s="322">
        <v>1</v>
      </c>
      <c r="AJ12" s="322">
        <v>1</v>
      </c>
      <c r="AK12" s="322">
        <v>1</v>
      </c>
      <c r="AL12" s="322">
        <v>1</v>
      </c>
      <c r="AM12" s="322">
        <v>1</v>
      </c>
      <c r="AN12" s="322"/>
      <c r="AO12" s="322"/>
      <c r="AP12" s="322"/>
      <c r="AQ12" s="322"/>
      <c r="AR12" s="323"/>
    </row>
    <row r="13" spans="1:44" ht="55.5">
      <c r="A13" s="1276"/>
      <c r="B13" s="297" t="s">
        <v>1682</v>
      </c>
      <c r="C13" s="318">
        <v>4</v>
      </c>
      <c r="D13" s="334" t="s">
        <v>775</v>
      </c>
      <c r="E13" s="320" t="s">
        <v>1988</v>
      </c>
      <c r="F13" s="320" t="s">
        <v>1954</v>
      </c>
      <c r="G13" s="335"/>
      <c r="H13" s="308" t="s">
        <v>2441</v>
      </c>
      <c r="I13" s="308" t="s">
        <v>2440</v>
      </c>
      <c r="J13" s="335"/>
      <c r="K13" s="335"/>
      <c r="L13" s="335"/>
      <c r="M13" s="408"/>
      <c r="N13" s="390"/>
      <c r="O13" s="378"/>
      <c r="P13" s="324"/>
      <c r="Q13" s="322"/>
      <c r="R13" s="322"/>
      <c r="S13" s="322"/>
      <c r="T13" s="322"/>
      <c r="U13" s="322"/>
      <c r="V13" s="322"/>
      <c r="W13" s="322"/>
      <c r="X13" s="322"/>
      <c r="Y13" s="322"/>
      <c r="Z13" s="322"/>
      <c r="AA13" s="322"/>
      <c r="AB13" s="322"/>
      <c r="AC13" s="322">
        <v>1</v>
      </c>
      <c r="AD13" s="322"/>
      <c r="AE13" s="322"/>
      <c r="AF13" s="322"/>
      <c r="AG13" s="322"/>
      <c r="AH13" s="322"/>
      <c r="AI13" s="322"/>
      <c r="AJ13" s="322"/>
      <c r="AK13" s="322"/>
      <c r="AL13" s="322"/>
      <c r="AM13" s="322"/>
      <c r="AN13" s="322"/>
      <c r="AO13" s="322"/>
      <c r="AP13" s="322"/>
      <c r="AQ13" s="322"/>
      <c r="AR13" s="323"/>
    </row>
    <row r="14" spans="1:44" ht="36" customHeight="1">
      <c r="A14" s="1276"/>
      <c r="B14" s="301" t="s">
        <v>1683</v>
      </c>
      <c r="C14" s="336">
        <v>5</v>
      </c>
      <c r="D14" s="334" t="s">
        <v>775</v>
      </c>
      <c r="E14" s="320" t="s">
        <v>1988</v>
      </c>
      <c r="F14" s="320" t="s">
        <v>1954</v>
      </c>
      <c r="G14" s="335"/>
      <c r="H14" s="308" t="s">
        <v>2439</v>
      </c>
      <c r="I14" s="308" t="s">
        <v>2438</v>
      </c>
      <c r="J14" s="335"/>
      <c r="K14" s="335"/>
      <c r="L14" s="335"/>
      <c r="M14" s="407"/>
      <c r="N14" s="392"/>
      <c r="O14" s="321"/>
      <c r="P14" s="322"/>
      <c r="Q14" s="322"/>
      <c r="R14" s="322"/>
      <c r="S14" s="322"/>
      <c r="T14" s="322"/>
      <c r="U14" s="322"/>
      <c r="V14" s="322"/>
      <c r="W14" s="322"/>
      <c r="X14" s="322"/>
      <c r="Y14" s="322"/>
      <c r="Z14" s="322"/>
      <c r="AA14" s="322"/>
      <c r="AB14" s="322"/>
      <c r="AC14" s="322">
        <v>1</v>
      </c>
      <c r="AD14" s="322"/>
      <c r="AE14" s="322"/>
      <c r="AF14" s="322"/>
      <c r="AG14" s="322"/>
      <c r="AH14" s="322"/>
      <c r="AI14" s="322"/>
      <c r="AJ14" s="322"/>
      <c r="AK14" s="322"/>
      <c r="AL14" s="322"/>
      <c r="AM14" s="322"/>
      <c r="AN14" s="322"/>
      <c r="AO14" s="322"/>
      <c r="AP14" s="322"/>
      <c r="AQ14" s="322"/>
      <c r="AR14" s="323"/>
    </row>
    <row r="15" spans="1:44" ht="55.5">
      <c r="A15" s="1276"/>
      <c r="B15" s="297" t="s">
        <v>1684</v>
      </c>
      <c r="C15" s="318">
        <v>5</v>
      </c>
      <c r="D15" s="335" t="s">
        <v>1881</v>
      </c>
      <c r="E15" s="320" t="s">
        <v>1988</v>
      </c>
      <c r="F15" s="320" t="s">
        <v>1954</v>
      </c>
      <c r="G15" s="335"/>
      <c r="H15" s="308" t="s">
        <v>2437</v>
      </c>
      <c r="I15" s="308" t="s">
        <v>2436</v>
      </c>
      <c r="J15" s="335"/>
      <c r="K15" s="335"/>
      <c r="L15" s="335"/>
      <c r="M15" s="308" t="s">
        <v>2435</v>
      </c>
      <c r="N15" s="390" t="s">
        <v>2434</v>
      </c>
      <c r="O15" s="321" t="s">
        <v>2433</v>
      </c>
      <c r="P15" s="322"/>
      <c r="Q15" s="322"/>
      <c r="R15" s="322"/>
      <c r="S15" s="322"/>
      <c r="T15" s="322"/>
      <c r="U15" s="322">
        <v>1</v>
      </c>
      <c r="V15" s="322"/>
      <c r="W15" s="322"/>
      <c r="X15" s="322"/>
      <c r="Y15" s="322"/>
      <c r="Z15" s="322"/>
      <c r="AA15" s="322"/>
      <c r="AB15" s="322"/>
      <c r="AC15" s="322">
        <v>1</v>
      </c>
      <c r="AD15" s="322"/>
      <c r="AE15" s="322"/>
      <c r="AF15" s="322"/>
      <c r="AG15" s="322">
        <v>1</v>
      </c>
      <c r="AH15" s="322">
        <v>1</v>
      </c>
      <c r="AI15" s="322">
        <v>1</v>
      </c>
      <c r="AJ15" s="322">
        <v>1</v>
      </c>
      <c r="AK15" s="322">
        <v>1</v>
      </c>
      <c r="AL15" s="322">
        <v>1</v>
      </c>
      <c r="AM15" s="322">
        <v>1</v>
      </c>
      <c r="AN15" s="322"/>
      <c r="AO15" s="322"/>
      <c r="AP15" s="322"/>
      <c r="AQ15" s="322"/>
      <c r="AR15" s="323"/>
    </row>
    <row r="16" spans="1:44" ht="84" thickBot="1">
      <c r="A16" s="1277"/>
      <c r="B16" s="299" t="s">
        <v>1685</v>
      </c>
      <c r="C16" s="327">
        <v>5</v>
      </c>
      <c r="D16" s="337" t="s">
        <v>1882</v>
      </c>
      <c r="E16" s="373" t="s">
        <v>1988</v>
      </c>
      <c r="F16" s="373" t="s">
        <v>1954</v>
      </c>
      <c r="G16" s="337"/>
      <c r="H16" s="372" t="s">
        <v>2432</v>
      </c>
      <c r="I16" s="372" t="s">
        <v>2431</v>
      </c>
      <c r="J16" s="337"/>
      <c r="K16" s="337"/>
      <c r="L16" s="337"/>
      <c r="M16" s="372" t="s">
        <v>2430</v>
      </c>
      <c r="N16" s="395" t="s">
        <v>2429</v>
      </c>
      <c r="O16" s="394" t="s">
        <v>2330</v>
      </c>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1"/>
    </row>
    <row r="17" spans="1:44">
      <c r="A17" s="1278" t="s">
        <v>1184</v>
      </c>
      <c r="B17" s="300" t="s">
        <v>1686</v>
      </c>
      <c r="C17" s="314">
        <v>3</v>
      </c>
      <c r="D17" s="315" t="s">
        <v>614</v>
      </c>
      <c r="E17" s="382" t="s">
        <v>2147</v>
      </c>
      <c r="F17" s="382" t="s">
        <v>1954</v>
      </c>
      <c r="G17" s="382"/>
      <c r="H17" s="381" t="s">
        <v>2428</v>
      </c>
      <c r="I17" s="381" t="s">
        <v>2427</v>
      </c>
      <c r="J17" s="383"/>
      <c r="K17" s="382"/>
      <c r="L17" s="382"/>
      <c r="M17" s="381" t="s">
        <v>2426</v>
      </c>
      <c r="N17" s="396">
        <v>1</v>
      </c>
      <c r="O17" s="391" t="s">
        <v>2138</v>
      </c>
      <c r="P17" s="316"/>
      <c r="Q17" s="316">
        <v>1</v>
      </c>
      <c r="R17" s="316"/>
      <c r="S17" s="316"/>
      <c r="T17" s="316"/>
      <c r="U17" s="316"/>
      <c r="V17" s="316"/>
      <c r="W17" s="316"/>
      <c r="X17" s="316"/>
      <c r="Y17" s="316"/>
      <c r="Z17" s="316"/>
      <c r="AA17" s="316"/>
      <c r="AB17" s="316"/>
      <c r="AC17" s="316"/>
      <c r="AD17" s="316"/>
      <c r="AE17" s="316"/>
      <c r="AF17" s="316"/>
      <c r="AG17" s="316"/>
      <c r="AH17" s="316"/>
      <c r="AI17" s="316"/>
      <c r="AJ17" s="316"/>
      <c r="AK17" s="316"/>
      <c r="AL17" s="316"/>
      <c r="AM17" s="316"/>
      <c r="AN17" s="316"/>
      <c r="AO17" s="316"/>
      <c r="AP17" s="316"/>
      <c r="AQ17" s="316"/>
      <c r="AR17" s="317"/>
    </row>
    <row r="18" spans="1:44" ht="55.5">
      <c r="A18" s="1274"/>
      <c r="B18" s="297" t="s">
        <v>1687</v>
      </c>
      <c r="C18" s="318">
        <v>5</v>
      </c>
      <c r="D18" s="319" t="s">
        <v>1865</v>
      </c>
      <c r="E18" s="320" t="s">
        <v>2147</v>
      </c>
      <c r="F18" s="320" t="s">
        <v>1954</v>
      </c>
      <c r="G18" s="320"/>
      <c r="H18" s="308" t="s">
        <v>2425</v>
      </c>
      <c r="I18" s="308" t="s">
        <v>2424</v>
      </c>
      <c r="J18" s="377"/>
      <c r="K18" s="320"/>
      <c r="L18" s="320"/>
      <c r="M18" s="308" t="s">
        <v>2423</v>
      </c>
      <c r="N18" s="390">
        <v>1</v>
      </c>
      <c r="O18" s="321" t="s">
        <v>2138</v>
      </c>
      <c r="P18" s="322"/>
      <c r="Q18" s="322"/>
      <c r="R18" s="322"/>
      <c r="S18" s="322"/>
      <c r="T18" s="322"/>
      <c r="U18" s="322"/>
      <c r="V18" s="322"/>
      <c r="W18" s="322"/>
      <c r="X18" s="322"/>
      <c r="Y18" s="322"/>
      <c r="Z18" s="322"/>
      <c r="AA18" s="322"/>
      <c r="AB18" s="322"/>
      <c r="AC18" s="322"/>
      <c r="AD18" s="322">
        <v>1</v>
      </c>
      <c r="AE18" s="322"/>
      <c r="AF18" s="322"/>
      <c r="AG18" s="322"/>
      <c r="AH18" s="322"/>
      <c r="AI18" s="322"/>
      <c r="AJ18" s="322"/>
      <c r="AK18" s="322"/>
      <c r="AL18" s="322"/>
      <c r="AM18" s="322"/>
      <c r="AN18" s="322"/>
      <c r="AO18" s="322"/>
      <c r="AP18" s="322"/>
      <c r="AQ18" s="322"/>
      <c r="AR18" s="323"/>
    </row>
    <row r="19" spans="1:44" ht="55.5">
      <c r="A19" s="1274"/>
      <c r="B19" s="297" t="s">
        <v>1688</v>
      </c>
      <c r="C19" s="318">
        <v>3</v>
      </c>
      <c r="D19" s="319" t="s">
        <v>1883</v>
      </c>
      <c r="E19" s="320" t="s">
        <v>2147</v>
      </c>
      <c r="F19" s="320" t="s">
        <v>2072</v>
      </c>
      <c r="G19" s="320"/>
      <c r="H19" s="308" t="s">
        <v>2418</v>
      </c>
      <c r="I19" s="308" t="s">
        <v>2422</v>
      </c>
      <c r="J19" s="377"/>
      <c r="K19" s="320"/>
      <c r="L19" s="320"/>
      <c r="M19" s="308" t="s">
        <v>2421</v>
      </c>
      <c r="N19" s="390">
        <v>1</v>
      </c>
      <c r="O19" s="321" t="s">
        <v>2159</v>
      </c>
      <c r="P19" s="322"/>
      <c r="Q19" s="322"/>
      <c r="R19" s="322"/>
      <c r="S19" s="322"/>
      <c r="T19" s="322"/>
      <c r="U19" s="322"/>
      <c r="V19" s="322"/>
      <c r="W19" s="322"/>
      <c r="X19" s="322"/>
      <c r="Y19" s="322"/>
      <c r="Z19" s="322"/>
      <c r="AA19" s="322"/>
      <c r="AB19" s="322"/>
      <c r="AC19" s="322"/>
      <c r="AD19" s="322"/>
      <c r="AE19" s="322"/>
      <c r="AF19" s="322"/>
      <c r="AG19" s="322"/>
      <c r="AH19" s="322"/>
      <c r="AI19" s="322"/>
      <c r="AJ19" s="322"/>
      <c r="AK19" s="322"/>
      <c r="AL19" s="322"/>
      <c r="AM19" s="322"/>
      <c r="AN19" s="322"/>
      <c r="AO19" s="322"/>
      <c r="AP19" s="322"/>
      <c r="AQ19" s="322"/>
      <c r="AR19" s="323"/>
    </row>
    <row r="20" spans="1:44" ht="55.5">
      <c r="A20" s="1274"/>
      <c r="B20" s="297" t="s">
        <v>1689</v>
      </c>
      <c r="C20" s="318">
        <v>4</v>
      </c>
      <c r="D20" s="319" t="s">
        <v>1884</v>
      </c>
      <c r="E20" s="320" t="s">
        <v>1959</v>
      </c>
      <c r="F20" s="320" t="s">
        <v>2072</v>
      </c>
      <c r="G20" s="320"/>
      <c r="H20" s="308" t="s">
        <v>2418</v>
      </c>
      <c r="I20" s="308" t="s">
        <v>2420</v>
      </c>
      <c r="J20" s="377"/>
      <c r="K20" s="320"/>
      <c r="L20" s="320"/>
      <c r="M20" s="308" t="s">
        <v>2419</v>
      </c>
      <c r="N20" s="390">
        <v>1</v>
      </c>
      <c r="O20" s="321" t="s">
        <v>2159</v>
      </c>
      <c r="P20" s="322"/>
      <c r="Q20" s="322"/>
      <c r="R20" s="322"/>
      <c r="S20" s="322"/>
      <c r="T20" s="322"/>
      <c r="U20" s="322"/>
      <c r="V20" s="322"/>
      <c r="W20" s="322"/>
      <c r="X20" s="322"/>
      <c r="Y20" s="322"/>
      <c r="Z20" s="322"/>
      <c r="AA20" s="322"/>
      <c r="AB20" s="322"/>
      <c r="AC20" s="322"/>
      <c r="AD20" s="322"/>
      <c r="AE20" s="322"/>
      <c r="AF20" s="322"/>
      <c r="AG20" s="322"/>
      <c r="AH20" s="322"/>
      <c r="AI20" s="322"/>
      <c r="AJ20" s="322">
        <v>1</v>
      </c>
      <c r="AK20" s="322"/>
      <c r="AL20" s="322"/>
      <c r="AM20" s="322">
        <v>1</v>
      </c>
      <c r="AN20" s="322"/>
      <c r="AO20" s="322"/>
      <c r="AP20" s="322">
        <v>1</v>
      </c>
      <c r="AQ20" s="322"/>
      <c r="AR20" s="323"/>
    </row>
    <row r="21" spans="1:44" ht="83.25">
      <c r="A21" s="1274"/>
      <c r="B21" s="297" t="s">
        <v>1690</v>
      </c>
      <c r="C21" s="318">
        <v>5</v>
      </c>
      <c r="D21" s="319" t="s">
        <v>1885</v>
      </c>
      <c r="E21" s="320" t="s">
        <v>1959</v>
      </c>
      <c r="F21" s="320" t="s">
        <v>2072</v>
      </c>
      <c r="G21" s="320"/>
      <c r="H21" s="308" t="s">
        <v>2418</v>
      </c>
      <c r="I21" s="308" t="s">
        <v>2417</v>
      </c>
      <c r="J21" s="377"/>
      <c r="K21" s="320"/>
      <c r="L21" s="320"/>
      <c r="M21" s="308" t="s">
        <v>2416</v>
      </c>
      <c r="N21" s="390">
        <v>1</v>
      </c>
      <c r="O21" s="321" t="s">
        <v>2138</v>
      </c>
      <c r="P21" s="324"/>
      <c r="Q21" s="322"/>
      <c r="R21" s="322"/>
      <c r="S21" s="322"/>
      <c r="T21" s="322"/>
      <c r="U21" s="322"/>
      <c r="V21" s="322"/>
      <c r="W21" s="322"/>
      <c r="X21" s="322"/>
      <c r="Y21" s="322"/>
      <c r="Z21" s="322"/>
      <c r="AA21" s="322"/>
      <c r="AB21" s="322"/>
      <c r="AC21" s="322"/>
      <c r="AD21" s="322"/>
      <c r="AE21" s="322"/>
      <c r="AF21" s="322"/>
      <c r="AG21" s="322"/>
      <c r="AH21" s="322"/>
      <c r="AI21" s="322"/>
      <c r="AJ21" s="322"/>
      <c r="AK21" s="322"/>
      <c r="AL21" s="322"/>
      <c r="AM21" s="322"/>
      <c r="AN21" s="322">
        <v>1</v>
      </c>
      <c r="AO21" s="322"/>
      <c r="AP21" s="322"/>
      <c r="AQ21" s="322"/>
      <c r="AR21" s="323"/>
    </row>
    <row r="22" spans="1:44" ht="28.5" customHeight="1" thickBot="1">
      <c r="A22" s="1279"/>
      <c r="B22" s="299" t="s">
        <v>1691</v>
      </c>
      <c r="C22" s="327">
        <v>3</v>
      </c>
      <c r="D22" s="328" t="s">
        <v>1885</v>
      </c>
      <c r="E22" s="373" t="s">
        <v>2147</v>
      </c>
      <c r="F22" s="373" t="s">
        <v>2072</v>
      </c>
      <c r="G22" s="373"/>
      <c r="H22" s="372" t="s">
        <v>2415</v>
      </c>
      <c r="I22" s="372" t="s">
        <v>2414</v>
      </c>
      <c r="J22" s="399"/>
      <c r="K22" s="373"/>
      <c r="L22" s="373"/>
      <c r="M22" s="372" t="s">
        <v>2413</v>
      </c>
      <c r="N22" s="395">
        <v>1</v>
      </c>
      <c r="O22" s="385" t="s">
        <v>2159</v>
      </c>
      <c r="P22" s="329"/>
      <c r="Q22" s="330"/>
      <c r="R22" s="330"/>
      <c r="S22" s="330"/>
      <c r="T22" s="330"/>
      <c r="U22" s="330"/>
      <c r="V22" s="330"/>
      <c r="W22" s="330"/>
      <c r="X22" s="330"/>
      <c r="Y22" s="330"/>
      <c r="Z22" s="330"/>
      <c r="AA22" s="330"/>
      <c r="AB22" s="330"/>
      <c r="AC22" s="330"/>
      <c r="AD22" s="330"/>
      <c r="AE22" s="330"/>
      <c r="AF22" s="330"/>
      <c r="AG22" s="330"/>
      <c r="AH22" s="330"/>
      <c r="AI22" s="330"/>
      <c r="AJ22" s="330"/>
      <c r="AK22" s="330"/>
      <c r="AL22" s="330"/>
      <c r="AM22" s="330"/>
      <c r="AN22" s="330">
        <v>1</v>
      </c>
      <c r="AO22" s="330"/>
      <c r="AP22" s="330"/>
      <c r="AQ22" s="330"/>
      <c r="AR22" s="331"/>
    </row>
    <row r="23" spans="1:44" ht="31.5" customHeight="1">
      <c r="A23" s="1278" t="s">
        <v>1692</v>
      </c>
      <c r="B23" s="302" t="s">
        <v>1693</v>
      </c>
      <c r="C23" s="338">
        <v>1</v>
      </c>
      <c r="D23" s="315" t="s">
        <v>1886</v>
      </c>
      <c r="E23" s="382" t="s">
        <v>2147</v>
      </c>
      <c r="F23" s="382" t="s">
        <v>1954</v>
      </c>
      <c r="G23" s="382"/>
      <c r="H23" s="381" t="s">
        <v>2412</v>
      </c>
      <c r="I23" s="381" t="s">
        <v>2411</v>
      </c>
      <c r="J23" s="383"/>
      <c r="K23" s="382"/>
      <c r="L23" s="382"/>
      <c r="M23" s="381" t="s">
        <v>2410</v>
      </c>
      <c r="N23" s="396">
        <v>0.8</v>
      </c>
      <c r="O23" s="378" t="s">
        <v>2330</v>
      </c>
      <c r="P23" s="333"/>
      <c r="Q23" s="316"/>
      <c r="R23" s="316"/>
      <c r="S23" s="316"/>
      <c r="T23" s="316"/>
      <c r="U23" s="316"/>
      <c r="V23" s="316">
        <v>1</v>
      </c>
      <c r="W23" s="316"/>
      <c r="X23" s="316"/>
      <c r="Y23" s="316"/>
      <c r="Z23" s="316">
        <v>1</v>
      </c>
      <c r="AA23" s="316"/>
      <c r="AB23" s="316"/>
      <c r="AC23" s="316"/>
      <c r="AD23" s="316"/>
      <c r="AE23" s="316">
        <v>1</v>
      </c>
      <c r="AF23" s="316"/>
      <c r="AG23" s="316"/>
      <c r="AH23" s="316"/>
      <c r="AI23" s="316"/>
      <c r="AJ23" s="316"/>
      <c r="AK23" s="316"/>
      <c r="AL23" s="316"/>
      <c r="AM23" s="316"/>
      <c r="AN23" s="316"/>
      <c r="AO23" s="316"/>
      <c r="AP23" s="316"/>
      <c r="AQ23" s="316"/>
      <c r="AR23" s="317"/>
    </row>
    <row r="24" spans="1:44" ht="31.5" customHeight="1">
      <c r="A24" s="1274"/>
      <c r="B24" s="303" t="s">
        <v>1694</v>
      </c>
      <c r="C24" s="318">
        <v>4</v>
      </c>
      <c r="D24" s="319" t="s">
        <v>942</v>
      </c>
      <c r="E24" s="320" t="s">
        <v>1988</v>
      </c>
      <c r="F24" s="320" t="s">
        <v>2072</v>
      </c>
      <c r="G24" s="320"/>
      <c r="H24" s="308" t="s">
        <v>2409</v>
      </c>
      <c r="I24" s="308" t="s">
        <v>2408</v>
      </c>
      <c r="J24" s="377"/>
      <c r="K24" s="320"/>
      <c r="L24" s="320"/>
      <c r="M24" s="308" t="s">
        <v>2407</v>
      </c>
      <c r="N24" s="390">
        <v>1</v>
      </c>
      <c r="O24" s="321" t="s">
        <v>2159</v>
      </c>
      <c r="P24" s="322"/>
      <c r="Q24" s="322"/>
      <c r="R24" s="322"/>
      <c r="S24" s="322"/>
      <c r="T24" s="322"/>
      <c r="U24" s="322"/>
      <c r="V24" s="322"/>
      <c r="W24" s="322"/>
      <c r="X24" s="322"/>
      <c r="Y24" s="322"/>
      <c r="Z24" s="322"/>
      <c r="AA24" s="322"/>
      <c r="AB24" s="322"/>
      <c r="AC24" s="322"/>
      <c r="AD24" s="322"/>
      <c r="AE24" s="322">
        <v>1</v>
      </c>
      <c r="AF24" s="322"/>
      <c r="AG24" s="322"/>
      <c r="AH24" s="322"/>
      <c r="AI24" s="322"/>
      <c r="AJ24" s="322"/>
      <c r="AK24" s="322"/>
      <c r="AL24" s="322"/>
      <c r="AM24" s="322"/>
      <c r="AN24" s="322"/>
      <c r="AO24" s="322"/>
      <c r="AP24" s="322"/>
      <c r="AQ24" s="322"/>
      <c r="AR24" s="323"/>
    </row>
    <row r="25" spans="1:44" ht="55.5">
      <c r="A25" s="1274"/>
      <c r="B25" s="303" t="s">
        <v>2490</v>
      </c>
      <c r="C25" s="318">
        <v>4</v>
      </c>
      <c r="D25" s="319" t="s">
        <v>1887</v>
      </c>
      <c r="E25" s="320" t="s">
        <v>1988</v>
      </c>
      <c r="F25" s="320" t="s">
        <v>1954</v>
      </c>
      <c r="G25" s="320"/>
      <c r="H25" s="308" t="s">
        <v>2406</v>
      </c>
      <c r="I25" s="308" t="s">
        <v>2405</v>
      </c>
      <c r="J25" s="377"/>
      <c r="K25" s="320"/>
      <c r="L25" s="320"/>
      <c r="M25" s="308" t="s">
        <v>2404</v>
      </c>
      <c r="N25" s="390">
        <v>0.8</v>
      </c>
      <c r="O25" s="378" t="s">
        <v>2006</v>
      </c>
      <c r="P25" s="324"/>
      <c r="Q25" s="322"/>
      <c r="R25" s="322"/>
      <c r="S25" s="322">
        <v>1</v>
      </c>
      <c r="T25" s="322">
        <v>1</v>
      </c>
      <c r="U25" s="322"/>
      <c r="V25" s="322"/>
      <c r="W25" s="322"/>
      <c r="X25" s="322"/>
      <c r="Y25" s="322"/>
      <c r="Z25" s="322"/>
      <c r="AA25" s="322"/>
      <c r="AB25" s="322"/>
      <c r="AC25" s="322"/>
      <c r="AD25" s="322"/>
      <c r="AE25" s="322"/>
      <c r="AF25" s="322"/>
      <c r="AG25" s="322"/>
      <c r="AH25" s="322"/>
      <c r="AI25" s="322"/>
      <c r="AJ25" s="322"/>
      <c r="AK25" s="322"/>
      <c r="AL25" s="322"/>
      <c r="AM25" s="322"/>
      <c r="AN25" s="322"/>
      <c r="AO25" s="322"/>
      <c r="AP25" s="322"/>
      <c r="AQ25" s="322"/>
      <c r="AR25" s="323"/>
    </row>
    <row r="26" spans="1:44" ht="55.5">
      <c r="A26" s="1274"/>
      <c r="B26" s="303" t="s">
        <v>1695</v>
      </c>
      <c r="C26" s="318">
        <v>3</v>
      </c>
      <c r="D26" s="320" t="s">
        <v>1888</v>
      </c>
      <c r="E26" s="320" t="s">
        <v>1959</v>
      </c>
      <c r="F26" s="320" t="s">
        <v>1954</v>
      </c>
      <c r="G26" s="320"/>
      <c r="H26" s="308" t="s">
        <v>2403</v>
      </c>
      <c r="I26" s="308" t="s">
        <v>2402</v>
      </c>
      <c r="J26" s="377"/>
      <c r="K26" s="320"/>
      <c r="L26" s="320"/>
      <c r="M26" s="308" t="s">
        <v>2401</v>
      </c>
      <c r="N26" s="403">
        <v>0.8</v>
      </c>
      <c r="O26" s="321" t="s">
        <v>2006</v>
      </c>
      <c r="P26" s="322"/>
      <c r="Q26" s="322"/>
      <c r="R26" s="322"/>
      <c r="S26" s="322">
        <v>1</v>
      </c>
      <c r="T26" s="322"/>
      <c r="U26" s="322"/>
      <c r="V26" s="322"/>
      <c r="W26" s="322"/>
      <c r="X26" s="322"/>
      <c r="Y26" s="322"/>
      <c r="Z26" s="322"/>
      <c r="AA26" s="322"/>
      <c r="AB26" s="322"/>
      <c r="AC26" s="322"/>
      <c r="AD26" s="322"/>
      <c r="AE26" s="322"/>
      <c r="AF26" s="322"/>
      <c r="AG26" s="322">
        <v>1</v>
      </c>
      <c r="AH26" s="322">
        <v>1</v>
      </c>
      <c r="AI26" s="322"/>
      <c r="AJ26" s="322">
        <v>1</v>
      </c>
      <c r="AK26" s="322">
        <v>1</v>
      </c>
      <c r="AL26" s="322">
        <v>1</v>
      </c>
      <c r="AM26" s="322">
        <v>1</v>
      </c>
      <c r="AN26" s="322"/>
      <c r="AO26" s="322"/>
      <c r="AP26" s="322"/>
      <c r="AQ26" s="322"/>
      <c r="AR26" s="323"/>
    </row>
    <row r="27" spans="1:44" ht="31.5" customHeight="1">
      <c r="A27" s="1274"/>
      <c r="B27" s="303" t="s">
        <v>1696</v>
      </c>
      <c r="C27" s="318">
        <v>3</v>
      </c>
      <c r="D27" s="320" t="s">
        <v>1463</v>
      </c>
      <c r="E27" s="320" t="s">
        <v>2147</v>
      </c>
      <c r="F27" s="320" t="s">
        <v>1954</v>
      </c>
      <c r="G27" s="320"/>
      <c r="H27" s="308" t="s">
        <v>2400</v>
      </c>
      <c r="I27" s="308" t="s">
        <v>2399</v>
      </c>
      <c r="J27" s="377"/>
      <c r="K27" s="320"/>
      <c r="L27" s="320"/>
      <c r="M27" s="308" t="s">
        <v>2398</v>
      </c>
      <c r="N27" s="390" t="s">
        <v>2397</v>
      </c>
      <c r="O27" s="378" t="s">
        <v>2006</v>
      </c>
      <c r="P27" s="324"/>
      <c r="Q27" s="322"/>
      <c r="R27" s="322"/>
      <c r="S27" s="322">
        <v>1</v>
      </c>
      <c r="T27" s="322"/>
      <c r="U27" s="322"/>
      <c r="V27" s="322"/>
      <c r="W27" s="322"/>
      <c r="X27" s="322"/>
      <c r="Y27" s="322"/>
      <c r="Z27" s="322"/>
      <c r="AA27" s="322"/>
      <c r="AB27" s="322"/>
      <c r="AC27" s="322"/>
      <c r="AD27" s="322"/>
      <c r="AE27" s="322"/>
      <c r="AF27" s="322"/>
      <c r="AG27" s="322"/>
      <c r="AH27" s="322"/>
      <c r="AI27" s="322"/>
      <c r="AJ27" s="322"/>
      <c r="AK27" s="322"/>
      <c r="AL27" s="322"/>
      <c r="AM27" s="322"/>
      <c r="AN27" s="322"/>
      <c r="AO27" s="322"/>
      <c r="AP27" s="322"/>
      <c r="AQ27" s="322"/>
      <c r="AR27" s="323"/>
    </row>
    <row r="28" spans="1:44" ht="55.5">
      <c r="A28" s="1274"/>
      <c r="B28" s="304" t="s">
        <v>1697</v>
      </c>
      <c r="C28" s="325">
        <v>4</v>
      </c>
      <c r="D28" s="326" t="s">
        <v>1889</v>
      </c>
      <c r="E28" s="320" t="s">
        <v>2147</v>
      </c>
      <c r="F28" s="388" t="s">
        <v>1954</v>
      </c>
      <c r="G28" s="388"/>
      <c r="H28" s="387" t="s">
        <v>2396</v>
      </c>
      <c r="I28" s="308" t="s">
        <v>2395</v>
      </c>
      <c r="J28" s="389"/>
      <c r="K28" s="388"/>
      <c r="L28" s="388"/>
      <c r="M28" s="308" t="s">
        <v>2394</v>
      </c>
      <c r="N28" s="386">
        <v>0.8</v>
      </c>
      <c r="O28" s="321" t="s">
        <v>2006</v>
      </c>
      <c r="P28" s="322"/>
      <c r="Q28" s="322"/>
      <c r="R28" s="322"/>
      <c r="S28" s="322"/>
      <c r="T28" s="322"/>
      <c r="U28" s="322">
        <v>1</v>
      </c>
      <c r="V28" s="322"/>
      <c r="W28" s="322"/>
      <c r="X28" s="322"/>
      <c r="Y28" s="322"/>
      <c r="Z28" s="322"/>
      <c r="AA28" s="322">
        <v>1</v>
      </c>
      <c r="AB28" s="322"/>
      <c r="AC28" s="322"/>
      <c r="AD28" s="322"/>
      <c r="AE28" s="322"/>
      <c r="AF28" s="322"/>
      <c r="AG28" s="322"/>
      <c r="AH28" s="322"/>
      <c r="AI28" s="322"/>
      <c r="AJ28" s="322"/>
      <c r="AK28" s="322"/>
      <c r="AL28" s="322"/>
      <c r="AM28" s="322"/>
      <c r="AN28" s="322"/>
      <c r="AO28" s="322"/>
      <c r="AP28" s="322">
        <v>1</v>
      </c>
      <c r="AQ28" s="322"/>
      <c r="AR28" s="323"/>
    </row>
    <row r="29" spans="1:44" ht="56.25" thickBot="1">
      <c r="A29" s="1279"/>
      <c r="B29" s="305" t="s">
        <v>1698</v>
      </c>
      <c r="C29" s="339">
        <v>3</v>
      </c>
      <c r="D29" s="328" t="s">
        <v>1890</v>
      </c>
      <c r="E29" s="406" t="s">
        <v>2147</v>
      </c>
      <c r="F29" s="373" t="s">
        <v>1954</v>
      </c>
      <c r="G29" s="373"/>
      <c r="H29" s="372" t="s">
        <v>2389</v>
      </c>
      <c r="I29" s="405" t="s">
        <v>2388</v>
      </c>
      <c r="J29" s="399"/>
      <c r="K29" s="373"/>
      <c r="L29" s="373"/>
      <c r="M29" s="405" t="s">
        <v>2393</v>
      </c>
      <c r="N29" s="395">
        <v>0.6</v>
      </c>
      <c r="O29" s="398" t="s">
        <v>2006</v>
      </c>
      <c r="P29" s="329"/>
      <c r="Q29" s="330"/>
      <c r="R29" s="330"/>
      <c r="S29" s="330"/>
      <c r="T29" s="330"/>
      <c r="U29" s="330">
        <v>1</v>
      </c>
      <c r="V29" s="330"/>
      <c r="W29" s="330"/>
      <c r="X29" s="330"/>
      <c r="Y29" s="330"/>
      <c r="Z29" s="330"/>
      <c r="AA29" s="330"/>
      <c r="AB29" s="330"/>
      <c r="AC29" s="330"/>
      <c r="AD29" s="330"/>
      <c r="AE29" s="330"/>
      <c r="AF29" s="330"/>
      <c r="AG29" s="330">
        <v>1</v>
      </c>
      <c r="AH29" s="330">
        <v>1</v>
      </c>
      <c r="AI29" s="330"/>
      <c r="AJ29" s="330">
        <v>1</v>
      </c>
      <c r="AK29" s="330">
        <v>1</v>
      </c>
      <c r="AL29" s="330">
        <v>1</v>
      </c>
      <c r="AM29" s="330">
        <v>1</v>
      </c>
      <c r="AN29" s="330"/>
      <c r="AO29" s="330"/>
      <c r="AP29" s="330"/>
      <c r="AQ29" s="330"/>
      <c r="AR29" s="331"/>
    </row>
    <row r="30" spans="1:44" ht="55.5">
      <c r="A30" s="1275" t="s">
        <v>1699</v>
      </c>
      <c r="B30" s="306" t="s">
        <v>1697</v>
      </c>
      <c r="C30" s="340">
        <v>5</v>
      </c>
      <c r="D30" s="341" t="s">
        <v>1891</v>
      </c>
      <c r="E30" s="382" t="s">
        <v>1988</v>
      </c>
      <c r="F30" s="382" t="s">
        <v>1954</v>
      </c>
      <c r="G30" s="382"/>
      <c r="H30" s="381" t="s">
        <v>2392</v>
      </c>
      <c r="I30" s="381" t="s">
        <v>2391</v>
      </c>
      <c r="J30" s="383"/>
      <c r="K30" s="382"/>
      <c r="L30" s="382"/>
      <c r="M30" s="381" t="s">
        <v>2390</v>
      </c>
      <c r="N30" s="404">
        <v>1</v>
      </c>
      <c r="O30" s="391" t="s">
        <v>1883</v>
      </c>
      <c r="P30" s="316"/>
      <c r="Q30" s="316"/>
      <c r="R30" s="316"/>
      <c r="S30" s="316"/>
      <c r="T30" s="316"/>
      <c r="U30" s="316">
        <v>1</v>
      </c>
      <c r="V30" s="316"/>
      <c r="W30" s="316"/>
      <c r="X30" s="316"/>
      <c r="Y30" s="316"/>
      <c r="Z30" s="316"/>
      <c r="AA30" s="316"/>
      <c r="AB30" s="316"/>
      <c r="AC30" s="316"/>
      <c r="AD30" s="316"/>
      <c r="AE30" s="316"/>
      <c r="AF30" s="316"/>
      <c r="AG30" s="316"/>
      <c r="AH30" s="316"/>
      <c r="AI30" s="316"/>
      <c r="AJ30" s="316"/>
      <c r="AK30" s="316"/>
      <c r="AL30" s="316"/>
      <c r="AM30" s="316"/>
      <c r="AN30" s="316"/>
      <c r="AO30" s="316"/>
      <c r="AP30" s="316"/>
      <c r="AQ30" s="316">
        <v>1</v>
      </c>
      <c r="AR30" s="317"/>
    </row>
    <row r="31" spans="1:44" ht="55.5">
      <c r="A31" s="1276"/>
      <c r="B31" s="303" t="s">
        <v>1698</v>
      </c>
      <c r="C31" s="318">
        <v>2</v>
      </c>
      <c r="D31" s="319" t="s">
        <v>1892</v>
      </c>
      <c r="E31" s="320" t="s">
        <v>1988</v>
      </c>
      <c r="F31" s="320" t="s">
        <v>1954</v>
      </c>
      <c r="G31" s="320"/>
      <c r="H31" s="308" t="s">
        <v>2389</v>
      </c>
      <c r="I31" s="308" t="s">
        <v>2388</v>
      </c>
      <c r="J31" s="377"/>
      <c r="K31" s="320"/>
      <c r="L31" s="320"/>
      <c r="M31" s="308" t="s">
        <v>2387</v>
      </c>
      <c r="N31" s="403">
        <v>1</v>
      </c>
      <c r="O31" s="321" t="s">
        <v>1883</v>
      </c>
      <c r="P31" s="322"/>
      <c r="Q31" s="322"/>
      <c r="R31" s="322"/>
      <c r="S31" s="322">
        <v>1</v>
      </c>
      <c r="T31" s="322"/>
      <c r="U31" s="322"/>
      <c r="V31" s="322"/>
      <c r="W31" s="322"/>
      <c r="X31" s="322"/>
      <c r="Y31" s="322"/>
      <c r="Z31" s="322"/>
      <c r="AA31" s="322"/>
      <c r="AB31" s="322"/>
      <c r="AC31" s="322">
        <v>1</v>
      </c>
      <c r="AD31" s="322"/>
      <c r="AE31" s="322"/>
      <c r="AF31" s="322"/>
      <c r="AG31" s="322"/>
      <c r="AH31" s="322"/>
      <c r="AI31" s="322"/>
      <c r="AJ31" s="322"/>
      <c r="AK31" s="322"/>
      <c r="AL31" s="322"/>
      <c r="AM31" s="322"/>
      <c r="AN31" s="322"/>
      <c r="AO31" s="322"/>
      <c r="AP31" s="322"/>
      <c r="AQ31" s="322"/>
      <c r="AR31" s="323"/>
    </row>
    <row r="32" spans="1:44">
      <c r="A32" s="1276"/>
      <c r="B32" s="303" t="s">
        <v>1700</v>
      </c>
      <c r="C32" s="318">
        <v>5</v>
      </c>
      <c r="D32" s="319" t="s">
        <v>1893</v>
      </c>
      <c r="E32" s="320" t="s">
        <v>2219</v>
      </c>
      <c r="F32" s="320" t="s">
        <v>1954</v>
      </c>
      <c r="G32" s="320"/>
      <c r="H32" s="308" t="s">
        <v>2386</v>
      </c>
      <c r="I32" s="308" t="s">
        <v>2385</v>
      </c>
      <c r="J32" s="377"/>
      <c r="K32" s="320"/>
      <c r="L32" s="320"/>
      <c r="M32" s="308" t="s">
        <v>2384</v>
      </c>
      <c r="N32" s="403">
        <v>0.8</v>
      </c>
      <c r="O32" s="321" t="s">
        <v>2383</v>
      </c>
      <c r="P32" s="322">
        <v>1</v>
      </c>
      <c r="Q32" s="322"/>
      <c r="R32" s="322"/>
      <c r="S32" s="322"/>
      <c r="T32" s="322"/>
      <c r="U32" s="322"/>
      <c r="V32" s="322"/>
      <c r="W32" s="322"/>
      <c r="X32" s="322"/>
      <c r="Y32" s="322"/>
      <c r="Z32" s="322"/>
      <c r="AA32" s="322"/>
      <c r="AB32" s="322"/>
      <c r="AC32" s="322"/>
      <c r="AD32" s="322"/>
      <c r="AE32" s="322"/>
      <c r="AF32" s="322"/>
      <c r="AG32" s="322"/>
      <c r="AH32" s="322"/>
      <c r="AI32" s="322"/>
      <c r="AJ32" s="322"/>
      <c r="AK32" s="322"/>
      <c r="AL32" s="322"/>
      <c r="AM32" s="322"/>
      <c r="AN32" s="322">
        <v>1</v>
      </c>
      <c r="AO32" s="322"/>
      <c r="AP32" s="322"/>
      <c r="AQ32" s="322"/>
      <c r="AR32" s="323"/>
    </row>
    <row r="33" spans="1:44" ht="56.25" thickBot="1">
      <c r="A33" s="1277"/>
      <c r="B33" s="307" t="s">
        <v>1701</v>
      </c>
      <c r="C33" s="327">
        <v>3</v>
      </c>
      <c r="D33" s="328" t="s">
        <v>1098</v>
      </c>
      <c r="E33" s="373" t="s">
        <v>1988</v>
      </c>
      <c r="F33" s="373" t="s">
        <v>1954</v>
      </c>
      <c r="G33" s="373"/>
      <c r="H33" s="372" t="s">
        <v>2382</v>
      </c>
      <c r="I33" s="372" t="s">
        <v>2381</v>
      </c>
      <c r="J33" s="399"/>
      <c r="K33" s="373"/>
      <c r="L33" s="373"/>
      <c r="M33" s="372" t="s">
        <v>2380</v>
      </c>
      <c r="N33" s="402">
        <v>1</v>
      </c>
      <c r="O33" s="394" t="s">
        <v>1883</v>
      </c>
      <c r="P33" s="330"/>
      <c r="Q33" s="330"/>
      <c r="R33" s="330"/>
      <c r="S33" s="330">
        <v>1</v>
      </c>
      <c r="T33" s="330"/>
      <c r="U33" s="330"/>
      <c r="V33" s="330"/>
      <c r="W33" s="330"/>
      <c r="X33" s="330"/>
      <c r="Y33" s="330"/>
      <c r="Z33" s="330"/>
      <c r="AA33" s="330"/>
      <c r="AB33" s="330"/>
      <c r="AC33" s="330"/>
      <c r="AD33" s="330"/>
      <c r="AE33" s="330"/>
      <c r="AF33" s="330"/>
      <c r="AG33" s="330"/>
      <c r="AH33" s="330"/>
      <c r="AI33" s="330"/>
      <c r="AJ33" s="330"/>
      <c r="AK33" s="330"/>
      <c r="AL33" s="330"/>
      <c r="AM33" s="330"/>
      <c r="AN33" s="330"/>
      <c r="AO33" s="330"/>
      <c r="AP33" s="330"/>
      <c r="AQ33" s="330"/>
      <c r="AR33" s="331"/>
    </row>
    <row r="34" spans="1:44">
      <c r="A34" s="1278" t="s">
        <v>1702</v>
      </c>
      <c r="B34" s="306" t="s">
        <v>1703</v>
      </c>
      <c r="C34" s="314">
        <v>5</v>
      </c>
      <c r="D34" s="315" t="s">
        <v>1894</v>
      </c>
      <c r="E34" s="382" t="s">
        <v>1988</v>
      </c>
      <c r="F34" s="382" t="s">
        <v>1954</v>
      </c>
      <c r="G34" s="382"/>
      <c r="H34" s="381" t="s">
        <v>2379</v>
      </c>
      <c r="I34" s="381" t="s">
        <v>2378</v>
      </c>
      <c r="J34" s="383"/>
      <c r="K34" s="382"/>
      <c r="L34" s="382"/>
      <c r="M34" s="381"/>
      <c r="N34" s="401" t="s">
        <v>2377</v>
      </c>
      <c r="O34" s="391" t="s">
        <v>2330</v>
      </c>
      <c r="P34" s="316"/>
      <c r="Q34" s="316"/>
      <c r="R34" s="316"/>
      <c r="S34" s="316"/>
      <c r="T34" s="316"/>
      <c r="U34" s="316">
        <v>1</v>
      </c>
      <c r="V34" s="316"/>
      <c r="W34" s="316"/>
      <c r="X34" s="316"/>
      <c r="Y34" s="316"/>
      <c r="Z34" s="316"/>
      <c r="AA34" s="316"/>
      <c r="AB34" s="316"/>
      <c r="AC34" s="316"/>
      <c r="AD34" s="316"/>
      <c r="AE34" s="316"/>
      <c r="AF34" s="316"/>
      <c r="AG34" s="342">
        <v>1</v>
      </c>
      <c r="AH34" s="342"/>
      <c r="AI34" s="342">
        <v>1</v>
      </c>
      <c r="AJ34" s="342">
        <v>1</v>
      </c>
      <c r="AK34" s="342">
        <v>1</v>
      </c>
      <c r="AL34" s="342">
        <v>1</v>
      </c>
      <c r="AM34" s="342">
        <v>1</v>
      </c>
      <c r="AN34" s="316"/>
      <c r="AO34" s="316"/>
      <c r="AP34" s="316"/>
      <c r="AQ34" s="316"/>
      <c r="AR34" s="317"/>
    </row>
    <row r="35" spans="1:44">
      <c r="A35" s="1274"/>
      <c r="B35" s="303" t="s">
        <v>1704</v>
      </c>
      <c r="C35" s="318">
        <v>4</v>
      </c>
      <c r="D35" s="319" t="s">
        <v>1895</v>
      </c>
      <c r="E35" s="320" t="s">
        <v>1988</v>
      </c>
      <c r="F35" s="320" t="s">
        <v>1954</v>
      </c>
      <c r="G35" s="320"/>
      <c r="H35" s="308" t="s">
        <v>2376</v>
      </c>
      <c r="I35" s="308" t="s">
        <v>2375</v>
      </c>
      <c r="J35" s="377"/>
      <c r="K35" s="320"/>
      <c r="L35" s="320"/>
      <c r="M35" s="308" t="s">
        <v>2374</v>
      </c>
      <c r="N35" s="390" t="s">
        <v>2373</v>
      </c>
      <c r="O35" s="321" t="s">
        <v>2330</v>
      </c>
      <c r="P35" s="322"/>
      <c r="Q35" s="322"/>
      <c r="R35" s="322"/>
      <c r="S35" s="322"/>
      <c r="T35" s="322"/>
      <c r="U35" s="322"/>
      <c r="V35" s="322"/>
      <c r="W35" s="322"/>
      <c r="X35" s="322"/>
      <c r="Y35" s="322"/>
      <c r="Z35" s="322"/>
      <c r="AA35" s="322"/>
      <c r="AB35" s="322"/>
      <c r="AC35" s="322"/>
      <c r="AD35" s="322"/>
      <c r="AE35" s="322"/>
      <c r="AF35" s="322"/>
      <c r="AG35" s="324">
        <v>1</v>
      </c>
      <c r="AH35" s="324"/>
      <c r="AI35" s="324">
        <v>1</v>
      </c>
      <c r="AJ35" s="324">
        <v>1</v>
      </c>
      <c r="AK35" s="324">
        <v>1</v>
      </c>
      <c r="AL35" s="324">
        <v>1</v>
      </c>
      <c r="AM35" s="324">
        <v>1</v>
      </c>
      <c r="AN35" s="322"/>
      <c r="AO35" s="322"/>
      <c r="AP35" s="322"/>
      <c r="AQ35" s="322"/>
      <c r="AR35" s="323"/>
    </row>
    <row r="36" spans="1:44">
      <c r="A36" s="1274"/>
      <c r="B36" s="303" t="s">
        <v>1696</v>
      </c>
      <c r="C36" s="318">
        <v>3</v>
      </c>
      <c r="D36" s="319" t="s">
        <v>1896</v>
      </c>
      <c r="E36" s="320" t="s">
        <v>1988</v>
      </c>
      <c r="F36" s="320" t="s">
        <v>1954</v>
      </c>
      <c r="G36" s="320"/>
      <c r="H36" s="308" t="s">
        <v>2372</v>
      </c>
      <c r="I36" s="308" t="s">
        <v>2371</v>
      </c>
      <c r="J36" s="377"/>
      <c r="K36" s="320"/>
      <c r="L36" s="320"/>
      <c r="M36" s="308" t="s">
        <v>2370</v>
      </c>
      <c r="N36" s="400" t="s">
        <v>2369</v>
      </c>
      <c r="O36" s="321" t="s">
        <v>2330</v>
      </c>
      <c r="P36" s="322"/>
      <c r="Q36" s="322"/>
      <c r="R36" s="322"/>
      <c r="S36" s="322">
        <v>1</v>
      </c>
      <c r="T36" s="322"/>
      <c r="U36" s="322"/>
      <c r="V36" s="322"/>
      <c r="W36" s="322"/>
      <c r="X36" s="322"/>
      <c r="Y36" s="322"/>
      <c r="Z36" s="322"/>
      <c r="AA36" s="322"/>
      <c r="AB36" s="322"/>
      <c r="AC36" s="322"/>
      <c r="AD36" s="322"/>
      <c r="AE36" s="322"/>
      <c r="AF36" s="322"/>
      <c r="AG36" s="324"/>
      <c r="AH36" s="324"/>
      <c r="AI36" s="324"/>
      <c r="AJ36" s="324"/>
      <c r="AK36" s="324"/>
      <c r="AL36" s="324"/>
      <c r="AM36" s="324"/>
      <c r="AN36" s="322"/>
      <c r="AO36" s="322"/>
      <c r="AP36" s="322"/>
      <c r="AQ36" s="322"/>
      <c r="AR36" s="323"/>
    </row>
    <row r="37" spans="1:44" ht="55.5">
      <c r="A37" s="1274"/>
      <c r="B37" s="303" t="s">
        <v>1697</v>
      </c>
      <c r="C37" s="318">
        <v>3</v>
      </c>
      <c r="D37" s="319" t="s">
        <v>1897</v>
      </c>
      <c r="E37" s="320" t="s">
        <v>1988</v>
      </c>
      <c r="F37" s="320" t="s">
        <v>1954</v>
      </c>
      <c r="G37" s="320"/>
      <c r="H37" s="308" t="s">
        <v>2368</v>
      </c>
      <c r="I37" s="308" t="s">
        <v>2362</v>
      </c>
      <c r="J37" s="377"/>
      <c r="K37" s="320"/>
      <c r="L37" s="320"/>
      <c r="M37" s="308" t="s">
        <v>2367</v>
      </c>
      <c r="N37" s="390">
        <v>1</v>
      </c>
      <c r="O37" s="321" t="s">
        <v>2138</v>
      </c>
      <c r="P37" s="322"/>
      <c r="Q37" s="322"/>
      <c r="R37" s="322"/>
      <c r="S37" s="322"/>
      <c r="T37" s="322"/>
      <c r="U37" s="322">
        <v>1</v>
      </c>
      <c r="V37" s="322"/>
      <c r="W37" s="322"/>
      <c r="X37" s="322"/>
      <c r="Y37" s="322"/>
      <c r="Z37" s="322"/>
      <c r="AA37" s="322">
        <v>1</v>
      </c>
      <c r="AB37" s="322"/>
      <c r="AC37" s="322"/>
      <c r="AD37" s="322"/>
      <c r="AE37" s="322"/>
      <c r="AF37" s="322"/>
      <c r="AG37" s="324"/>
      <c r="AH37" s="324"/>
      <c r="AI37" s="324"/>
      <c r="AJ37" s="324"/>
      <c r="AK37" s="324"/>
      <c r="AL37" s="324"/>
      <c r="AM37" s="324"/>
      <c r="AN37" s="322"/>
      <c r="AO37" s="322"/>
      <c r="AP37" s="322"/>
      <c r="AQ37" s="322">
        <v>1</v>
      </c>
      <c r="AR37" s="323"/>
    </row>
    <row r="38" spans="1:44" ht="111.75" thickBot="1">
      <c r="A38" s="1279"/>
      <c r="B38" s="307" t="s">
        <v>1693</v>
      </c>
      <c r="C38" s="327">
        <v>2</v>
      </c>
      <c r="D38" s="328" t="s">
        <v>1898</v>
      </c>
      <c r="E38" s="373" t="s">
        <v>1988</v>
      </c>
      <c r="F38" s="373" t="s">
        <v>1954</v>
      </c>
      <c r="G38" s="373"/>
      <c r="H38" s="372" t="s">
        <v>2366</v>
      </c>
      <c r="I38" s="372" t="s">
        <v>2365</v>
      </c>
      <c r="J38" s="399"/>
      <c r="K38" s="373"/>
      <c r="L38" s="373"/>
      <c r="M38" s="372" t="s">
        <v>2364</v>
      </c>
      <c r="N38" s="395" t="s">
        <v>2363</v>
      </c>
      <c r="O38" s="394" t="s">
        <v>2138</v>
      </c>
      <c r="P38" s="330"/>
      <c r="Q38" s="330"/>
      <c r="R38" s="330"/>
      <c r="S38" s="330"/>
      <c r="T38" s="330"/>
      <c r="U38" s="330"/>
      <c r="V38" s="330"/>
      <c r="W38" s="330"/>
      <c r="X38" s="330"/>
      <c r="Y38" s="330"/>
      <c r="Z38" s="330">
        <v>1</v>
      </c>
      <c r="AA38" s="330"/>
      <c r="AB38" s="330"/>
      <c r="AC38" s="330"/>
      <c r="AD38" s="330"/>
      <c r="AE38" s="330">
        <v>1</v>
      </c>
      <c r="AF38" s="330"/>
      <c r="AG38" s="330"/>
      <c r="AH38" s="330"/>
      <c r="AI38" s="330"/>
      <c r="AJ38" s="330"/>
      <c r="AK38" s="330"/>
      <c r="AL38" s="330"/>
      <c r="AM38" s="330"/>
      <c r="AN38" s="330"/>
      <c r="AO38" s="330"/>
      <c r="AP38" s="330"/>
      <c r="AQ38" s="330"/>
      <c r="AR38" s="331"/>
    </row>
    <row r="39" spans="1:44" ht="55.5">
      <c r="A39" s="1283" t="s">
        <v>1705</v>
      </c>
      <c r="B39" s="306" t="s">
        <v>1697</v>
      </c>
      <c r="C39" s="314">
        <v>5</v>
      </c>
      <c r="D39" s="315" t="s">
        <v>353</v>
      </c>
      <c r="E39" s="382" t="s">
        <v>1988</v>
      </c>
      <c r="F39" s="382" t="s">
        <v>1954</v>
      </c>
      <c r="G39" s="382"/>
      <c r="H39" s="381" t="s">
        <v>1883</v>
      </c>
      <c r="I39" s="381" t="s">
        <v>2362</v>
      </c>
      <c r="J39" s="383"/>
      <c r="K39" s="382"/>
      <c r="L39" s="382"/>
      <c r="M39" s="381" t="s">
        <v>2361</v>
      </c>
      <c r="N39" s="396" t="s">
        <v>1883</v>
      </c>
      <c r="O39" s="379" t="s">
        <v>1883</v>
      </c>
      <c r="P39" s="333"/>
      <c r="Q39" s="316"/>
      <c r="R39" s="316"/>
      <c r="S39" s="316"/>
      <c r="T39" s="316"/>
      <c r="U39" s="316"/>
      <c r="V39" s="316"/>
      <c r="W39" s="316"/>
      <c r="X39" s="316"/>
      <c r="Y39" s="316"/>
      <c r="Z39" s="316"/>
      <c r="AA39" s="316"/>
      <c r="AB39" s="316"/>
      <c r="AC39" s="316"/>
      <c r="AD39" s="316"/>
      <c r="AE39" s="316"/>
      <c r="AF39" s="316"/>
      <c r="AG39" s="316"/>
      <c r="AH39" s="316"/>
      <c r="AI39" s="316"/>
      <c r="AJ39" s="316"/>
      <c r="AK39" s="316"/>
      <c r="AL39" s="316"/>
      <c r="AM39" s="316"/>
      <c r="AN39" s="316"/>
      <c r="AO39" s="316"/>
      <c r="AP39" s="316"/>
      <c r="AQ39" s="316">
        <v>1</v>
      </c>
      <c r="AR39" s="317"/>
    </row>
    <row r="40" spans="1:44">
      <c r="A40" s="1284"/>
      <c r="B40" s="303" t="s">
        <v>1706</v>
      </c>
      <c r="C40" s="318">
        <v>5</v>
      </c>
      <c r="D40" s="319" t="s">
        <v>595</v>
      </c>
      <c r="E40" s="320" t="s">
        <v>1988</v>
      </c>
      <c r="F40" s="320" t="s">
        <v>1954</v>
      </c>
      <c r="G40" s="320"/>
      <c r="H40" s="308" t="s">
        <v>2349</v>
      </c>
      <c r="I40" s="308" t="s">
        <v>2360</v>
      </c>
      <c r="J40" s="377"/>
      <c r="K40" s="320"/>
      <c r="L40" s="320"/>
      <c r="M40" s="308" t="s">
        <v>2359</v>
      </c>
      <c r="N40" s="390">
        <v>1</v>
      </c>
      <c r="O40" s="321" t="s">
        <v>588</v>
      </c>
      <c r="P40" s="322"/>
      <c r="Q40" s="322"/>
      <c r="R40" s="322"/>
      <c r="S40" s="322"/>
      <c r="T40" s="322"/>
      <c r="U40" s="322"/>
      <c r="V40" s="322"/>
      <c r="W40" s="322"/>
      <c r="X40" s="322"/>
      <c r="Y40" s="322"/>
      <c r="Z40" s="322"/>
      <c r="AA40" s="322"/>
      <c r="AB40" s="322"/>
      <c r="AC40" s="322"/>
      <c r="AD40" s="322"/>
      <c r="AE40" s="322"/>
      <c r="AF40" s="322"/>
      <c r="AG40" s="322"/>
      <c r="AH40" s="322"/>
      <c r="AI40" s="322"/>
      <c r="AJ40" s="322"/>
      <c r="AK40" s="322"/>
      <c r="AL40" s="322"/>
      <c r="AM40" s="322"/>
      <c r="AN40" s="322">
        <v>1</v>
      </c>
      <c r="AO40" s="322"/>
      <c r="AP40" s="322"/>
      <c r="AQ40" s="322"/>
      <c r="AR40" s="323"/>
    </row>
    <row r="41" spans="1:44">
      <c r="A41" s="1284"/>
      <c r="B41" s="303" t="s">
        <v>1707</v>
      </c>
      <c r="C41" s="318">
        <v>5</v>
      </c>
      <c r="D41" s="319" t="s">
        <v>353</v>
      </c>
      <c r="E41" s="320" t="s">
        <v>1988</v>
      </c>
      <c r="F41" s="320" t="s">
        <v>1954</v>
      </c>
      <c r="G41" s="320"/>
      <c r="H41" s="308" t="s">
        <v>2358</v>
      </c>
      <c r="I41" s="308" t="s">
        <v>2357</v>
      </c>
      <c r="J41" s="377"/>
      <c r="K41" s="320"/>
      <c r="L41" s="320"/>
      <c r="M41" s="308" t="s">
        <v>2356</v>
      </c>
      <c r="N41" s="390">
        <v>0.5</v>
      </c>
      <c r="O41" s="321" t="s">
        <v>1883</v>
      </c>
      <c r="P41" s="322"/>
      <c r="Q41" s="322"/>
      <c r="R41" s="322"/>
      <c r="S41" s="322"/>
      <c r="T41" s="322"/>
      <c r="U41" s="322"/>
      <c r="V41" s="322"/>
      <c r="W41" s="322"/>
      <c r="X41" s="322"/>
      <c r="Y41" s="322"/>
      <c r="Z41" s="322"/>
      <c r="AA41" s="322"/>
      <c r="AB41" s="322"/>
      <c r="AC41" s="322"/>
      <c r="AD41" s="322"/>
      <c r="AE41" s="322"/>
      <c r="AF41" s="322"/>
      <c r="AG41" s="322"/>
      <c r="AH41" s="322"/>
      <c r="AI41" s="322"/>
      <c r="AJ41" s="322"/>
      <c r="AK41" s="322"/>
      <c r="AL41" s="322"/>
      <c r="AM41" s="322"/>
      <c r="AN41" s="322"/>
      <c r="AO41" s="322"/>
      <c r="AP41" s="322"/>
      <c r="AQ41" s="322">
        <v>1</v>
      </c>
      <c r="AR41" s="323"/>
    </row>
    <row r="42" spans="1:44">
      <c r="A42" s="1284"/>
      <c r="B42" s="303" t="s">
        <v>1708</v>
      </c>
      <c r="C42" s="318">
        <v>5</v>
      </c>
      <c r="D42" s="335" t="s">
        <v>588</v>
      </c>
      <c r="E42" s="320" t="s">
        <v>1988</v>
      </c>
      <c r="F42" s="320" t="s">
        <v>1954</v>
      </c>
      <c r="G42" s="335"/>
      <c r="H42" s="308" t="s">
        <v>2355</v>
      </c>
      <c r="I42" s="308" t="s">
        <v>2354</v>
      </c>
      <c r="J42" s="335"/>
      <c r="K42" s="335"/>
      <c r="L42" s="335"/>
      <c r="M42" s="308" t="s">
        <v>2353</v>
      </c>
      <c r="N42" s="390">
        <v>1</v>
      </c>
      <c r="O42" s="321" t="s">
        <v>1883</v>
      </c>
      <c r="P42" s="322"/>
      <c r="Q42" s="322"/>
      <c r="R42" s="322"/>
      <c r="S42" s="322"/>
      <c r="T42" s="322"/>
      <c r="U42" s="322"/>
      <c r="V42" s="322"/>
      <c r="W42" s="322"/>
      <c r="X42" s="322"/>
      <c r="Y42" s="322"/>
      <c r="Z42" s="322"/>
      <c r="AA42" s="322"/>
      <c r="AB42" s="322"/>
      <c r="AC42" s="322"/>
      <c r="AD42" s="322"/>
      <c r="AE42" s="322"/>
      <c r="AF42" s="322"/>
      <c r="AG42" s="322"/>
      <c r="AH42" s="322"/>
      <c r="AI42" s="322"/>
      <c r="AJ42" s="322"/>
      <c r="AK42" s="322"/>
      <c r="AL42" s="322"/>
      <c r="AM42" s="322"/>
      <c r="AN42" s="322"/>
      <c r="AO42" s="322"/>
      <c r="AP42" s="322"/>
      <c r="AQ42" s="322"/>
      <c r="AR42" s="323"/>
    </row>
    <row r="43" spans="1:44" ht="55.5">
      <c r="A43" s="1284"/>
      <c r="B43" s="303" t="s">
        <v>1709</v>
      </c>
      <c r="C43" s="318">
        <v>5</v>
      </c>
      <c r="D43" s="335" t="s">
        <v>1899</v>
      </c>
      <c r="E43" s="320" t="s">
        <v>1988</v>
      </c>
      <c r="F43" s="320" t="s">
        <v>1954</v>
      </c>
      <c r="G43" s="335"/>
      <c r="H43" s="308" t="s">
        <v>2352</v>
      </c>
      <c r="I43" s="308" t="s">
        <v>2351</v>
      </c>
      <c r="J43" s="335"/>
      <c r="K43" s="335"/>
      <c r="L43" s="335"/>
      <c r="M43" s="308" t="s">
        <v>2350</v>
      </c>
      <c r="N43" s="390">
        <v>1</v>
      </c>
      <c r="O43" s="321" t="s">
        <v>2138</v>
      </c>
      <c r="P43" s="322"/>
      <c r="Q43" s="322"/>
      <c r="R43" s="322"/>
      <c r="S43" s="322"/>
      <c r="T43" s="322"/>
      <c r="U43" s="322"/>
      <c r="V43" s="322"/>
      <c r="W43" s="322"/>
      <c r="X43" s="322"/>
      <c r="Y43" s="322"/>
      <c r="Z43" s="322"/>
      <c r="AA43" s="322"/>
      <c r="AB43" s="322">
        <v>1</v>
      </c>
      <c r="AC43" s="322"/>
      <c r="AD43" s="322"/>
      <c r="AE43" s="322"/>
      <c r="AF43" s="322"/>
      <c r="AG43" s="322"/>
      <c r="AH43" s="322"/>
      <c r="AI43" s="322"/>
      <c r="AJ43" s="322"/>
      <c r="AK43" s="322"/>
      <c r="AL43" s="322"/>
      <c r="AM43" s="322"/>
      <c r="AN43" s="322">
        <v>1</v>
      </c>
      <c r="AO43" s="322"/>
      <c r="AP43" s="322"/>
      <c r="AQ43" s="322"/>
      <c r="AR43" s="323"/>
    </row>
    <row r="44" spans="1:44" ht="33.75" thickBot="1">
      <c r="A44" s="1285"/>
      <c r="B44" s="307" t="s">
        <v>1710</v>
      </c>
      <c r="C44" s="327">
        <v>5</v>
      </c>
      <c r="D44" s="328" t="s">
        <v>595</v>
      </c>
      <c r="E44" s="373" t="s">
        <v>1988</v>
      </c>
      <c r="F44" s="373" t="s">
        <v>1954</v>
      </c>
      <c r="G44" s="373"/>
      <c r="H44" s="372" t="s">
        <v>2349</v>
      </c>
      <c r="I44" s="372" t="s">
        <v>2348</v>
      </c>
      <c r="J44" s="399"/>
      <c r="K44" s="373"/>
      <c r="L44" s="373"/>
      <c r="M44" s="372" t="s">
        <v>2347</v>
      </c>
      <c r="N44" s="395">
        <v>1</v>
      </c>
      <c r="O44" s="394" t="s">
        <v>1883</v>
      </c>
      <c r="P44" s="330"/>
      <c r="Q44" s="330"/>
      <c r="R44" s="330"/>
      <c r="S44" s="330"/>
      <c r="T44" s="330"/>
      <c r="U44" s="330"/>
      <c r="V44" s="330"/>
      <c r="W44" s="330"/>
      <c r="X44" s="330"/>
      <c r="Y44" s="330"/>
      <c r="Z44" s="330"/>
      <c r="AA44" s="330"/>
      <c r="AB44" s="330"/>
      <c r="AC44" s="330"/>
      <c r="AD44" s="330"/>
      <c r="AE44" s="330"/>
      <c r="AF44" s="330"/>
      <c r="AG44" s="330"/>
      <c r="AH44" s="330"/>
      <c r="AI44" s="330"/>
      <c r="AJ44" s="330"/>
      <c r="AK44" s="330"/>
      <c r="AL44" s="330"/>
      <c r="AM44" s="330"/>
      <c r="AN44" s="330">
        <v>1</v>
      </c>
      <c r="AO44" s="330"/>
      <c r="AP44" s="330"/>
      <c r="AQ44" s="330"/>
      <c r="AR44" s="331"/>
    </row>
    <row r="45" spans="1:44" ht="48">
      <c r="A45" s="1275" t="s">
        <v>1711</v>
      </c>
      <c r="B45" s="306" t="s">
        <v>1712</v>
      </c>
      <c r="C45" s="314">
        <v>3</v>
      </c>
      <c r="D45" s="315" t="s">
        <v>1900</v>
      </c>
      <c r="E45" s="382" t="s">
        <v>1988</v>
      </c>
      <c r="F45" s="382" t="s">
        <v>2072</v>
      </c>
      <c r="G45" s="382"/>
      <c r="H45" s="381" t="s">
        <v>2346</v>
      </c>
      <c r="I45" s="381" t="s">
        <v>2345</v>
      </c>
      <c r="J45" s="383"/>
      <c r="K45" s="382"/>
      <c r="L45" s="382"/>
      <c r="M45" s="381" t="s">
        <v>2344</v>
      </c>
      <c r="N45" s="396">
        <v>1</v>
      </c>
      <c r="O45" s="391" t="s">
        <v>2159</v>
      </c>
      <c r="P45" s="316"/>
      <c r="Q45" s="316"/>
      <c r="R45" s="316"/>
      <c r="S45" s="316">
        <v>1</v>
      </c>
      <c r="T45" s="316"/>
      <c r="U45" s="316">
        <v>1</v>
      </c>
      <c r="V45" s="316"/>
      <c r="W45" s="316"/>
      <c r="X45" s="316"/>
      <c r="Y45" s="316"/>
      <c r="Z45" s="316"/>
      <c r="AA45" s="316"/>
      <c r="AB45" s="316"/>
      <c r="AC45" s="316"/>
      <c r="AD45" s="316"/>
      <c r="AE45" s="316"/>
      <c r="AF45" s="316"/>
      <c r="AG45" s="316"/>
      <c r="AH45" s="316"/>
      <c r="AI45" s="316"/>
      <c r="AJ45" s="316"/>
      <c r="AK45" s="316"/>
      <c r="AL45" s="316"/>
      <c r="AM45" s="316"/>
      <c r="AN45" s="316"/>
      <c r="AO45" s="316"/>
      <c r="AP45" s="316"/>
      <c r="AQ45" s="316"/>
      <c r="AR45" s="317"/>
    </row>
    <row r="46" spans="1:44" ht="55.5">
      <c r="A46" s="1276"/>
      <c r="B46" s="303" t="s">
        <v>1713</v>
      </c>
      <c r="C46" s="318">
        <v>4</v>
      </c>
      <c r="D46" s="319" t="s">
        <v>1098</v>
      </c>
      <c r="E46" s="320" t="s">
        <v>1988</v>
      </c>
      <c r="F46" s="320" t="s">
        <v>1954</v>
      </c>
      <c r="G46" s="320"/>
      <c r="H46" s="308" t="s">
        <v>2343</v>
      </c>
      <c r="I46" s="308" t="s">
        <v>2342</v>
      </c>
      <c r="J46" s="377"/>
      <c r="K46" s="320"/>
      <c r="L46" s="320"/>
      <c r="M46" s="308" t="s">
        <v>1883</v>
      </c>
      <c r="N46" s="390">
        <v>1</v>
      </c>
      <c r="O46" s="378" t="s">
        <v>2330</v>
      </c>
      <c r="P46" s="324"/>
      <c r="Q46" s="322"/>
      <c r="R46" s="322"/>
      <c r="S46" s="322">
        <v>1</v>
      </c>
      <c r="T46" s="322"/>
      <c r="U46" s="322"/>
      <c r="V46" s="322"/>
      <c r="W46" s="322"/>
      <c r="X46" s="322"/>
      <c r="Y46" s="322"/>
      <c r="Z46" s="322"/>
      <c r="AA46" s="322"/>
      <c r="AB46" s="322"/>
      <c r="AC46" s="322"/>
      <c r="AD46" s="322"/>
      <c r="AE46" s="322"/>
      <c r="AF46" s="322"/>
      <c r="AG46" s="322"/>
      <c r="AH46" s="322"/>
      <c r="AI46" s="322"/>
      <c r="AJ46" s="322"/>
      <c r="AK46" s="322"/>
      <c r="AL46" s="322"/>
      <c r="AM46" s="322"/>
      <c r="AN46" s="322"/>
      <c r="AO46" s="322"/>
      <c r="AP46" s="322"/>
      <c r="AQ46" s="322"/>
      <c r="AR46" s="323"/>
    </row>
    <row r="47" spans="1:44">
      <c r="A47" s="1276"/>
      <c r="B47" s="303" t="s">
        <v>1695</v>
      </c>
      <c r="C47" s="318">
        <v>2</v>
      </c>
      <c r="D47" s="319" t="s">
        <v>1098</v>
      </c>
      <c r="E47" s="320" t="s">
        <v>1988</v>
      </c>
      <c r="F47" s="320" t="s">
        <v>2072</v>
      </c>
      <c r="G47" s="320"/>
      <c r="H47" s="308" t="s">
        <v>1883</v>
      </c>
      <c r="I47" s="308" t="s">
        <v>2341</v>
      </c>
      <c r="J47" s="377"/>
      <c r="K47" s="320"/>
      <c r="L47" s="320"/>
      <c r="M47" s="308" t="s">
        <v>2340</v>
      </c>
      <c r="N47" s="390">
        <v>1</v>
      </c>
      <c r="O47" s="321" t="s">
        <v>2159</v>
      </c>
      <c r="P47" s="322"/>
      <c r="Q47" s="322"/>
      <c r="R47" s="322"/>
      <c r="S47" s="322">
        <v>1</v>
      </c>
      <c r="T47" s="322"/>
      <c r="U47" s="322"/>
      <c r="V47" s="322"/>
      <c r="W47" s="322"/>
      <c r="X47" s="322"/>
      <c r="Y47" s="322"/>
      <c r="Z47" s="322"/>
      <c r="AA47" s="322"/>
      <c r="AB47" s="322"/>
      <c r="AC47" s="322"/>
      <c r="AD47" s="322"/>
      <c r="AE47" s="322"/>
      <c r="AF47" s="322"/>
      <c r="AG47" s="322"/>
      <c r="AH47" s="322"/>
      <c r="AI47" s="322"/>
      <c r="AJ47" s="322"/>
      <c r="AK47" s="322"/>
      <c r="AL47" s="322"/>
      <c r="AM47" s="322"/>
      <c r="AN47" s="322"/>
      <c r="AO47" s="322"/>
      <c r="AP47" s="322"/>
      <c r="AQ47" s="322"/>
      <c r="AR47" s="323"/>
    </row>
    <row r="48" spans="1:44">
      <c r="A48" s="1276"/>
      <c r="B48" s="303" t="s">
        <v>1696</v>
      </c>
      <c r="C48" s="318">
        <v>2</v>
      </c>
      <c r="D48" s="319" t="s">
        <v>1098</v>
      </c>
      <c r="E48" s="320" t="s">
        <v>1988</v>
      </c>
      <c r="F48" s="320" t="s">
        <v>2072</v>
      </c>
      <c r="G48" s="320"/>
      <c r="H48" s="308" t="s">
        <v>2339</v>
      </c>
      <c r="I48" s="308" t="s">
        <v>2338</v>
      </c>
      <c r="J48" s="377"/>
      <c r="K48" s="320"/>
      <c r="L48" s="320"/>
      <c r="M48" s="308" t="s">
        <v>2337</v>
      </c>
      <c r="N48" s="390">
        <v>1</v>
      </c>
      <c r="O48" s="321" t="s">
        <v>2159</v>
      </c>
      <c r="P48" s="322"/>
      <c r="Q48" s="322"/>
      <c r="R48" s="322"/>
      <c r="S48" s="322">
        <v>1</v>
      </c>
      <c r="T48" s="322"/>
      <c r="U48" s="322"/>
      <c r="V48" s="322"/>
      <c r="W48" s="322"/>
      <c r="X48" s="322"/>
      <c r="Y48" s="322"/>
      <c r="Z48" s="322"/>
      <c r="AA48" s="322"/>
      <c r="AB48" s="322"/>
      <c r="AC48" s="322"/>
      <c r="AD48" s="322"/>
      <c r="AE48" s="322"/>
      <c r="AF48" s="322"/>
      <c r="AG48" s="322"/>
      <c r="AH48" s="322"/>
      <c r="AI48" s="322"/>
      <c r="AJ48" s="322"/>
      <c r="AK48" s="322"/>
      <c r="AL48" s="322"/>
      <c r="AM48" s="322"/>
      <c r="AN48" s="322"/>
      <c r="AO48" s="322"/>
      <c r="AP48" s="322"/>
      <c r="AQ48" s="322"/>
      <c r="AR48" s="323"/>
    </row>
    <row r="49" spans="1:44" ht="48">
      <c r="A49" s="1276"/>
      <c r="B49" s="303" t="s">
        <v>1697</v>
      </c>
      <c r="C49" s="318">
        <v>3</v>
      </c>
      <c r="D49" s="319" t="s">
        <v>1897</v>
      </c>
      <c r="E49" s="320" t="s">
        <v>1988</v>
      </c>
      <c r="F49" s="320" t="s">
        <v>2072</v>
      </c>
      <c r="G49" s="320"/>
      <c r="H49" s="308" t="s">
        <v>2336</v>
      </c>
      <c r="I49" s="308" t="s">
        <v>2335</v>
      </c>
      <c r="J49" s="377"/>
      <c r="K49" s="320"/>
      <c r="L49" s="320"/>
      <c r="M49" s="308" t="s">
        <v>2334</v>
      </c>
      <c r="N49" s="390">
        <v>1</v>
      </c>
      <c r="O49" s="321" t="s">
        <v>2159</v>
      </c>
      <c r="P49" s="322"/>
      <c r="Q49" s="322"/>
      <c r="R49" s="322"/>
      <c r="S49" s="322"/>
      <c r="T49" s="322"/>
      <c r="U49" s="322">
        <v>1</v>
      </c>
      <c r="V49" s="322"/>
      <c r="W49" s="322"/>
      <c r="X49" s="322"/>
      <c r="Y49" s="322"/>
      <c r="Z49" s="322"/>
      <c r="AA49" s="322">
        <v>1</v>
      </c>
      <c r="AB49" s="322"/>
      <c r="AC49" s="322"/>
      <c r="AD49" s="322"/>
      <c r="AE49" s="322"/>
      <c r="AF49" s="322"/>
      <c r="AG49" s="322"/>
      <c r="AH49" s="322"/>
      <c r="AI49" s="322"/>
      <c r="AJ49" s="322"/>
      <c r="AK49" s="322"/>
      <c r="AL49" s="322"/>
      <c r="AM49" s="322"/>
      <c r="AN49" s="322"/>
      <c r="AO49" s="322"/>
      <c r="AP49" s="322"/>
      <c r="AQ49" s="322">
        <v>1</v>
      </c>
      <c r="AR49" s="323"/>
    </row>
    <row r="50" spans="1:44" ht="33.75" thickBot="1">
      <c r="A50" s="1277"/>
      <c r="B50" s="307" t="s">
        <v>1714</v>
      </c>
      <c r="C50" s="327">
        <v>4</v>
      </c>
      <c r="D50" s="328" t="s">
        <v>1886</v>
      </c>
      <c r="E50" s="373" t="s">
        <v>1988</v>
      </c>
      <c r="F50" s="373" t="s">
        <v>1954</v>
      </c>
      <c r="G50" s="373"/>
      <c r="H50" s="372" t="s">
        <v>2333</v>
      </c>
      <c r="I50" s="372" t="s">
        <v>2332</v>
      </c>
      <c r="J50" s="399"/>
      <c r="K50" s="373"/>
      <c r="L50" s="373"/>
      <c r="M50" s="372" t="s">
        <v>2331</v>
      </c>
      <c r="N50" s="395">
        <v>1</v>
      </c>
      <c r="O50" s="398" t="s">
        <v>2330</v>
      </c>
      <c r="P50" s="329"/>
      <c r="Q50" s="330"/>
      <c r="R50" s="330"/>
      <c r="S50" s="330"/>
      <c r="T50" s="330"/>
      <c r="U50" s="330"/>
      <c r="V50" s="330">
        <v>1</v>
      </c>
      <c r="W50" s="330"/>
      <c r="X50" s="330"/>
      <c r="Y50" s="330"/>
      <c r="Z50" s="330">
        <v>1</v>
      </c>
      <c r="AA50" s="330"/>
      <c r="AB50" s="330"/>
      <c r="AC50" s="330"/>
      <c r="AD50" s="330"/>
      <c r="AE50" s="330">
        <v>1</v>
      </c>
      <c r="AF50" s="330"/>
      <c r="AG50" s="330"/>
      <c r="AH50" s="330"/>
      <c r="AI50" s="330"/>
      <c r="AJ50" s="330"/>
      <c r="AK50" s="330"/>
      <c r="AL50" s="330"/>
      <c r="AM50" s="330"/>
      <c r="AN50" s="330"/>
      <c r="AO50" s="330"/>
      <c r="AP50" s="330"/>
      <c r="AQ50" s="330"/>
      <c r="AR50" s="331"/>
    </row>
    <row r="51" spans="1:44" ht="63" customHeight="1">
      <c r="A51" s="1274" t="s">
        <v>1715</v>
      </c>
      <c r="B51" s="301" t="s">
        <v>1716</v>
      </c>
      <c r="C51" s="336">
        <v>5</v>
      </c>
      <c r="D51" s="343" t="s">
        <v>1901</v>
      </c>
      <c r="E51" s="371" t="s">
        <v>1988</v>
      </c>
      <c r="F51" s="371" t="s">
        <v>1954</v>
      </c>
      <c r="G51" s="371"/>
      <c r="H51" s="367" t="s">
        <v>2329</v>
      </c>
      <c r="I51" s="367" t="s">
        <v>2328</v>
      </c>
      <c r="J51" s="393"/>
      <c r="K51" s="371"/>
      <c r="L51" s="371"/>
      <c r="M51" s="367" t="s">
        <v>2327</v>
      </c>
      <c r="N51" s="392">
        <v>1</v>
      </c>
      <c r="O51" s="391" t="s">
        <v>2138</v>
      </c>
      <c r="P51" s="344"/>
      <c r="Q51" s="344"/>
      <c r="R51" s="344"/>
      <c r="S51" s="344"/>
      <c r="T51" s="344"/>
      <c r="U51" s="344"/>
      <c r="V51" s="344"/>
      <c r="W51" s="344"/>
      <c r="X51" s="344"/>
      <c r="Y51" s="344"/>
      <c r="Z51" s="344"/>
      <c r="AA51" s="344"/>
      <c r="AB51" s="344"/>
      <c r="AC51" s="344"/>
      <c r="AD51" s="344"/>
      <c r="AE51" s="344"/>
      <c r="AF51" s="344"/>
      <c r="AG51" s="344"/>
      <c r="AH51" s="344"/>
      <c r="AI51" s="344"/>
      <c r="AJ51" s="344"/>
      <c r="AK51" s="344"/>
      <c r="AL51" s="344"/>
      <c r="AM51" s="344"/>
      <c r="AN51" s="344">
        <v>1</v>
      </c>
      <c r="AO51" s="344"/>
      <c r="AP51" s="344"/>
      <c r="AQ51" s="344">
        <v>1</v>
      </c>
      <c r="AR51" s="345"/>
    </row>
    <row r="52" spans="1:44" ht="72" customHeight="1">
      <c r="A52" s="1274"/>
      <c r="B52" s="297" t="s">
        <v>1717</v>
      </c>
      <c r="C52" s="318">
        <v>3</v>
      </c>
      <c r="D52" s="319" t="s">
        <v>1883</v>
      </c>
      <c r="E52" s="320" t="s">
        <v>1988</v>
      </c>
      <c r="F52" s="320" t="s">
        <v>1954</v>
      </c>
      <c r="G52" s="320"/>
      <c r="H52" s="308" t="s">
        <v>2326</v>
      </c>
      <c r="I52" s="308" t="s">
        <v>2325</v>
      </c>
      <c r="J52" s="377"/>
      <c r="K52" s="320"/>
      <c r="L52" s="320"/>
      <c r="M52" s="308" t="s">
        <v>2324</v>
      </c>
      <c r="N52" s="390">
        <v>1</v>
      </c>
      <c r="O52" s="321" t="s">
        <v>2006</v>
      </c>
      <c r="P52" s="322"/>
      <c r="Q52" s="322"/>
      <c r="R52" s="322"/>
      <c r="S52" s="322"/>
      <c r="T52" s="322"/>
      <c r="U52" s="322"/>
      <c r="V52" s="322"/>
      <c r="W52" s="322"/>
      <c r="X52" s="322"/>
      <c r="Y52" s="322"/>
      <c r="Z52" s="322"/>
      <c r="AA52" s="322"/>
      <c r="AB52" s="322"/>
      <c r="AC52" s="322"/>
      <c r="AD52" s="322"/>
      <c r="AE52" s="322"/>
      <c r="AF52" s="322"/>
      <c r="AG52" s="322"/>
      <c r="AH52" s="322"/>
      <c r="AI52" s="322"/>
      <c r="AJ52" s="322"/>
      <c r="AK52" s="322"/>
      <c r="AL52" s="322"/>
      <c r="AM52" s="322"/>
      <c r="AN52" s="322"/>
      <c r="AO52" s="322"/>
      <c r="AP52" s="322"/>
      <c r="AQ52" s="322"/>
      <c r="AR52" s="323"/>
    </row>
    <row r="53" spans="1:44">
      <c r="A53" s="1274"/>
      <c r="B53" s="297" t="s">
        <v>1718</v>
      </c>
      <c r="C53" s="318">
        <v>3</v>
      </c>
      <c r="D53" s="319" t="s">
        <v>1902</v>
      </c>
      <c r="E53" s="320" t="s">
        <v>2323</v>
      </c>
      <c r="F53" s="320" t="s">
        <v>2142</v>
      </c>
      <c r="G53" s="320"/>
      <c r="H53" s="308" t="s">
        <v>2322</v>
      </c>
      <c r="I53" s="308" t="s">
        <v>2321</v>
      </c>
      <c r="J53" s="377"/>
      <c r="K53" s="320"/>
      <c r="L53" s="320"/>
      <c r="M53" s="308" t="s">
        <v>2320</v>
      </c>
      <c r="N53" s="390">
        <v>1</v>
      </c>
      <c r="O53" s="321" t="s">
        <v>2138</v>
      </c>
      <c r="P53" s="322"/>
      <c r="Q53" s="322"/>
      <c r="R53" s="322"/>
      <c r="S53" s="322"/>
      <c r="T53" s="322"/>
      <c r="U53" s="322"/>
      <c r="V53" s="322"/>
      <c r="W53" s="322"/>
      <c r="X53" s="322"/>
      <c r="Y53" s="322"/>
      <c r="Z53" s="322"/>
      <c r="AA53" s="322"/>
      <c r="AB53" s="322"/>
      <c r="AC53" s="322">
        <v>1</v>
      </c>
      <c r="AD53" s="322"/>
      <c r="AE53" s="322"/>
      <c r="AF53" s="322"/>
      <c r="AG53" s="322"/>
      <c r="AH53" s="322"/>
      <c r="AI53" s="322"/>
      <c r="AJ53" s="322"/>
      <c r="AK53" s="322"/>
      <c r="AL53" s="322"/>
      <c r="AM53" s="322"/>
      <c r="AN53" s="322">
        <v>1</v>
      </c>
      <c r="AO53" s="322"/>
      <c r="AP53" s="322"/>
      <c r="AQ53" s="322"/>
      <c r="AR53" s="323"/>
    </row>
    <row r="54" spans="1:44" ht="33.75" thickBot="1">
      <c r="A54" s="1274"/>
      <c r="B54" s="298" t="s">
        <v>1719</v>
      </c>
      <c r="C54" s="325">
        <v>3</v>
      </c>
      <c r="D54" s="326" t="s">
        <v>1319</v>
      </c>
      <c r="E54" s="388" t="s">
        <v>1988</v>
      </c>
      <c r="F54" s="388" t="s">
        <v>1954</v>
      </c>
      <c r="G54" s="388"/>
      <c r="H54" s="387" t="s">
        <v>2319</v>
      </c>
      <c r="I54" s="387" t="s">
        <v>2318</v>
      </c>
      <c r="J54" s="389"/>
      <c r="K54" s="388"/>
      <c r="L54" s="388"/>
      <c r="M54" s="387" t="s">
        <v>2317</v>
      </c>
      <c r="N54" s="386">
        <v>1</v>
      </c>
      <c r="O54" s="394" t="s">
        <v>2138</v>
      </c>
      <c r="P54" s="346"/>
      <c r="Q54" s="346"/>
      <c r="R54" s="346"/>
      <c r="S54" s="346"/>
      <c r="T54" s="346"/>
      <c r="U54" s="346"/>
      <c r="V54" s="346"/>
      <c r="W54" s="346"/>
      <c r="X54" s="346"/>
      <c r="Y54" s="346"/>
      <c r="Z54" s="346"/>
      <c r="AA54" s="346"/>
      <c r="AB54" s="346"/>
      <c r="AC54" s="346"/>
      <c r="AD54" s="346"/>
      <c r="AE54" s="346"/>
      <c r="AF54" s="346"/>
      <c r="AG54" s="346"/>
      <c r="AH54" s="346"/>
      <c r="AI54" s="346"/>
      <c r="AJ54" s="346">
        <v>1</v>
      </c>
      <c r="AK54" s="346"/>
      <c r="AL54" s="346"/>
      <c r="AM54" s="346"/>
      <c r="AN54" s="346"/>
      <c r="AO54" s="346"/>
      <c r="AP54" s="346"/>
      <c r="AQ54" s="346"/>
      <c r="AR54" s="347"/>
    </row>
    <row r="55" spans="1:44">
      <c r="A55" s="1275" t="s">
        <v>1720</v>
      </c>
      <c r="B55" s="306" t="s">
        <v>1721</v>
      </c>
      <c r="C55" s="314">
        <v>5</v>
      </c>
      <c r="D55" s="315" t="s">
        <v>1903</v>
      </c>
      <c r="E55" s="382" t="s">
        <v>2147</v>
      </c>
      <c r="F55" s="382" t="s">
        <v>1954</v>
      </c>
      <c r="G55" s="382"/>
      <c r="H55" s="381" t="s">
        <v>2312</v>
      </c>
      <c r="I55" s="381" t="s">
        <v>2316</v>
      </c>
      <c r="J55" s="383" t="s">
        <v>2315</v>
      </c>
      <c r="K55" s="382" t="s">
        <v>2314</v>
      </c>
      <c r="L55" s="397">
        <v>20</v>
      </c>
      <c r="M55" s="381" t="s">
        <v>2313</v>
      </c>
      <c r="N55" s="396"/>
      <c r="O55" s="391"/>
      <c r="P55" s="316"/>
      <c r="Q55" s="316"/>
      <c r="R55" s="316">
        <v>1</v>
      </c>
      <c r="S55" s="316"/>
      <c r="T55" s="316"/>
      <c r="U55" s="316">
        <v>1</v>
      </c>
      <c r="V55" s="316"/>
      <c r="W55" s="316"/>
      <c r="X55" s="316"/>
      <c r="Y55" s="316"/>
      <c r="Z55" s="316"/>
      <c r="AA55" s="316"/>
      <c r="AB55" s="316"/>
      <c r="AC55" s="316"/>
      <c r="AD55" s="316"/>
      <c r="AE55" s="316"/>
      <c r="AF55" s="316"/>
      <c r="AG55" s="316"/>
      <c r="AH55" s="316"/>
      <c r="AI55" s="316"/>
      <c r="AJ55" s="316"/>
      <c r="AK55" s="316"/>
      <c r="AL55" s="316"/>
      <c r="AM55" s="316"/>
      <c r="AN55" s="316"/>
      <c r="AO55" s="316"/>
      <c r="AP55" s="316"/>
      <c r="AQ55" s="316"/>
      <c r="AR55" s="317"/>
    </row>
    <row r="56" spans="1:44">
      <c r="A56" s="1276"/>
      <c r="B56" s="303" t="s">
        <v>1722</v>
      </c>
      <c r="C56" s="318">
        <v>3</v>
      </c>
      <c r="D56" s="319" t="s">
        <v>1877</v>
      </c>
      <c r="E56" s="320" t="s">
        <v>2147</v>
      </c>
      <c r="F56" s="320" t="s">
        <v>1954</v>
      </c>
      <c r="G56" s="320"/>
      <c r="H56" s="308" t="s">
        <v>2312</v>
      </c>
      <c r="I56" s="308" t="s">
        <v>2311</v>
      </c>
      <c r="J56" s="377" t="s">
        <v>2310</v>
      </c>
      <c r="K56" s="320" t="s">
        <v>2309</v>
      </c>
      <c r="L56" s="335"/>
      <c r="M56" s="308" t="s">
        <v>2308</v>
      </c>
      <c r="N56" s="390"/>
      <c r="O56" s="321"/>
      <c r="P56" s="322"/>
      <c r="Q56" s="322"/>
      <c r="R56" s="322">
        <v>1</v>
      </c>
      <c r="S56" s="322"/>
      <c r="T56" s="322"/>
      <c r="U56" s="322"/>
      <c r="V56" s="322"/>
      <c r="W56" s="322"/>
      <c r="X56" s="322"/>
      <c r="Y56" s="322"/>
      <c r="Z56" s="322"/>
      <c r="AA56" s="322"/>
      <c r="AB56" s="322"/>
      <c r="AC56" s="322"/>
      <c r="AD56" s="322"/>
      <c r="AE56" s="322"/>
      <c r="AF56" s="322"/>
      <c r="AG56" s="322"/>
      <c r="AH56" s="322"/>
      <c r="AI56" s="322"/>
      <c r="AJ56" s="322"/>
      <c r="AK56" s="322"/>
      <c r="AL56" s="322"/>
      <c r="AM56" s="322"/>
      <c r="AN56" s="322">
        <v>1</v>
      </c>
      <c r="AO56" s="322"/>
      <c r="AP56" s="322"/>
      <c r="AQ56" s="322"/>
      <c r="AR56" s="323"/>
    </row>
    <row r="57" spans="1:44" ht="33.75" thickBot="1">
      <c r="A57" s="1277"/>
      <c r="B57" s="307" t="s">
        <v>1723</v>
      </c>
      <c r="C57" s="327">
        <v>5</v>
      </c>
      <c r="D57" s="328" t="s">
        <v>1877</v>
      </c>
      <c r="E57" s="373" t="s">
        <v>2147</v>
      </c>
      <c r="F57" s="373" t="s">
        <v>1954</v>
      </c>
      <c r="G57" s="373"/>
      <c r="H57" s="372" t="s">
        <v>2307</v>
      </c>
      <c r="I57" s="372" t="s">
        <v>2306</v>
      </c>
      <c r="J57" s="373" t="s">
        <v>2305</v>
      </c>
      <c r="K57" s="373" t="s">
        <v>2304</v>
      </c>
      <c r="L57" s="372"/>
      <c r="M57" s="372" t="s">
        <v>2303</v>
      </c>
      <c r="N57" s="395"/>
      <c r="O57" s="394"/>
      <c r="P57" s="330"/>
      <c r="Q57" s="330"/>
      <c r="R57" s="330">
        <v>1</v>
      </c>
      <c r="S57" s="330"/>
      <c r="T57" s="330"/>
      <c r="U57" s="330"/>
      <c r="V57" s="330"/>
      <c r="W57" s="330"/>
      <c r="X57" s="330"/>
      <c r="Y57" s="330"/>
      <c r="Z57" s="330"/>
      <c r="AA57" s="330"/>
      <c r="AB57" s="330"/>
      <c r="AC57" s="330"/>
      <c r="AD57" s="330"/>
      <c r="AE57" s="330"/>
      <c r="AF57" s="330"/>
      <c r="AG57" s="330"/>
      <c r="AH57" s="330"/>
      <c r="AI57" s="330"/>
      <c r="AJ57" s="330"/>
      <c r="AK57" s="330"/>
      <c r="AL57" s="330"/>
      <c r="AM57" s="330"/>
      <c r="AN57" s="330">
        <v>1</v>
      </c>
      <c r="AO57" s="330"/>
      <c r="AP57" s="330"/>
      <c r="AQ57" s="330"/>
      <c r="AR57" s="331"/>
    </row>
    <row r="58" spans="1:44" ht="83.25">
      <c r="A58" s="1274" t="s">
        <v>1724</v>
      </c>
      <c r="B58" s="301" t="s">
        <v>1725</v>
      </c>
      <c r="C58" s="336">
        <v>3</v>
      </c>
      <c r="D58" s="343" t="s">
        <v>353</v>
      </c>
      <c r="E58" s="371" t="s">
        <v>1999</v>
      </c>
      <c r="F58" s="371" t="s">
        <v>2095</v>
      </c>
      <c r="G58" s="371"/>
      <c r="H58" s="367" t="s">
        <v>2302</v>
      </c>
      <c r="I58" s="367" t="s">
        <v>2301</v>
      </c>
      <c r="J58" s="393" t="s">
        <v>2300</v>
      </c>
      <c r="K58" s="371" t="s">
        <v>2299</v>
      </c>
      <c r="L58" s="371"/>
      <c r="M58" s="367" t="s">
        <v>2298</v>
      </c>
      <c r="N58" s="392"/>
      <c r="O58" s="391"/>
      <c r="P58" s="344"/>
      <c r="Q58" s="344"/>
      <c r="R58" s="344"/>
      <c r="S58" s="344"/>
      <c r="T58" s="344"/>
      <c r="U58" s="344"/>
      <c r="V58" s="344"/>
      <c r="W58" s="344"/>
      <c r="X58" s="344"/>
      <c r="Y58" s="344"/>
      <c r="Z58" s="344"/>
      <c r="AA58" s="344"/>
      <c r="AB58" s="344"/>
      <c r="AC58" s="344"/>
      <c r="AD58" s="344"/>
      <c r="AE58" s="344"/>
      <c r="AF58" s="344"/>
      <c r="AG58" s="344"/>
      <c r="AH58" s="344"/>
      <c r="AI58" s="344"/>
      <c r="AJ58" s="344"/>
      <c r="AK58" s="344"/>
      <c r="AL58" s="344"/>
      <c r="AM58" s="344"/>
      <c r="AN58" s="344"/>
      <c r="AO58" s="344"/>
      <c r="AP58" s="344"/>
      <c r="AQ58" s="344">
        <v>1</v>
      </c>
      <c r="AR58" s="345"/>
    </row>
    <row r="59" spans="1:44" ht="111">
      <c r="A59" s="1274"/>
      <c r="B59" s="297" t="s">
        <v>1726</v>
      </c>
      <c r="C59" s="318">
        <v>2</v>
      </c>
      <c r="D59" s="319" t="s">
        <v>1904</v>
      </c>
      <c r="E59" s="320" t="s">
        <v>2147</v>
      </c>
      <c r="F59" s="320" t="s">
        <v>1954</v>
      </c>
      <c r="G59" s="320"/>
      <c r="H59" s="308" t="s">
        <v>2297</v>
      </c>
      <c r="I59" s="308" t="s">
        <v>2296</v>
      </c>
      <c r="J59" s="377"/>
      <c r="K59" s="320" t="s">
        <v>2295</v>
      </c>
      <c r="L59" s="320"/>
      <c r="M59" s="308" t="s">
        <v>2294</v>
      </c>
      <c r="N59" s="390"/>
      <c r="O59" s="321"/>
      <c r="P59" s="322"/>
      <c r="Q59" s="322"/>
      <c r="R59" s="322"/>
      <c r="S59" s="322"/>
      <c r="T59" s="322"/>
      <c r="U59" s="322"/>
      <c r="V59" s="322"/>
      <c r="W59" s="322"/>
      <c r="X59" s="322"/>
      <c r="Y59" s="322"/>
      <c r="Z59" s="322"/>
      <c r="AA59" s="322"/>
      <c r="AB59" s="322">
        <v>1</v>
      </c>
      <c r="AC59" s="322"/>
      <c r="AD59" s="322">
        <v>1</v>
      </c>
      <c r="AE59" s="322"/>
      <c r="AF59" s="322"/>
      <c r="AG59" s="322">
        <v>1</v>
      </c>
      <c r="AH59" s="322">
        <v>1</v>
      </c>
      <c r="AI59" s="322">
        <v>1</v>
      </c>
      <c r="AJ59" s="322">
        <v>1</v>
      </c>
      <c r="AK59" s="322">
        <v>1</v>
      </c>
      <c r="AL59" s="322">
        <v>1</v>
      </c>
      <c r="AM59" s="322">
        <v>1</v>
      </c>
      <c r="AN59" s="322">
        <v>1</v>
      </c>
      <c r="AO59" s="322"/>
      <c r="AP59" s="322"/>
      <c r="AQ59" s="322"/>
      <c r="AR59" s="323"/>
    </row>
    <row r="60" spans="1:44" ht="28.5" customHeight="1">
      <c r="A60" s="1274"/>
      <c r="B60" s="297" t="s">
        <v>1727</v>
      </c>
      <c r="C60" s="318">
        <v>3</v>
      </c>
      <c r="D60" s="319" t="s">
        <v>353</v>
      </c>
      <c r="E60" s="320" t="s">
        <v>2219</v>
      </c>
      <c r="F60" s="320" t="s">
        <v>1984</v>
      </c>
      <c r="G60" s="320"/>
      <c r="H60" s="308" t="s">
        <v>2293</v>
      </c>
      <c r="I60" s="308" t="s">
        <v>2292</v>
      </c>
      <c r="J60" s="377"/>
      <c r="K60" s="320" t="s">
        <v>2291</v>
      </c>
      <c r="L60" s="320"/>
      <c r="M60" s="308" t="s">
        <v>2290</v>
      </c>
      <c r="N60" s="390"/>
      <c r="O60" s="321"/>
      <c r="P60" s="322"/>
      <c r="Q60" s="322"/>
      <c r="R60" s="322"/>
      <c r="S60" s="322"/>
      <c r="T60" s="322"/>
      <c r="U60" s="322"/>
      <c r="V60" s="322"/>
      <c r="W60" s="322"/>
      <c r="X60" s="322"/>
      <c r="Y60" s="322"/>
      <c r="Z60" s="322"/>
      <c r="AA60" s="322"/>
      <c r="AB60" s="322"/>
      <c r="AC60" s="322"/>
      <c r="AD60" s="322"/>
      <c r="AE60" s="322"/>
      <c r="AF60" s="322"/>
      <c r="AG60" s="322"/>
      <c r="AH60" s="322"/>
      <c r="AI60" s="322"/>
      <c r="AJ60" s="322"/>
      <c r="AK60" s="322"/>
      <c r="AL60" s="322"/>
      <c r="AM60" s="322"/>
      <c r="AN60" s="322"/>
      <c r="AO60" s="322"/>
      <c r="AP60" s="322"/>
      <c r="AQ60" s="322">
        <v>1</v>
      </c>
      <c r="AR60" s="323"/>
    </row>
    <row r="61" spans="1:44" ht="56.25" thickBot="1">
      <c r="A61" s="1274"/>
      <c r="B61" s="298" t="s">
        <v>1728</v>
      </c>
      <c r="C61" s="325">
        <v>1</v>
      </c>
      <c r="D61" s="326" t="s">
        <v>1905</v>
      </c>
      <c r="E61" s="388" t="s">
        <v>2147</v>
      </c>
      <c r="F61" s="388" t="s">
        <v>1954</v>
      </c>
      <c r="G61" s="388"/>
      <c r="H61" s="387" t="s">
        <v>2289</v>
      </c>
      <c r="I61" s="387" t="s">
        <v>2288</v>
      </c>
      <c r="J61" s="389"/>
      <c r="K61" s="388"/>
      <c r="L61" s="388"/>
      <c r="M61" s="387" t="s">
        <v>2287</v>
      </c>
      <c r="N61" s="386"/>
      <c r="O61" s="385"/>
      <c r="P61" s="346"/>
      <c r="Q61" s="346"/>
      <c r="R61" s="346"/>
      <c r="S61" s="346"/>
      <c r="T61" s="346"/>
      <c r="U61" s="346"/>
      <c r="V61" s="346"/>
      <c r="W61" s="346"/>
      <c r="X61" s="346"/>
      <c r="Y61" s="346">
        <v>1</v>
      </c>
      <c r="Z61" s="346"/>
      <c r="AA61" s="346"/>
      <c r="AB61" s="346"/>
      <c r="AC61" s="346"/>
      <c r="AD61" s="346">
        <v>1</v>
      </c>
      <c r="AE61" s="346"/>
      <c r="AF61" s="346"/>
      <c r="AG61" s="346"/>
      <c r="AH61" s="346"/>
      <c r="AI61" s="346"/>
      <c r="AJ61" s="346"/>
      <c r="AK61" s="346"/>
      <c r="AL61" s="346"/>
      <c r="AM61" s="346"/>
      <c r="AN61" s="346"/>
      <c r="AO61" s="346"/>
      <c r="AP61" s="346"/>
      <c r="AQ61" s="346"/>
      <c r="AR61" s="347"/>
    </row>
    <row r="62" spans="1:44">
      <c r="A62" s="1278" t="s">
        <v>1729</v>
      </c>
      <c r="B62" s="300" t="s">
        <v>1730</v>
      </c>
      <c r="C62" s="314">
        <v>5</v>
      </c>
      <c r="D62" s="315" t="s">
        <v>1906</v>
      </c>
      <c r="E62" s="382" t="s">
        <v>1959</v>
      </c>
      <c r="F62" s="382" t="s">
        <v>1954</v>
      </c>
      <c r="G62" s="382"/>
      <c r="H62" s="381" t="s">
        <v>2278</v>
      </c>
      <c r="I62" s="384" t="s">
        <v>2277</v>
      </c>
      <c r="J62" s="383"/>
      <c r="K62" s="382"/>
      <c r="L62" s="382"/>
      <c r="M62" s="381" t="s">
        <v>2286</v>
      </c>
      <c r="N62" s="380" t="s">
        <v>2285</v>
      </c>
      <c r="O62" s="379"/>
      <c r="P62" s="333"/>
      <c r="Q62" s="316"/>
      <c r="R62" s="316"/>
      <c r="S62" s="316"/>
      <c r="T62" s="316"/>
      <c r="U62" s="316"/>
      <c r="V62" s="316"/>
      <c r="W62" s="316"/>
      <c r="X62" s="316"/>
      <c r="Y62" s="316"/>
      <c r="Z62" s="316"/>
      <c r="AA62" s="316"/>
      <c r="AB62" s="316"/>
      <c r="AC62" s="316"/>
      <c r="AD62" s="316"/>
      <c r="AE62" s="316">
        <v>1</v>
      </c>
      <c r="AF62" s="316"/>
      <c r="AG62" s="316">
        <v>1</v>
      </c>
      <c r="AH62" s="316"/>
      <c r="AI62" s="316"/>
      <c r="AJ62" s="316"/>
      <c r="AK62" s="316"/>
      <c r="AL62" s="316"/>
      <c r="AM62" s="316"/>
      <c r="AN62" s="316">
        <v>1</v>
      </c>
      <c r="AO62" s="316"/>
      <c r="AP62" s="316"/>
      <c r="AQ62" s="316"/>
      <c r="AR62" s="317"/>
    </row>
    <row r="63" spans="1:44" ht="48">
      <c r="A63" s="1274"/>
      <c r="B63" s="297" t="s">
        <v>1731</v>
      </c>
      <c r="C63" s="318">
        <v>4</v>
      </c>
      <c r="D63" s="319" t="s">
        <v>1907</v>
      </c>
      <c r="E63" s="320" t="s">
        <v>1959</v>
      </c>
      <c r="F63" s="320" t="s">
        <v>1954</v>
      </c>
      <c r="G63" s="320"/>
      <c r="H63" s="308" t="s">
        <v>2278</v>
      </c>
      <c r="I63" s="308" t="s">
        <v>2277</v>
      </c>
      <c r="J63" s="377"/>
      <c r="K63" s="320"/>
      <c r="L63" s="320"/>
      <c r="M63" s="308" t="s">
        <v>2280</v>
      </c>
      <c r="N63" s="375" t="s">
        <v>2285</v>
      </c>
      <c r="O63" s="378"/>
      <c r="P63" s="324"/>
      <c r="Q63" s="322"/>
      <c r="R63" s="322"/>
      <c r="S63" s="322">
        <v>1</v>
      </c>
      <c r="T63" s="322"/>
      <c r="U63" s="322">
        <v>1</v>
      </c>
      <c r="V63" s="322"/>
      <c r="W63" s="322"/>
      <c r="X63" s="322"/>
      <c r="Y63" s="322"/>
      <c r="Z63" s="322"/>
      <c r="AA63" s="322"/>
      <c r="AB63" s="322"/>
      <c r="AC63" s="322"/>
      <c r="AD63" s="322"/>
      <c r="AE63" s="322">
        <v>1</v>
      </c>
      <c r="AF63" s="322"/>
      <c r="AG63" s="322"/>
      <c r="AH63" s="322"/>
      <c r="AI63" s="322"/>
      <c r="AJ63" s="322"/>
      <c r="AK63" s="322"/>
      <c r="AL63" s="322"/>
      <c r="AM63" s="322">
        <v>1</v>
      </c>
      <c r="AN63" s="322">
        <v>1</v>
      </c>
      <c r="AO63" s="322"/>
      <c r="AP63" s="322"/>
      <c r="AQ63" s="322"/>
      <c r="AR63" s="323"/>
    </row>
    <row r="64" spans="1:44">
      <c r="A64" s="1274"/>
      <c r="B64" s="297" t="s">
        <v>1732</v>
      </c>
      <c r="C64" s="318">
        <v>2</v>
      </c>
      <c r="D64" s="319" t="s">
        <v>1908</v>
      </c>
      <c r="E64" s="320" t="s">
        <v>1959</v>
      </c>
      <c r="F64" s="320" t="s">
        <v>1954</v>
      </c>
      <c r="G64" s="320"/>
      <c r="H64" s="308" t="s">
        <v>2278</v>
      </c>
      <c r="I64" s="308" t="s">
        <v>2277</v>
      </c>
      <c r="J64" s="377"/>
      <c r="K64" s="320"/>
      <c r="L64" s="320"/>
      <c r="M64" s="308" t="s">
        <v>2284</v>
      </c>
      <c r="N64" s="375" t="s">
        <v>2283</v>
      </c>
      <c r="O64" s="321"/>
      <c r="P64" s="322"/>
      <c r="Q64" s="322"/>
      <c r="R64" s="322"/>
      <c r="S64" s="322"/>
      <c r="T64" s="322"/>
      <c r="U64" s="322"/>
      <c r="V64" s="322"/>
      <c r="W64" s="322"/>
      <c r="X64" s="322"/>
      <c r="Y64" s="322"/>
      <c r="Z64" s="322"/>
      <c r="AA64" s="322"/>
      <c r="AB64" s="322"/>
      <c r="AC64" s="322"/>
      <c r="AD64" s="322"/>
      <c r="AE64" s="322"/>
      <c r="AF64" s="322"/>
      <c r="AG64" s="322"/>
      <c r="AH64" s="322"/>
      <c r="AI64" s="322">
        <v>1</v>
      </c>
      <c r="AJ64" s="322"/>
      <c r="AK64" s="322"/>
      <c r="AL64" s="322"/>
      <c r="AM64" s="322"/>
      <c r="AN64" s="322"/>
      <c r="AO64" s="322"/>
      <c r="AP64" s="322"/>
      <c r="AQ64" s="322"/>
      <c r="AR64" s="323"/>
    </row>
    <row r="65" spans="1:44">
      <c r="A65" s="1274"/>
      <c r="B65" s="297" t="s">
        <v>1733</v>
      </c>
      <c r="C65" s="318">
        <v>4</v>
      </c>
      <c r="D65" s="319" t="s">
        <v>1909</v>
      </c>
      <c r="E65" s="320" t="s">
        <v>1988</v>
      </c>
      <c r="F65" s="320" t="s">
        <v>1954</v>
      </c>
      <c r="G65" s="363"/>
      <c r="H65" s="308" t="s">
        <v>2282</v>
      </c>
      <c r="I65" s="308" t="s">
        <v>2281</v>
      </c>
      <c r="J65" s="364"/>
      <c r="K65" s="363"/>
      <c r="L65" s="363"/>
      <c r="M65" s="308" t="s">
        <v>2280</v>
      </c>
      <c r="N65" s="375" t="s">
        <v>2279</v>
      </c>
      <c r="O65" s="374"/>
      <c r="P65" s="324"/>
      <c r="Q65" s="322"/>
      <c r="R65" s="322"/>
      <c r="S65" s="322"/>
      <c r="T65" s="322"/>
      <c r="U65" s="322"/>
      <c r="V65" s="322"/>
      <c r="W65" s="322"/>
      <c r="X65" s="322"/>
      <c r="Y65" s="322"/>
      <c r="Z65" s="322"/>
      <c r="AA65" s="322"/>
      <c r="AB65" s="322"/>
      <c r="AC65" s="322"/>
      <c r="AD65" s="322"/>
      <c r="AE65" s="322"/>
      <c r="AF65" s="322"/>
      <c r="AG65" s="322"/>
      <c r="AH65" s="322"/>
      <c r="AI65" s="322"/>
      <c r="AJ65" s="322"/>
      <c r="AK65" s="322"/>
      <c r="AL65" s="322"/>
      <c r="AM65" s="322"/>
      <c r="AN65" s="322"/>
      <c r="AO65" s="322"/>
      <c r="AP65" s="322"/>
      <c r="AQ65" s="322"/>
      <c r="AR65" s="323"/>
    </row>
    <row r="66" spans="1:44" ht="48">
      <c r="A66" s="1274"/>
      <c r="B66" s="297" t="s">
        <v>1734</v>
      </c>
      <c r="C66" s="318">
        <v>3</v>
      </c>
      <c r="D66" s="319" t="s">
        <v>1910</v>
      </c>
      <c r="E66" s="320" t="s">
        <v>1959</v>
      </c>
      <c r="F66" s="320" t="s">
        <v>1954</v>
      </c>
      <c r="G66" s="363"/>
      <c r="H66" s="308" t="s">
        <v>2278</v>
      </c>
      <c r="I66" s="365" t="s">
        <v>2277</v>
      </c>
      <c r="J66" s="364"/>
      <c r="K66" s="363"/>
      <c r="L66" s="363"/>
      <c r="M66" s="376"/>
      <c r="N66" s="375" t="s">
        <v>2276</v>
      </c>
      <c r="O66" s="374"/>
      <c r="P66" s="324"/>
      <c r="Q66" s="322"/>
      <c r="R66" s="322"/>
      <c r="S66" s="322"/>
      <c r="T66" s="322"/>
      <c r="U66" s="322"/>
      <c r="V66" s="322"/>
      <c r="W66" s="322"/>
      <c r="X66" s="322"/>
      <c r="Y66" s="322"/>
      <c r="Z66" s="322"/>
      <c r="AA66" s="322"/>
      <c r="AB66" s="322"/>
      <c r="AC66" s="322"/>
      <c r="AD66" s="322"/>
      <c r="AE66" s="322">
        <v>1</v>
      </c>
      <c r="AF66" s="322"/>
      <c r="AG66" s="322">
        <v>1</v>
      </c>
      <c r="AH66" s="322">
        <v>1</v>
      </c>
      <c r="AI66" s="322">
        <v>1</v>
      </c>
      <c r="AJ66" s="322">
        <v>1</v>
      </c>
      <c r="AK66" s="322">
        <v>1</v>
      </c>
      <c r="AL66" s="322">
        <v>1</v>
      </c>
      <c r="AM66" s="322">
        <v>1</v>
      </c>
      <c r="AN66" s="322">
        <v>1</v>
      </c>
      <c r="AO66" s="322">
        <v>1</v>
      </c>
      <c r="AP66" s="322"/>
      <c r="AQ66" s="322"/>
      <c r="AR66" s="323"/>
    </row>
    <row r="67" spans="1:44">
      <c r="A67" s="1274"/>
      <c r="B67" s="298" t="s">
        <v>1735</v>
      </c>
      <c r="C67" s="320">
        <v>3</v>
      </c>
      <c r="D67" s="319" t="s">
        <v>1911</v>
      </c>
      <c r="E67" s="388" t="s">
        <v>1959</v>
      </c>
      <c r="F67" s="388" t="s">
        <v>1954</v>
      </c>
      <c r="G67" s="421"/>
      <c r="H67" s="308" t="s">
        <v>2275</v>
      </c>
      <c r="I67" s="365" t="s">
        <v>2274</v>
      </c>
      <c r="J67" s="424"/>
      <c r="K67" s="363"/>
      <c r="L67" s="421"/>
      <c r="M67" s="387" t="s">
        <v>2273</v>
      </c>
      <c r="N67" s="422" t="s">
        <v>2272</v>
      </c>
      <c r="O67" s="360"/>
      <c r="P67" s="423"/>
      <c r="Q67" s="324"/>
      <c r="R67" s="346"/>
      <c r="S67" s="346"/>
      <c r="T67" s="324"/>
      <c r="U67" s="324"/>
      <c r="V67" s="346"/>
      <c r="W67" s="324"/>
      <c r="X67" s="324"/>
      <c r="Y67" s="324"/>
      <c r="Z67" s="346"/>
      <c r="AA67" s="346"/>
      <c r="AB67" s="346"/>
      <c r="AC67" s="324"/>
      <c r="AD67" s="346"/>
      <c r="AE67" s="324">
        <v>1</v>
      </c>
      <c r="AF67" s="346"/>
      <c r="AG67" s="324">
        <v>1</v>
      </c>
      <c r="AH67" s="324">
        <v>1</v>
      </c>
      <c r="AI67" s="324">
        <v>1</v>
      </c>
      <c r="AJ67" s="346">
        <v>1</v>
      </c>
      <c r="AK67" s="346">
        <v>1</v>
      </c>
      <c r="AL67" s="324">
        <v>1</v>
      </c>
      <c r="AM67" s="346">
        <v>1</v>
      </c>
      <c r="AN67" s="346">
        <v>1</v>
      </c>
      <c r="AO67" s="324"/>
      <c r="AP67" s="346"/>
      <c r="AQ67" s="324"/>
      <c r="AR67" s="420"/>
    </row>
    <row r="68" spans="1:44" ht="48.75" thickBot="1">
      <c r="A68" s="1279"/>
      <c r="B68" s="299" t="s">
        <v>1736</v>
      </c>
      <c r="C68" s="406">
        <v>3</v>
      </c>
      <c r="D68" s="431" t="s">
        <v>1912</v>
      </c>
      <c r="E68" s="373" t="s">
        <v>1959</v>
      </c>
      <c r="F68" s="373" t="s">
        <v>1954</v>
      </c>
      <c r="G68" s="432"/>
      <c r="H68" s="405" t="s">
        <v>2271</v>
      </c>
      <c r="I68" s="433" t="s">
        <v>2270</v>
      </c>
      <c r="J68" s="434"/>
      <c r="K68" s="435"/>
      <c r="L68" s="432"/>
      <c r="M68" s="372" t="s">
        <v>2269</v>
      </c>
      <c r="N68" s="436" t="s">
        <v>2268</v>
      </c>
      <c r="O68" s="437"/>
      <c r="P68" s="329"/>
      <c r="Q68" s="438"/>
      <c r="R68" s="329"/>
      <c r="S68" s="329"/>
      <c r="T68" s="438"/>
      <c r="U68" s="438"/>
      <c r="V68" s="329"/>
      <c r="W68" s="438"/>
      <c r="X68" s="438"/>
      <c r="Y68" s="438"/>
      <c r="Z68" s="329"/>
      <c r="AA68" s="329"/>
      <c r="AB68" s="329"/>
      <c r="AC68" s="438"/>
      <c r="AD68" s="329"/>
      <c r="AE68" s="438"/>
      <c r="AF68" s="329"/>
      <c r="AG68" s="438"/>
      <c r="AH68" s="438"/>
      <c r="AI68" s="438"/>
      <c r="AJ68" s="329"/>
      <c r="AK68" s="329"/>
      <c r="AL68" s="438"/>
      <c r="AM68" s="329"/>
      <c r="AN68" s="329"/>
      <c r="AO68" s="438"/>
      <c r="AP68" s="329"/>
      <c r="AQ68" s="438"/>
      <c r="AR68" s="439"/>
    </row>
    <row r="69" spans="1:44">
      <c r="A69" s="1272" t="s">
        <v>1586</v>
      </c>
      <c r="B69" s="367" t="s">
        <v>2567</v>
      </c>
      <c r="C69" s="371">
        <v>5</v>
      </c>
      <c r="D69" s="343"/>
      <c r="E69" s="371"/>
      <c r="F69" s="371"/>
      <c r="G69" s="368"/>
      <c r="H69" s="367"/>
      <c r="I69" s="370"/>
      <c r="J69" s="369"/>
      <c r="K69" s="368"/>
      <c r="L69" s="368"/>
      <c r="M69" s="367"/>
      <c r="N69" s="429"/>
      <c r="O69" s="418"/>
      <c r="P69" s="430"/>
      <c r="Q69" s="430"/>
      <c r="R69" s="430"/>
      <c r="S69" s="430"/>
      <c r="T69" s="430"/>
      <c r="U69" s="430"/>
      <c r="V69" s="430"/>
      <c r="W69" s="430"/>
      <c r="X69" s="430"/>
      <c r="Y69" s="430"/>
      <c r="Z69" s="430"/>
      <c r="AA69" s="430"/>
      <c r="AB69" s="430"/>
      <c r="AC69" s="430"/>
      <c r="AD69" s="430"/>
      <c r="AE69" s="430"/>
      <c r="AF69" s="430"/>
      <c r="AG69" s="430"/>
      <c r="AH69" s="430"/>
      <c r="AI69" s="430"/>
      <c r="AJ69" s="430"/>
      <c r="AK69" s="430"/>
      <c r="AL69" s="430"/>
      <c r="AM69" s="430"/>
      <c r="AN69" s="430"/>
      <c r="AO69" s="430"/>
      <c r="AP69" s="430"/>
      <c r="AQ69" s="430"/>
      <c r="AR69" s="430"/>
    </row>
    <row r="70" spans="1:44">
      <c r="A70" s="1272"/>
      <c r="B70" s="308" t="s">
        <v>2568</v>
      </c>
      <c r="C70" s="320">
        <v>5</v>
      </c>
      <c r="D70" s="319"/>
      <c r="E70" s="320"/>
      <c r="F70" s="320"/>
      <c r="G70" s="363"/>
      <c r="H70" s="308"/>
      <c r="I70" s="365"/>
      <c r="J70" s="364"/>
      <c r="K70" s="363"/>
      <c r="L70" s="363"/>
      <c r="M70" s="308"/>
      <c r="N70" s="375"/>
      <c r="O70" s="360"/>
      <c r="P70" s="324"/>
      <c r="Q70" s="324"/>
      <c r="R70" s="324"/>
      <c r="S70" s="324"/>
      <c r="T70" s="324"/>
      <c r="U70" s="324"/>
      <c r="V70" s="324"/>
      <c r="W70" s="324"/>
      <c r="X70" s="324"/>
      <c r="Y70" s="324"/>
      <c r="Z70" s="324"/>
      <c r="AA70" s="324"/>
      <c r="AB70" s="324"/>
      <c r="AC70" s="324"/>
      <c r="AD70" s="324"/>
      <c r="AE70" s="324"/>
      <c r="AF70" s="324"/>
      <c r="AG70" s="324"/>
      <c r="AH70" s="324"/>
      <c r="AI70" s="324"/>
      <c r="AJ70" s="324"/>
      <c r="AK70" s="324"/>
      <c r="AL70" s="324"/>
      <c r="AM70" s="324"/>
      <c r="AN70" s="324"/>
      <c r="AO70" s="324"/>
      <c r="AP70" s="324"/>
      <c r="AQ70" s="324"/>
      <c r="AR70" s="324"/>
    </row>
    <row r="71" spans="1:44" ht="55.5">
      <c r="A71" s="1272"/>
      <c r="B71" s="367" t="s">
        <v>1737</v>
      </c>
      <c r="C71" s="371">
        <v>5</v>
      </c>
      <c r="D71" s="414"/>
      <c r="E71" s="415" t="s">
        <v>1988</v>
      </c>
      <c r="F71" s="415" t="s">
        <v>1954</v>
      </c>
      <c r="G71" s="368"/>
      <c r="H71" s="416" t="s">
        <v>2267</v>
      </c>
      <c r="I71" s="370" t="s">
        <v>2266</v>
      </c>
      <c r="J71" s="369"/>
      <c r="K71" s="368"/>
      <c r="L71" s="368"/>
      <c r="M71" s="416" t="s">
        <v>2265</v>
      </c>
      <c r="N71" s="417" t="s">
        <v>2264</v>
      </c>
      <c r="O71" s="418" t="s">
        <v>2243</v>
      </c>
      <c r="P71" s="419"/>
      <c r="Q71" s="419"/>
      <c r="R71" s="419"/>
      <c r="S71" s="419"/>
      <c r="T71" s="419"/>
      <c r="U71" s="419"/>
      <c r="V71" s="419"/>
      <c r="W71" s="419"/>
      <c r="X71" s="419"/>
      <c r="Y71" s="419"/>
      <c r="Z71" s="419"/>
      <c r="AA71" s="419"/>
      <c r="AB71" s="419"/>
      <c r="AC71" s="419"/>
      <c r="AD71" s="419"/>
      <c r="AE71" s="419"/>
      <c r="AF71" s="419"/>
      <c r="AG71" s="419"/>
      <c r="AH71" s="419"/>
      <c r="AI71" s="419"/>
      <c r="AJ71" s="419"/>
      <c r="AK71" s="419"/>
      <c r="AL71" s="419"/>
      <c r="AM71" s="419"/>
      <c r="AN71" s="419"/>
      <c r="AO71" s="419"/>
      <c r="AP71" s="419"/>
      <c r="AQ71" s="419"/>
      <c r="AR71" s="419"/>
    </row>
    <row r="72" spans="1:44" ht="96">
      <c r="A72" s="1272"/>
      <c r="B72" s="308" t="s">
        <v>1738</v>
      </c>
      <c r="C72" s="320">
        <v>3</v>
      </c>
      <c r="D72" s="348"/>
      <c r="E72" s="366" t="s">
        <v>1988</v>
      </c>
      <c r="F72" s="366" t="s">
        <v>1954</v>
      </c>
      <c r="G72" s="363"/>
      <c r="H72" s="362" t="s">
        <v>2263</v>
      </c>
      <c r="I72" s="365" t="s">
        <v>2262</v>
      </c>
      <c r="J72" s="364"/>
      <c r="K72" s="363"/>
      <c r="L72" s="363"/>
      <c r="M72" s="362" t="s">
        <v>2261</v>
      </c>
      <c r="N72" s="361" t="s">
        <v>2260</v>
      </c>
      <c r="O72" s="360" t="s">
        <v>2243</v>
      </c>
      <c r="P72" s="349"/>
      <c r="Q72" s="349"/>
      <c r="R72" s="349"/>
      <c r="S72" s="349"/>
      <c r="T72" s="349"/>
      <c r="U72" s="349"/>
      <c r="V72" s="349"/>
      <c r="W72" s="349"/>
      <c r="X72" s="349"/>
      <c r="Y72" s="349"/>
      <c r="Z72" s="349"/>
      <c r="AA72" s="349"/>
      <c r="AB72" s="349"/>
      <c r="AC72" s="349"/>
      <c r="AD72" s="349"/>
      <c r="AE72" s="349"/>
      <c r="AF72" s="349"/>
      <c r="AG72" s="349"/>
      <c r="AH72" s="349"/>
      <c r="AI72" s="349"/>
      <c r="AJ72" s="349"/>
      <c r="AK72" s="349"/>
      <c r="AL72" s="349"/>
      <c r="AM72" s="349"/>
      <c r="AN72" s="349"/>
      <c r="AO72" s="349"/>
      <c r="AP72" s="349"/>
      <c r="AQ72" s="349"/>
      <c r="AR72" s="349"/>
    </row>
    <row r="73" spans="1:44" ht="120">
      <c r="A73" s="1272"/>
      <c r="B73" s="308" t="s">
        <v>1739</v>
      </c>
      <c r="C73" s="320">
        <v>3</v>
      </c>
      <c r="D73" s="348"/>
      <c r="E73" s="366" t="s">
        <v>1988</v>
      </c>
      <c r="F73" s="366" t="s">
        <v>1954</v>
      </c>
      <c r="G73" s="363"/>
      <c r="H73" s="362" t="s">
        <v>2259</v>
      </c>
      <c r="I73" s="365" t="s">
        <v>2258</v>
      </c>
      <c r="J73" s="364"/>
      <c r="K73" s="363"/>
      <c r="L73" s="363"/>
      <c r="M73" s="362" t="s">
        <v>2257</v>
      </c>
      <c r="N73" s="361" t="s">
        <v>2256</v>
      </c>
      <c r="O73" s="360" t="s">
        <v>2243</v>
      </c>
      <c r="P73" s="349"/>
      <c r="Q73" s="349"/>
      <c r="R73" s="349"/>
      <c r="S73" s="349"/>
      <c r="T73" s="349"/>
      <c r="U73" s="349"/>
      <c r="V73" s="349"/>
      <c r="W73" s="349"/>
      <c r="X73" s="349"/>
      <c r="Y73" s="349"/>
      <c r="Z73" s="349"/>
      <c r="AA73" s="349"/>
      <c r="AB73" s="349"/>
      <c r="AC73" s="349"/>
      <c r="AD73" s="349"/>
      <c r="AE73" s="349"/>
      <c r="AF73" s="349"/>
      <c r="AG73" s="349"/>
      <c r="AH73" s="349"/>
      <c r="AI73" s="349"/>
      <c r="AJ73" s="349"/>
      <c r="AK73" s="349"/>
      <c r="AL73" s="349"/>
      <c r="AM73" s="349"/>
      <c r="AN73" s="349"/>
      <c r="AO73" s="349"/>
      <c r="AP73" s="349"/>
      <c r="AQ73" s="349"/>
      <c r="AR73" s="349"/>
    </row>
    <row r="74" spans="1:44" ht="96">
      <c r="A74" s="1272"/>
      <c r="B74" s="308" t="s">
        <v>1740</v>
      </c>
      <c r="C74" s="320">
        <v>4</v>
      </c>
      <c r="D74" s="348" t="s">
        <v>1428</v>
      </c>
      <c r="E74" s="366" t="s">
        <v>1988</v>
      </c>
      <c r="F74" s="366" t="s">
        <v>1954</v>
      </c>
      <c r="G74" s="363"/>
      <c r="H74" s="362" t="s">
        <v>2255</v>
      </c>
      <c r="I74" s="365" t="s">
        <v>2254</v>
      </c>
      <c r="J74" s="364"/>
      <c r="K74" s="363"/>
      <c r="L74" s="363"/>
      <c r="M74" s="362" t="s">
        <v>2253</v>
      </c>
      <c r="N74" s="361" t="s">
        <v>2252</v>
      </c>
      <c r="O74" s="360" t="s">
        <v>2243</v>
      </c>
      <c r="P74" s="349"/>
      <c r="Q74" s="349"/>
      <c r="R74" s="349"/>
      <c r="S74" s="349"/>
      <c r="T74" s="349"/>
      <c r="U74" s="349"/>
      <c r="V74" s="349"/>
      <c r="W74" s="349"/>
      <c r="X74" s="349"/>
      <c r="Y74" s="349"/>
      <c r="Z74" s="349"/>
      <c r="AA74" s="349"/>
      <c r="AB74" s="349">
        <v>1</v>
      </c>
      <c r="AC74" s="349"/>
      <c r="AD74" s="349"/>
      <c r="AE74" s="349"/>
      <c r="AF74" s="349"/>
      <c r="AG74" s="349"/>
      <c r="AH74" s="349"/>
      <c r="AI74" s="349"/>
      <c r="AJ74" s="349"/>
      <c r="AK74" s="349"/>
      <c r="AL74" s="349"/>
      <c r="AM74" s="349"/>
      <c r="AN74" s="349"/>
      <c r="AO74" s="349"/>
      <c r="AP74" s="349"/>
      <c r="AQ74" s="349"/>
      <c r="AR74" s="349"/>
    </row>
    <row r="75" spans="1:44" ht="55.5">
      <c r="A75" s="1272"/>
      <c r="B75" s="308" t="s">
        <v>1741</v>
      </c>
      <c r="C75" s="320">
        <v>4</v>
      </c>
      <c r="D75" s="348" t="s">
        <v>1428</v>
      </c>
      <c r="E75" s="366" t="s">
        <v>2219</v>
      </c>
      <c r="F75" s="366" t="s">
        <v>1954</v>
      </c>
      <c r="G75" s="363"/>
      <c r="H75" s="362" t="s">
        <v>2251</v>
      </c>
      <c r="I75" s="365" t="s">
        <v>2250</v>
      </c>
      <c r="J75" s="364"/>
      <c r="K75" s="363"/>
      <c r="L75" s="363"/>
      <c r="M75" s="362" t="s">
        <v>2249</v>
      </c>
      <c r="N75" s="361" t="s">
        <v>2248</v>
      </c>
      <c r="O75" s="360" t="s">
        <v>2243</v>
      </c>
      <c r="P75" s="349"/>
      <c r="Q75" s="349"/>
      <c r="R75" s="349"/>
      <c r="S75" s="349"/>
      <c r="T75" s="349"/>
      <c r="U75" s="349"/>
      <c r="V75" s="349"/>
      <c r="W75" s="349"/>
      <c r="X75" s="349"/>
      <c r="Y75" s="349"/>
      <c r="Z75" s="349"/>
      <c r="AA75" s="349"/>
      <c r="AB75" s="349">
        <v>1</v>
      </c>
      <c r="AC75" s="349"/>
      <c r="AD75" s="349"/>
      <c r="AE75" s="349"/>
      <c r="AF75" s="349"/>
      <c r="AG75" s="349"/>
      <c r="AH75" s="349"/>
      <c r="AI75" s="349"/>
      <c r="AJ75" s="349"/>
      <c r="AK75" s="349"/>
      <c r="AL75" s="349"/>
      <c r="AM75" s="349"/>
      <c r="AN75" s="349"/>
      <c r="AO75" s="349"/>
      <c r="AP75" s="349"/>
      <c r="AQ75" s="349"/>
      <c r="AR75" s="349"/>
    </row>
    <row r="76" spans="1:44" ht="48">
      <c r="A76" s="1273"/>
      <c r="B76" s="308" t="s">
        <v>1742</v>
      </c>
      <c r="C76" s="320">
        <v>5</v>
      </c>
      <c r="D76" s="348" t="s">
        <v>595</v>
      </c>
      <c r="E76" s="366" t="s">
        <v>1988</v>
      </c>
      <c r="F76" s="366" t="s">
        <v>1954</v>
      </c>
      <c r="G76" s="363"/>
      <c r="H76" s="362" t="s">
        <v>2247</v>
      </c>
      <c r="I76" s="365" t="s">
        <v>2246</v>
      </c>
      <c r="J76" s="364"/>
      <c r="K76" s="363"/>
      <c r="L76" s="363"/>
      <c r="M76" s="362" t="s">
        <v>2245</v>
      </c>
      <c r="N76" s="361" t="s">
        <v>2244</v>
      </c>
      <c r="O76" s="360" t="s">
        <v>2243</v>
      </c>
      <c r="P76" s="349"/>
      <c r="Q76" s="349"/>
      <c r="R76" s="349"/>
      <c r="S76" s="349"/>
      <c r="T76" s="349"/>
      <c r="U76" s="349"/>
      <c r="V76" s="349"/>
      <c r="W76" s="349"/>
      <c r="X76" s="349"/>
      <c r="Y76" s="349"/>
      <c r="Z76" s="349"/>
      <c r="AA76" s="349"/>
      <c r="AB76" s="349"/>
      <c r="AC76" s="349"/>
      <c r="AD76" s="349"/>
      <c r="AE76" s="349"/>
      <c r="AF76" s="349"/>
      <c r="AG76" s="349"/>
      <c r="AH76" s="349"/>
      <c r="AI76" s="349"/>
      <c r="AJ76" s="349"/>
      <c r="AK76" s="349"/>
      <c r="AL76" s="349"/>
      <c r="AM76" s="349"/>
      <c r="AN76" s="349">
        <v>1</v>
      </c>
      <c r="AO76" s="349"/>
      <c r="AP76" s="349"/>
      <c r="AQ76" s="349"/>
      <c r="AR76" s="349"/>
    </row>
    <row r="77" spans="1:44">
      <c r="A77" s="1280" t="s">
        <v>701</v>
      </c>
      <c r="B77" s="308" t="s">
        <v>1743</v>
      </c>
      <c r="C77" s="320">
        <v>5</v>
      </c>
      <c r="D77" s="348" t="s">
        <v>1913</v>
      </c>
      <c r="E77" s="366" t="s">
        <v>1959</v>
      </c>
      <c r="F77" s="366" t="s">
        <v>1954</v>
      </c>
      <c r="G77" s="363"/>
      <c r="H77" s="362" t="s">
        <v>2242</v>
      </c>
      <c r="I77" s="365" t="s">
        <v>2241</v>
      </c>
      <c r="J77" s="364"/>
      <c r="K77" s="363"/>
      <c r="L77" s="363"/>
      <c r="M77" s="362" t="s">
        <v>2240</v>
      </c>
      <c r="N77" s="361">
        <v>0.8</v>
      </c>
      <c r="O77" s="360" t="s">
        <v>2223</v>
      </c>
      <c r="P77" s="349"/>
      <c r="Q77" s="349"/>
      <c r="R77" s="349"/>
      <c r="S77" s="349"/>
      <c r="T77" s="349"/>
      <c r="U77" s="349"/>
      <c r="V77" s="349"/>
      <c r="W77" s="349"/>
      <c r="X77" s="349"/>
      <c r="Y77" s="349"/>
      <c r="Z77" s="349"/>
      <c r="AA77" s="349"/>
      <c r="AB77" s="349"/>
      <c r="AC77" s="349"/>
      <c r="AD77" s="349"/>
      <c r="AE77" s="349"/>
      <c r="AF77" s="349"/>
      <c r="AG77" s="349">
        <v>1</v>
      </c>
      <c r="AH77" s="349">
        <v>1</v>
      </c>
      <c r="AI77" s="349">
        <v>1</v>
      </c>
      <c r="AJ77" s="349">
        <v>1</v>
      </c>
      <c r="AK77" s="349">
        <v>1</v>
      </c>
      <c r="AL77" s="349">
        <v>1</v>
      </c>
      <c r="AM77" s="349">
        <v>1</v>
      </c>
      <c r="AN77" s="349">
        <v>1</v>
      </c>
      <c r="AO77" s="349"/>
      <c r="AP77" s="349"/>
      <c r="AQ77" s="349"/>
      <c r="AR77" s="349"/>
    </row>
    <row r="78" spans="1:44" ht="45" customHeight="1">
      <c r="A78" s="1281"/>
      <c r="B78" s="308" t="s">
        <v>1744</v>
      </c>
      <c r="C78" s="320">
        <v>3</v>
      </c>
      <c r="D78" s="348" t="s">
        <v>717</v>
      </c>
      <c r="E78" s="366" t="s">
        <v>1999</v>
      </c>
      <c r="F78" s="366" t="s">
        <v>2087</v>
      </c>
      <c r="G78" s="363"/>
      <c r="H78" s="362" t="s">
        <v>2239</v>
      </c>
      <c r="I78" s="365" t="s">
        <v>2238</v>
      </c>
      <c r="J78" s="364"/>
      <c r="K78" s="363"/>
      <c r="L78" s="363"/>
      <c r="M78" s="362" t="s">
        <v>2237</v>
      </c>
      <c r="N78" s="361" t="s">
        <v>2236</v>
      </c>
      <c r="O78" s="360" t="s">
        <v>2223</v>
      </c>
      <c r="P78" s="349"/>
      <c r="Q78" s="349"/>
      <c r="R78" s="349"/>
      <c r="S78" s="349"/>
      <c r="T78" s="349"/>
      <c r="U78" s="349"/>
      <c r="V78" s="349"/>
      <c r="W78" s="349"/>
      <c r="X78" s="349"/>
      <c r="Y78" s="349"/>
      <c r="Z78" s="349"/>
      <c r="AA78" s="349"/>
      <c r="AB78" s="349"/>
      <c r="AC78" s="349"/>
      <c r="AD78" s="349"/>
      <c r="AE78" s="349"/>
      <c r="AF78" s="349"/>
      <c r="AG78" s="349"/>
      <c r="AH78" s="349"/>
      <c r="AI78" s="349"/>
      <c r="AJ78" s="349"/>
      <c r="AK78" s="349"/>
      <c r="AL78" s="349"/>
      <c r="AM78" s="349"/>
      <c r="AN78" s="349"/>
      <c r="AO78" s="349"/>
      <c r="AP78" s="349"/>
      <c r="AQ78" s="349"/>
      <c r="AR78" s="349"/>
    </row>
    <row r="79" spans="1:44" ht="49.5" customHeight="1">
      <c r="A79" s="1281"/>
      <c r="B79" s="308" t="s">
        <v>1745</v>
      </c>
      <c r="C79" s="320">
        <v>4</v>
      </c>
      <c r="D79" s="348" t="s">
        <v>717</v>
      </c>
      <c r="E79" s="366" t="s">
        <v>1999</v>
      </c>
      <c r="F79" s="366" t="s">
        <v>2072</v>
      </c>
      <c r="G79" s="363"/>
      <c r="H79" s="362" t="s">
        <v>2235</v>
      </c>
      <c r="I79" s="365" t="s">
        <v>2234</v>
      </c>
      <c r="J79" s="364"/>
      <c r="K79" s="363"/>
      <c r="L79" s="363"/>
      <c r="M79" s="362" t="s">
        <v>2233</v>
      </c>
      <c r="N79" s="361" t="s">
        <v>2232</v>
      </c>
      <c r="O79" s="360" t="s">
        <v>2006</v>
      </c>
      <c r="P79" s="349"/>
      <c r="Q79" s="349"/>
      <c r="R79" s="349"/>
      <c r="S79" s="349"/>
      <c r="T79" s="349"/>
      <c r="U79" s="349"/>
      <c r="V79" s="349"/>
      <c r="W79" s="349"/>
      <c r="X79" s="349"/>
      <c r="Y79" s="349"/>
      <c r="Z79" s="349"/>
      <c r="AA79" s="349"/>
      <c r="AB79" s="349"/>
      <c r="AC79" s="349"/>
      <c r="AD79" s="349"/>
      <c r="AE79" s="349"/>
      <c r="AF79" s="349"/>
      <c r="AG79" s="349"/>
      <c r="AH79" s="349"/>
      <c r="AI79" s="349"/>
      <c r="AJ79" s="349"/>
      <c r="AK79" s="349"/>
      <c r="AL79" s="349"/>
      <c r="AM79" s="349"/>
      <c r="AN79" s="349"/>
      <c r="AO79" s="349"/>
      <c r="AP79" s="349"/>
      <c r="AQ79" s="349"/>
      <c r="AR79" s="349"/>
    </row>
    <row r="80" spans="1:44" ht="34.5">
      <c r="A80" s="1281"/>
      <c r="B80" s="308" t="s">
        <v>1746</v>
      </c>
      <c r="C80" s="320">
        <v>4</v>
      </c>
      <c r="D80" s="348" t="s">
        <v>1914</v>
      </c>
      <c r="E80" s="366" t="s">
        <v>1959</v>
      </c>
      <c r="F80" s="366" t="s">
        <v>2087</v>
      </c>
      <c r="G80" s="363"/>
      <c r="H80" s="362" t="s">
        <v>2231</v>
      </c>
      <c r="I80" s="365" t="s">
        <v>2230</v>
      </c>
      <c r="J80" s="364"/>
      <c r="K80" s="363"/>
      <c r="L80" s="363"/>
      <c r="M80" s="362" t="s">
        <v>2229</v>
      </c>
      <c r="N80" s="361" t="s">
        <v>2228</v>
      </c>
      <c r="O80" s="360" t="s">
        <v>2006</v>
      </c>
      <c r="P80" s="349">
        <v>1</v>
      </c>
      <c r="Q80" s="349"/>
      <c r="R80" s="349"/>
      <c r="S80" s="349">
        <v>1</v>
      </c>
      <c r="T80" s="349"/>
      <c r="U80" s="349">
        <v>1</v>
      </c>
      <c r="V80" s="349"/>
      <c r="W80" s="349">
        <v>1</v>
      </c>
      <c r="X80" s="349"/>
      <c r="Y80" s="349"/>
      <c r="Z80" s="349"/>
      <c r="AA80" s="349"/>
      <c r="AB80" s="349"/>
      <c r="AC80" s="349">
        <v>1</v>
      </c>
      <c r="AD80" s="349"/>
      <c r="AE80" s="349">
        <v>1</v>
      </c>
      <c r="AF80" s="349">
        <v>1</v>
      </c>
      <c r="AG80" s="349">
        <v>1</v>
      </c>
      <c r="AH80" s="349">
        <v>1</v>
      </c>
      <c r="AI80" s="349">
        <v>1</v>
      </c>
      <c r="AJ80" s="349">
        <v>1</v>
      </c>
      <c r="AK80" s="349">
        <v>1</v>
      </c>
      <c r="AL80" s="349">
        <v>1</v>
      </c>
      <c r="AM80" s="349">
        <v>1</v>
      </c>
      <c r="AN80" s="349">
        <v>1</v>
      </c>
      <c r="AO80" s="349">
        <v>1</v>
      </c>
      <c r="AP80" s="349"/>
      <c r="AQ80" s="349"/>
      <c r="AR80" s="349"/>
    </row>
    <row r="81" spans="1:44">
      <c r="A81" s="1282"/>
      <c r="B81" s="308" t="s">
        <v>1747</v>
      </c>
      <c r="C81" s="320">
        <v>5</v>
      </c>
      <c r="D81" s="348" t="s">
        <v>1915</v>
      </c>
      <c r="E81" s="366" t="s">
        <v>2147</v>
      </c>
      <c r="F81" s="366" t="s">
        <v>2072</v>
      </c>
      <c r="G81" s="363"/>
      <c r="H81" s="362" t="s">
        <v>2227</v>
      </c>
      <c r="I81" s="365" t="s">
        <v>2226</v>
      </c>
      <c r="J81" s="364"/>
      <c r="K81" s="363"/>
      <c r="L81" s="363"/>
      <c r="M81" s="362" t="s">
        <v>2225</v>
      </c>
      <c r="N81" s="361" t="s">
        <v>2224</v>
      </c>
      <c r="O81" s="360" t="s">
        <v>2223</v>
      </c>
      <c r="P81" s="349"/>
      <c r="Q81" s="349"/>
      <c r="R81" s="349"/>
      <c r="S81" s="349"/>
      <c r="T81" s="349"/>
      <c r="U81" s="349"/>
      <c r="V81" s="349"/>
      <c r="W81" s="349"/>
      <c r="X81" s="349"/>
      <c r="Y81" s="349"/>
      <c r="Z81" s="349"/>
      <c r="AA81" s="349"/>
      <c r="AB81" s="349"/>
      <c r="AC81" s="349"/>
      <c r="AD81" s="349"/>
      <c r="AE81" s="349">
        <v>1</v>
      </c>
      <c r="AF81" s="349">
        <v>1</v>
      </c>
      <c r="AG81" s="349"/>
      <c r="AH81" s="349"/>
      <c r="AI81" s="349"/>
      <c r="AJ81" s="349"/>
      <c r="AK81" s="349"/>
      <c r="AL81" s="349"/>
      <c r="AM81" s="349"/>
      <c r="AN81" s="349"/>
      <c r="AO81" s="349"/>
      <c r="AP81" s="349"/>
      <c r="AQ81" s="349"/>
      <c r="AR81" s="349"/>
    </row>
    <row r="82" spans="1:44">
      <c r="A82" s="1269" t="s">
        <v>595</v>
      </c>
      <c r="B82" s="308" t="s">
        <v>1749</v>
      </c>
      <c r="C82" s="320">
        <v>4</v>
      </c>
      <c r="D82" s="348"/>
      <c r="E82" s="366" t="s">
        <v>1988</v>
      </c>
      <c r="F82" s="366" t="s">
        <v>2217</v>
      </c>
      <c r="G82" s="363"/>
      <c r="H82" s="362"/>
      <c r="I82" s="365" t="s">
        <v>2222</v>
      </c>
      <c r="J82" s="364"/>
      <c r="K82" s="363"/>
      <c r="L82" s="363"/>
      <c r="M82" s="362"/>
      <c r="N82" s="361"/>
      <c r="O82" s="360"/>
      <c r="P82" s="349"/>
      <c r="Q82" s="349"/>
      <c r="R82" s="349"/>
      <c r="S82" s="349"/>
      <c r="T82" s="349"/>
      <c r="U82" s="349"/>
      <c r="V82" s="349"/>
      <c r="W82" s="349"/>
      <c r="X82" s="349"/>
      <c r="Y82" s="349"/>
      <c r="Z82" s="349"/>
      <c r="AA82" s="349"/>
      <c r="AB82" s="349"/>
      <c r="AC82" s="349"/>
      <c r="AD82" s="349"/>
      <c r="AE82" s="349"/>
      <c r="AF82" s="349"/>
      <c r="AG82" s="349"/>
      <c r="AH82" s="349"/>
      <c r="AI82" s="349"/>
      <c r="AJ82" s="349"/>
      <c r="AK82" s="349"/>
      <c r="AL82" s="349"/>
      <c r="AM82" s="349"/>
      <c r="AN82" s="349"/>
      <c r="AO82" s="349"/>
      <c r="AP82" s="349"/>
      <c r="AQ82" s="349"/>
      <c r="AR82" s="349"/>
    </row>
    <row r="83" spans="1:44">
      <c r="A83" s="1270"/>
      <c r="B83" s="308" t="s">
        <v>1750</v>
      </c>
      <c r="C83" s="320">
        <v>4</v>
      </c>
      <c r="D83" s="348" t="s">
        <v>652</v>
      </c>
      <c r="E83" s="366" t="s">
        <v>1988</v>
      </c>
      <c r="F83" s="366" t="s">
        <v>2217</v>
      </c>
      <c r="G83" s="363"/>
      <c r="H83" s="362"/>
      <c r="I83" s="365" t="s">
        <v>2221</v>
      </c>
      <c r="J83" s="364"/>
      <c r="K83" s="363"/>
      <c r="L83" s="363"/>
      <c r="M83" s="362"/>
      <c r="N83" s="361"/>
      <c r="O83" s="360"/>
      <c r="P83" s="349"/>
      <c r="Q83" s="349"/>
      <c r="R83" s="349">
        <v>1</v>
      </c>
      <c r="S83" s="349"/>
      <c r="T83" s="349"/>
      <c r="U83" s="349"/>
      <c r="V83" s="349"/>
      <c r="W83" s="349"/>
      <c r="X83" s="349"/>
      <c r="Y83" s="349"/>
      <c r="Z83" s="349"/>
      <c r="AA83" s="349"/>
      <c r="AB83" s="349"/>
      <c r="AC83" s="349"/>
      <c r="AD83" s="349"/>
      <c r="AE83" s="349"/>
      <c r="AF83" s="349"/>
      <c r="AG83" s="349"/>
      <c r="AH83" s="349"/>
      <c r="AI83" s="349"/>
      <c r="AJ83" s="349"/>
      <c r="AK83" s="349"/>
      <c r="AL83" s="349"/>
      <c r="AM83" s="349"/>
      <c r="AN83" s="349"/>
      <c r="AO83" s="349"/>
      <c r="AP83" s="349"/>
      <c r="AQ83" s="349"/>
      <c r="AR83" s="349"/>
    </row>
    <row r="84" spans="1:44">
      <c r="A84" s="1270"/>
      <c r="B84" s="308" t="s">
        <v>1751</v>
      </c>
      <c r="C84" s="320">
        <v>4</v>
      </c>
      <c r="D84" s="348"/>
      <c r="E84" s="366" t="s">
        <v>1988</v>
      </c>
      <c r="F84" s="366" t="s">
        <v>2217</v>
      </c>
      <c r="G84" s="363"/>
      <c r="H84" s="362"/>
      <c r="I84" s="365" t="s">
        <v>2220</v>
      </c>
      <c r="J84" s="364"/>
      <c r="K84" s="363"/>
      <c r="L84" s="363"/>
      <c r="M84" s="362"/>
      <c r="N84" s="361"/>
      <c r="O84" s="360"/>
      <c r="P84" s="349"/>
      <c r="Q84" s="349"/>
      <c r="R84" s="349"/>
      <c r="S84" s="349"/>
      <c r="T84" s="349"/>
      <c r="U84" s="349"/>
      <c r="V84" s="349"/>
      <c r="W84" s="349"/>
      <c r="X84" s="349"/>
      <c r="Y84" s="349"/>
      <c r="Z84" s="349"/>
      <c r="AA84" s="349"/>
      <c r="AB84" s="349"/>
      <c r="AC84" s="349"/>
      <c r="AD84" s="349"/>
      <c r="AE84" s="349"/>
      <c r="AF84" s="349"/>
      <c r="AG84" s="349"/>
      <c r="AH84" s="349"/>
      <c r="AI84" s="349"/>
      <c r="AJ84" s="349"/>
      <c r="AK84" s="349"/>
      <c r="AL84" s="349"/>
      <c r="AM84" s="349"/>
      <c r="AN84" s="349"/>
      <c r="AO84" s="349"/>
      <c r="AP84" s="349"/>
      <c r="AQ84" s="349"/>
      <c r="AR84" s="349"/>
    </row>
    <row r="85" spans="1:44">
      <c r="A85" s="1270"/>
      <c r="B85" s="308" t="s">
        <v>1752</v>
      </c>
      <c r="C85" s="320">
        <v>4</v>
      </c>
      <c r="D85" s="348" t="s">
        <v>106</v>
      </c>
      <c r="E85" s="366" t="s">
        <v>1988</v>
      </c>
      <c r="F85" s="366" t="s">
        <v>2219</v>
      </c>
      <c r="G85" s="363"/>
      <c r="H85" s="362"/>
      <c r="I85" s="365" t="s">
        <v>2218</v>
      </c>
      <c r="J85" s="364"/>
      <c r="K85" s="363"/>
      <c r="L85" s="363"/>
      <c r="M85" s="362"/>
      <c r="N85" s="361"/>
      <c r="O85" s="360"/>
      <c r="P85" s="349"/>
      <c r="Q85" s="349"/>
      <c r="R85" s="349"/>
      <c r="S85" s="349"/>
      <c r="T85" s="349"/>
      <c r="U85" s="349"/>
      <c r="V85" s="349"/>
      <c r="W85" s="349"/>
      <c r="X85" s="349"/>
      <c r="Y85" s="349"/>
      <c r="Z85" s="349"/>
      <c r="AA85" s="349">
        <v>1</v>
      </c>
      <c r="AB85" s="349"/>
      <c r="AC85" s="349"/>
      <c r="AD85" s="349"/>
      <c r="AE85" s="349"/>
      <c r="AF85" s="349"/>
      <c r="AG85" s="349"/>
      <c r="AH85" s="349"/>
      <c r="AI85" s="349"/>
      <c r="AJ85" s="349"/>
      <c r="AK85" s="349"/>
      <c r="AL85" s="349"/>
      <c r="AM85" s="349"/>
      <c r="AN85" s="349"/>
      <c r="AO85" s="349"/>
      <c r="AP85" s="349"/>
      <c r="AQ85" s="349"/>
      <c r="AR85" s="349"/>
    </row>
    <row r="86" spans="1:44">
      <c r="A86" s="1270"/>
      <c r="B86" s="308" t="s">
        <v>1753</v>
      </c>
      <c r="C86" s="320">
        <v>3</v>
      </c>
      <c r="D86" s="348" t="s">
        <v>259</v>
      </c>
      <c r="E86" s="366" t="s">
        <v>1988</v>
      </c>
      <c r="F86" s="366" t="s">
        <v>2217</v>
      </c>
      <c r="G86" s="363"/>
      <c r="H86" s="362"/>
      <c r="I86" s="365" t="s">
        <v>2216</v>
      </c>
      <c r="J86" s="364"/>
      <c r="K86" s="363"/>
      <c r="L86" s="363"/>
      <c r="M86" s="362"/>
      <c r="N86" s="361"/>
      <c r="O86" s="360"/>
      <c r="P86" s="349"/>
      <c r="Q86" s="349"/>
      <c r="R86" s="349"/>
      <c r="S86" s="349"/>
      <c r="T86" s="349"/>
      <c r="U86" s="349"/>
      <c r="V86" s="349"/>
      <c r="W86" s="349"/>
      <c r="X86" s="349"/>
      <c r="Y86" s="349"/>
      <c r="Z86" s="349"/>
      <c r="AA86" s="349"/>
      <c r="AB86" s="349"/>
      <c r="AC86" s="349"/>
      <c r="AD86" s="349"/>
      <c r="AE86" s="349"/>
      <c r="AF86" s="349"/>
      <c r="AG86" s="349">
        <v>1</v>
      </c>
      <c r="AH86" s="349">
        <v>1</v>
      </c>
      <c r="AI86" s="349">
        <v>1</v>
      </c>
      <c r="AJ86" s="349">
        <v>1</v>
      </c>
      <c r="AK86" s="349">
        <v>1</v>
      </c>
      <c r="AL86" s="349">
        <v>1</v>
      </c>
      <c r="AM86" s="349">
        <v>1</v>
      </c>
      <c r="AN86" s="349"/>
      <c r="AO86" s="349"/>
      <c r="AP86" s="349"/>
      <c r="AQ86" s="349"/>
      <c r="AR86" s="349"/>
    </row>
    <row r="87" spans="1:44">
      <c r="A87" s="1270"/>
      <c r="B87" s="308" t="s">
        <v>2215</v>
      </c>
      <c r="C87" s="320">
        <v>5</v>
      </c>
      <c r="D87" s="348"/>
      <c r="E87" s="366" t="s">
        <v>1988</v>
      </c>
      <c r="F87" s="366" t="s">
        <v>2072</v>
      </c>
      <c r="G87" s="363"/>
      <c r="H87" s="365" t="s">
        <v>2492</v>
      </c>
      <c r="I87" s="365" t="s">
        <v>2493</v>
      </c>
      <c r="J87" s="364"/>
      <c r="K87" s="363"/>
      <c r="L87" s="363"/>
      <c r="M87" s="362"/>
      <c r="N87" s="361"/>
      <c r="O87" s="360"/>
      <c r="P87" s="349"/>
      <c r="Q87" s="349"/>
      <c r="R87" s="349"/>
      <c r="S87" s="349"/>
      <c r="T87" s="349"/>
      <c r="U87" s="349"/>
      <c r="V87" s="349"/>
      <c r="W87" s="349"/>
      <c r="X87" s="349"/>
      <c r="Y87" s="349"/>
      <c r="Z87" s="349"/>
      <c r="AA87" s="349"/>
      <c r="AB87" s="349"/>
      <c r="AC87" s="349"/>
      <c r="AD87" s="349"/>
      <c r="AE87" s="349"/>
      <c r="AF87" s="349"/>
      <c r="AG87" s="349"/>
      <c r="AH87" s="349"/>
      <c r="AI87" s="349"/>
      <c r="AJ87" s="349"/>
      <c r="AK87" s="349"/>
      <c r="AL87" s="349"/>
      <c r="AM87" s="349"/>
      <c r="AN87" s="349"/>
      <c r="AO87" s="349"/>
      <c r="AP87" s="349"/>
      <c r="AQ87" s="349"/>
      <c r="AR87" s="349"/>
    </row>
    <row r="88" spans="1:44">
      <c r="A88" s="1271"/>
      <c r="B88" s="308" t="s">
        <v>2214</v>
      </c>
      <c r="C88" s="320">
        <v>4</v>
      </c>
      <c r="D88" s="348" t="s">
        <v>801</v>
      </c>
      <c r="E88" s="366" t="s">
        <v>1980</v>
      </c>
      <c r="F88" s="366" t="s">
        <v>2494</v>
      </c>
      <c r="G88" s="363"/>
      <c r="H88" s="362"/>
      <c r="I88" s="365" t="s">
        <v>2221</v>
      </c>
      <c r="J88" s="364"/>
      <c r="K88" s="363"/>
      <c r="L88" s="363"/>
      <c r="M88" s="362"/>
      <c r="N88" s="361"/>
      <c r="O88" s="360"/>
      <c r="P88" s="349"/>
      <c r="Q88" s="349"/>
      <c r="R88" s="349"/>
      <c r="S88" s="349"/>
      <c r="T88" s="349"/>
      <c r="U88" s="349"/>
      <c r="V88" s="349"/>
      <c r="W88" s="349"/>
      <c r="X88" s="349"/>
      <c r="Y88" s="349"/>
      <c r="Z88" s="349"/>
      <c r="AA88" s="349"/>
      <c r="AB88" s="349"/>
      <c r="AC88" s="349"/>
      <c r="AD88" s="349"/>
      <c r="AE88" s="349"/>
      <c r="AF88" s="349"/>
      <c r="AG88" s="349"/>
      <c r="AH88" s="349"/>
      <c r="AI88" s="349"/>
      <c r="AJ88" s="349"/>
      <c r="AK88" s="349"/>
      <c r="AL88" s="349"/>
      <c r="AM88" s="349"/>
      <c r="AN88" s="349"/>
      <c r="AO88" s="349"/>
      <c r="AP88" s="349"/>
      <c r="AQ88" s="349"/>
      <c r="AR88" s="349"/>
    </row>
    <row r="89" spans="1:44">
      <c r="A89" s="1280" t="s">
        <v>1754</v>
      </c>
      <c r="B89" s="308" t="s">
        <v>1755</v>
      </c>
      <c r="C89" s="320">
        <v>5</v>
      </c>
      <c r="D89" s="348" t="s">
        <v>614</v>
      </c>
      <c r="E89" s="366" t="s">
        <v>1988</v>
      </c>
      <c r="F89" s="366" t="s">
        <v>1954</v>
      </c>
      <c r="G89" s="363"/>
      <c r="H89" s="362" t="s">
        <v>2213</v>
      </c>
      <c r="I89" s="365" t="s">
        <v>2212</v>
      </c>
      <c r="J89" s="364"/>
      <c r="K89" s="363"/>
      <c r="L89" s="363"/>
      <c r="M89" s="362" t="s">
        <v>2211</v>
      </c>
      <c r="N89" s="361">
        <v>0.3</v>
      </c>
      <c r="O89" s="360" t="s">
        <v>2138</v>
      </c>
      <c r="P89" s="349"/>
      <c r="Q89" s="349">
        <v>1</v>
      </c>
      <c r="R89" s="349"/>
      <c r="S89" s="349"/>
      <c r="T89" s="349"/>
      <c r="U89" s="349"/>
      <c r="V89" s="349"/>
      <c r="W89" s="349"/>
      <c r="X89" s="349"/>
      <c r="Y89" s="349"/>
      <c r="Z89" s="349"/>
      <c r="AA89" s="349"/>
      <c r="AB89" s="349"/>
      <c r="AC89" s="349"/>
      <c r="AD89" s="349"/>
      <c r="AE89" s="349"/>
      <c r="AF89" s="349"/>
      <c r="AG89" s="349"/>
      <c r="AH89" s="349"/>
      <c r="AI89" s="349"/>
      <c r="AJ89" s="349"/>
      <c r="AK89" s="349"/>
      <c r="AL89" s="349"/>
      <c r="AM89" s="349"/>
      <c r="AN89" s="349"/>
      <c r="AO89" s="349"/>
      <c r="AP89" s="349"/>
      <c r="AQ89" s="349"/>
      <c r="AR89" s="349"/>
    </row>
    <row r="90" spans="1:44">
      <c r="A90" s="1281"/>
      <c r="B90" s="308" t="s">
        <v>1756</v>
      </c>
      <c r="C90" s="320">
        <v>5</v>
      </c>
      <c r="D90" s="348" t="s">
        <v>1916</v>
      </c>
      <c r="E90" s="366" t="s">
        <v>1988</v>
      </c>
      <c r="F90" s="366" t="s">
        <v>1954</v>
      </c>
      <c r="G90" s="363"/>
      <c r="H90" s="362" t="s">
        <v>2210</v>
      </c>
      <c r="I90" s="365" t="s">
        <v>2209</v>
      </c>
      <c r="J90" s="364"/>
      <c r="K90" s="363"/>
      <c r="L90" s="363"/>
      <c r="M90" s="362" t="s">
        <v>2208</v>
      </c>
      <c r="N90" s="361">
        <v>0.3</v>
      </c>
      <c r="O90" s="360" t="s">
        <v>2138</v>
      </c>
      <c r="P90" s="349"/>
      <c r="Q90" s="349">
        <v>1</v>
      </c>
      <c r="R90" s="349"/>
      <c r="S90" s="349"/>
      <c r="T90" s="349"/>
      <c r="U90" s="349"/>
      <c r="V90" s="349"/>
      <c r="W90" s="349"/>
      <c r="X90" s="349"/>
      <c r="Y90" s="349"/>
      <c r="Z90" s="349"/>
      <c r="AA90" s="349"/>
      <c r="AB90" s="349"/>
      <c r="AC90" s="349">
        <v>1</v>
      </c>
      <c r="AD90" s="349"/>
      <c r="AE90" s="349"/>
      <c r="AF90" s="349"/>
      <c r="AG90" s="349"/>
      <c r="AH90" s="349"/>
      <c r="AI90" s="349"/>
      <c r="AJ90" s="349"/>
      <c r="AK90" s="349"/>
      <c r="AL90" s="349"/>
      <c r="AM90" s="349"/>
      <c r="AN90" s="349"/>
      <c r="AO90" s="349"/>
      <c r="AP90" s="349"/>
      <c r="AQ90" s="349"/>
      <c r="AR90" s="349"/>
    </row>
    <row r="91" spans="1:44">
      <c r="A91" s="1282"/>
      <c r="B91" s="308" t="s">
        <v>1757</v>
      </c>
      <c r="C91" s="320">
        <v>5</v>
      </c>
      <c r="D91" s="348" t="s">
        <v>1917</v>
      </c>
      <c r="E91" s="366" t="s">
        <v>1988</v>
      </c>
      <c r="F91" s="366" t="s">
        <v>1954</v>
      </c>
      <c r="G91" s="363"/>
      <c r="H91" s="362" t="s">
        <v>2190</v>
      </c>
      <c r="I91" s="365" t="s">
        <v>2207</v>
      </c>
      <c r="J91" s="364"/>
      <c r="K91" s="363"/>
      <c r="L91" s="363"/>
      <c r="M91" s="362" t="s">
        <v>2206</v>
      </c>
      <c r="N91" s="361">
        <v>0.15</v>
      </c>
      <c r="O91" s="360" t="s">
        <v>2138</v>
      </c>
      <c r="P91" s="349"/>
      <c r="Q91" s="349"/>
      <c r="R91" s="349"/>
      <c r="S91" s="349"/>
      <c r="T91" s="349"/>
      <c r="U91" s="349"/>
      <c r="V91" s="349"/>
      <c r="W91" s="349"/>
      <c r="X91" s="349"/>
      <c r="Y91" s="349"/>
      <c r="Z91" s="349"/>
      <c r="AA91" s="349"/>
      <c r="AB91" s="349"/>
      <c r="AC91" s="349">
        <v>1</v>
      </c>
      <c r="AD91" s="349"/>
      <c r="AE91" s="349"/>
      <c r="AF91" s="349"/>
      <c r="AG91" s="349">
        <v>1</v>
      </c>
      <c r="AH91" s="349">
        <v>1</v>
      </c>
      <c r="AI91" s="349">
        <v>1</v>
      </c>
      <c r="AJ91" s="349">
        <v>1</v>
      </c>
      <c r="AK91" s="349">
        <v>1</v>
      </c>
      <c r="AL91" s="349">
        <v>1</v>
      </c>
      <c r="AM91" s="349">
        <v>1</v>
      </c>
      <c r="AN91" s="349">
        <v>1</v>
      </c>
      <c r="AO91" s="349"/>
      <c r="AP91" s="349"/>
      <c r="AQ91" s="349"/>
      <c r="AR91" s="349"/>
    </row>
    <row r="92" spans="1:44">
      <c r="A92" s="1280" t="s">
        <v>775</v>
      </c>
      <c r="B92" s="308" t="s">
        <v>1758</v>
      </c>
      <c r="C92" s="320">
        <v>5</v>
      </c>
      <c r="D92" s="348" t="s">
        <v>1918</v>
      </c>
      <c r="E92" s="366" t="s">
        <v>1959</v>
      </c>
      <c r="F92" s="366" t="s">
        <v>1954</v>
      </c>
      <c r="G92" s="363"/>
      <c r="H92" s="362" t="s">
        <v>2190</v>
      </c>
      <c r="I92" s="365" t="s">
        <v>2205</v>
      </c>
      <c r="J92" s="364"/>
      <c r="K92" s="363"/>
      <c r="L92" s="363"/>
      <c r="M92" s="362" t="s">
        <v>2204</v>
      </c>
      <c r="N92" s="361">
        <v>0.6</v>
      </c>
      <c r="O92" s="360" t="s">
        <v>2159</v>
      </c>
      <c r="P92" s="349"/>
      <c r="Q92" s="349"/>
      <c r="R92" s="349"/>
      <c r="S92" s="349"/>
      <c r="T92" s="349"/>
      <c r="U92" s="349"/>
      <c r="V92" s="349"/>
      <c r="W92" s="349"/>
      <c r="X92" s="349"/>
      <c r="Y92" s="349"/>
      <c r="Z92" s="349"/>
      <c r="AA92" s="349"/>
      <c r="AB92" s="349"/>
      <c r="AC92" s="349"/>
      <c r="AD92" s="349"/>
      <c r="AE92" s="349"/>
      <c r="AF92" s="349"/>
      <c r="AG92" s="349"/>
      <c r="AH92" s="349"/>
      <c r="AI92" s="349"/>
      <c r="AJ92" s="349"/>
      <c r="AK92" s="349"/>
      <c r="AL92" s="349"/>
      <c r="AM92" s="349"/>
      <c r="AN92" s="349"/>
      <c r="AO92" s="349"/>
      <c r="AP92" s="349"/>
      <c r="AQ92" s="349"/>
      <c r="AR92" s="349"/>
    </row>
    <row r="93" spans="1:44" ht="55.5">
      <c r="A93" s="1281"/>
      <c r="B93" s="308" t="s">
        <v>1759</v>
      </c>
      <c r="C93" s="320">
        <v>5</v>
      </c>
      <c r="D93" s="348" t="s">
        <v>1919</v>
      </c>
      <c r="E93" s="366" t="s">
        <v>2147</v>
      </c>
      <c r="F93" s="366" t="s">
        <v>2142</v>
      </c>
      <c r="G93" s="363"/>
      <c r="H93" s="362" t="s">
        <v>2190</v>
      </c>
      <c r="I93" s="365" t="s">
        <v>2203</v>
      </c>
      <c r="J93" s="364"/>
      <c r="K93" s="363"/>
      <c r="L93" s="363"/>
      <c r="M93" s="362" t="s">
        <v>2202</v>
      </c>
      <c r="N93" s="361">
        <v>1</v>
      </c>
      <c r="O93" s="360" t="s">
        <v>2159</v>
      </c>
      <c r="P93" s="349"/>
      <c r="Q93" s="349"/>
      <c r="R93" s="349"/>
      <c r="S93" s="349">
        <v>1</v>
      </c>
      <c r="T93" s="349"/>
      <c r="U93" s="349"/>
      <c r="V93" s="349"/>
      <c r="W93" s="349"/>
      <c r="X93" s="349"/>
      <c r="Y93" s="349"/>
      <c r="Z93" s="349"/>
      <c r="AA93" s="349"/>
      <c r="AB93" s="349"/>
      <c r="AC93" s="349"/>
      <c r="AD93" s="349"/>
      <c r="AE93" s="349"/>
      <c r="AF93" s="349"/>
      <c r="AG93" s="349">
        <v>1</v>
      </c>
      <c r="AH93" s="349">
        <v>1</v>
      </c>
      <c r="AI93" s="349">
        <v>1</v>
      </c>
      <c r="AJ93" s="349">
        <v>1</v>
      </c>
      <c r="AK93" s="349">
        <v>1</v>
      </c>
      <c r="AL93" s="349">
        <v>1</v>
      </c>
      <c r="AM93" s="349">
        <v>1</v>
      </c>
      <c r="AN93" s="349"/>
      <c r="AO93" s="349"/>
      <c r="AP93" s="349"/>
      <c r="AQ93" s="349"/>
      <c r="AR93" s="349"/>
    </row>
    <row r="94" spans="1:44">
      <c r="A94" s="1281"/>
      <c r="B94" s="308" t="s">
        <v>1760</v>
      </c>
      <c r="C94" s="320">
        <v>5</v>
      </c>
      <c r="D94" s="348" t="s">
        <v>1920</v>
      </c>
      <c r="E94" s="366" t="s">
        <v>1959</v>
      </c>
      <c r="F94" s="366" t="s">
        <v>2081</v>
      </c>
      <c r="G94" s="363"/>
      <c r="H94" s="362" t="s">
        <v>2190</v>
      </c>
      <c r="I94" s="365" t="s">
        <v>2201</v>
      </c>
      <c r="J94" s="364"/>
      <c r="K94" s="363"/>
      <c r="L94" s="363"/>
      <c r="M94" s="362" t="s">
        <v>2200</v>
      </c>
      <c r="N94" s="361" t="s">
        <v>2199</v>
      </c>
      <c r="O94" s="360" t="s">
        <v>2195</v>
      </c>
      <c r="P94" s="349"/>
      <c r="Q94" s="349"/>
      <c r="R94" s="349"/>
      <c r="S94" s="349">
        <v>1</v>
      </c>
      <c r="T94" s="349"/>
      <c r="U94" s="349"/>
      <c r="V94" s="349"/>
      <c r="W94" s="349"/>
      <c r="X94" s="349"/>
      <c r="Y94" s="349"/>
      <c r="Z94" s="349"/>
      <c r="AA94" s="349"/>
      <c r="AB94" s="349"/>
      <c r="AC94" s="349"/>
      <c r="AD94" s="349"/>
      <c r="AE94" s="349"/>
      <c r="AF94" s="349"/>
      <c r="AG94" s="349">
        <v>1</v>
      </c>
      <c r="AH94" s="349">
        <v>1</v>
      </c>
      <c r="AI94" s="349">
        <v>1</v>
      </c>
      <c r="AJ94" s="349">
        <v>1</v>
      </c>
      <c r="AK94" s="349">
        <v>1</v>
      </c>
      <c r="AL94" s="349">
        <v>1</v>
      </c>
      <c r="AM94" s="349">
        <v>1</v>
      </c>
      <c r="AN94" s="349"/>
      <c r="AO94" s="349">
        <v>1</v>
      </c>
      <c r="AP94" s="349"/>
      <c r="AQ94" s="349"/>
      <c r="AR94" s="349"/>
    </row>
    <row r="95" spans="1:44">
      <c r="A95" s="1281"/>
      <c r="B95" s="308" t="s">
        <v>1761</v>
      </c>
      <c r="C95" s="320">
        <v>5</v>
      </c>
      <c r="D95" s="348" t="s">
        <v>1921</v>
      </c>
      <c r="E95" s="366" t="s">
        <v>1959</v>
      </c>
      <c r="F95" s="366" t="s">
        <v>1984</v>
      </c>
      <c r="G95" s="363"/>
      <c r="H95" s="362" t="s">
        <v>2190</v>
      </c>
      <c r="I95" s="365" t="s">
        <v>2198</v>
      </c>
      <c r="J95" s="364"/>
      <c r="K95" s="363"/>
      <c r="L95" s="363"/>
      <c r="M95" s="362" t="s">
        <v>2197</v>
      </c>
      <c r="N95" s="361" t="s">
        <v>2196</v>
      </c>
      <c r="O95" s="360" t="s">
        <v>2195</v>
      </c>
      <c r="P95" s="349"/>
      <c r="Q95" s="349"/>
      <c r="R95" s="349"/>
      <c r="S95" s="349"/>
      <c r="T95" s="349"/>
      <c r="U95" s="349"/>
      <c r="V95" s="349"/>
      <c r="W95" s="349"/>
      <c r="X95" s="349"/>
      <c r="Y95" s="349"/>
      <c r="Z95" s="349"/>
      <c r="AA95" s="349"/>
      <c r="AB95" s="349"/>
      <c r="AC95" s="349"/>
      <c r="AD95" s="349"/>
      <c r="AE95" s="349"/>
      <c r="AF95" s="349"/>
      <c r="AG95" s="349"/>
      <c r="AH95" s="349"/>
      <c r="AI95" s="349"/>
      <c r="AJ95" s="349">
        <v>1</v>
      </c>
      <c r="AK95" s="349"/>
      <c r="AL95" s="349"/>
      <c r="AM95" s="349"/>
      <c r="AN95" s="349">
        <v>1</v>
      </c>
      <c r="AO95" s="349"/>
      <c r="AP95" s="349"/>
      <c r="AQ95" s="349"/>
      <c r="AR95" s="349"/>
    </row>
    <row r="96" spans="1:44" ht="55.5">
      <c r="A96" s="1281"/>
      <c r="B96" s="308" t="s">
        <v>1762</v>
      </c>
      <c r="C96" s="320">
        <v>5</v>
      </c>
      <c r="D96" s="348" t="s">
        <v>2194</v>
      </c>
      <c r="E96" s="366" t="s">
        <v>1959</v>
      </c>
      <c r="F96" s="366" t="s">
        <v>1954</v>
      </c>
      <c r="G96" s="363"/>
      <c r="H96" s="362" t="s">
        <v>2193</v>
      </c>
      <c r="I96" s="365" t="s">
        <v>2192</v>
      </c>
      <c r="J96" s="364"/>
      <c r="K96" s="363"/>
      <c r="L96" s="363"/>
      <c r="M96" s="362" t="s">
        <v>2191</v>
      </c>
      <c r="N96" s="361">
        <v>0.5</v>
      </c>
      <c r="O96" s="360"/>
      <c r="P96" s="349"/>
      <c r="Q96" s="349"/>
      <c r="R96" s="349"/>
      <c r="S96" s="349"/>
      <c r="T96" s="349"/>
      <c r="U96" s="349"/>
      <c r="V96" s="349"/>
      <c r="W96" s="349"/>
      <c r="X96" s="349"/>
      <c r="Y96" s="349"/>
      <c r="Z96" s="349"/>
      <c r="AA96" s="349"/>
      <c r="AB96" s="349"/>
      <c r="AC96" s="349"/>
      <c r="AD96" s="349"/>
      <c r="AE96" s="349"/>
      <c r="AF96" s="349"/>
      <c r="AG96" s="349"/>
      <c r="AH96" s="349"/>
      <c r="AI96" s="349"/>
      <c r="AJ96" s="349"/>
      <c r="AK96" s="349"/>
      <c r="AL96" s="349"/>
      <c r="AM96" s="349">
        <v>1</v>
      </c>
      <c r="AN96" s="349">
        <v>1</v>
      </c>
      <c r="AO96" s="349"/>
      <c r="AP96" s="349"/>
      <c r="AQ96" s="349"/>
      <c r="AR96" s="349"/>
    </row>
    <row r="97" spans="1:44">
      <c r="A97" s="1282"/>
      <c r="B97" s="308" t="s">
        <v>1763</v>
      </c>
      <c r="C97" s="320">
        <v>5</v>
      </c>
      <c r="D97" s="348" t="s">
        <v>1922</v>
      </c>
      <c r="E97" s="366" t="s">
        <v>1988</v>
      </c>
      <c r="F97" s="366" t="s">
        <v>1954</v>
      </c>
      <c r="G97" s="363"/>
      <c r="H97" s="362" t="s">
        <v>2190</v>
      </c>
      <c r="I97" s="365" t="s">
        <v>2189</v>
      </c>
      <c r="J97" s="364"/>
      <c r="K97" s="363"/>
      <c r="L97" s="363"/>
      <c r="M97" s="362" t="s">
        <v>2188</v>
      </c>
      <c r="N97" s="361">
        <v>1</v>
      </c>
      <c r="O97" s="360" t="s">
        <v>2159</v>
      </c>
      <c r="P97" s="349"/>
      <c r="Q97" s="349"/>
      <c r="R97" s="349"/>
      <c r="S97" s="349"/>
      <c r="T97" s="349"/>
      <c r="U97" s="349"/>
      <c r="V97" s="349"/>
      <c r="W97" s="349"/>
      <c r="X97" s="349"/>
      <c r="Y97" s="349"/>
      <c r="Z97" s="349"/>
      <c r="AA97" s="349"/>
      <c r="AB97" s="349"/>
      <c r="AC97" s="349"/>
      <c r="AD97" s="349"/>
      <c r="AE97" s="349"/>
      <c r="AF97" s="349"/>
      <c r="AG97" s="349"/>
      <c r="AH97" s="349"/>
      <c r="AI97" s="349"/>
      <c r="AJ97" s="349"/>
      <c r="AK97" s="349"/>
      <c r="AL97" s="349"/>
      <c r="AM97" s="349"/>
      <c r="AN97" s="349"/>
      <c r="AO97" s="349"/>
      <c r="AP97" s="349"/>
      <c r="AQ97" s="349"/>
      <c r="AR97" s="349"/>
    </row>
    <row r="98" spans="1:44" ht="72">
      <c r="A98" s="1280" t="s">
        <v>1764</v>
      </c>
      <c r="B98" s="308" t="s">
        <v>1765</v>
      </c>
      <c r="C98" s="320">
        <v>4</v>
      </c>
      <c r="D98" s="348" t="s">
        <v>1923</v>
      </c>
      <c r="E98" s="366" t="s">
        <v>2147</v>
      </c>
      <c r="F98" s="366" t="s">
        <v>1954</v>
      </c>
      <c r="G98" s="363"/>
      <c r="H98" s="362" t="s">
        <v>2187</v>
      </c>
      <c r="I98" s="365" t="s">
        <v>2186</v>
      </c>
      <c r="J98" s="364"/>
      <c r="K98" s="363"/>
      <c r="L98" s="363"/>
      <c r="M98" s="362" t="s">
        <v>2185</v>
      </c>
      <c r="N98" s="361" t="s">
        <v>2164</v>
      </c>
      <c r="O98" s="360" t="s">
        <v>2163</v>
      </c>
      <c r="P98" s="349"/>
      <c r="Q98" s="349"/>
      <c r="R98" s="349"/>
      <c r="S98" s="349"/>
      <c r="T98" s="349"/>
      <c r="U98" s="349"/>
      <c r="V98" s="349"/>
      <c r="W98" s="349"/>
      <c r="X98" s="349"/>
      <c r="Y98" s="349"/>
      <c r="Z98" s="349"/>
      <c r="AA98" s="349"/>
      <c r="AB98" s="349"/>
      <c r="AC98" s="349"/>
      <c r="AD98" s="349"/>
      <c r="AE98" s="349"/>
      <c r="AF98" s="349"/>
      <c r="AG98" s="349"/>
      <c r="AH98" s="349"/>
      <c r="AI98" s="349"/>
      <c r="AJ98" s="349"/>
      <c r="AK98" s="349"/>
      <c r="AL98" s="349"/>
      <c r="AM98" s="349"/>
      <c r="AN98" s="349"/>
      <c r="AO98" s="349"/>
      <c r="AP98" s="349"/>
      <c r="AQ98" s="349"/>
      <c r="AR98" s="349"/>
    </row>
    <row r="99" spans="1:44" ht="120">
      <c r="A99" s="1281"/>
      <c r="B99" s="308" t="s">
        <v>1766</v>
      </c>
      <c r="C99" s="320">
        <v>3</v>
      </c>
      <c r="D99" s="348" t="s">
        <v>595</v>
      </c>
      <c r="E99" s="366" t="s">
        <v>1999</v>
      </c>
      <c r="F99" s="366" t="s">
        <v>2087</v>
      </c>
      <c r="G99" s="363"/>
      <c r="H99" s="362" t="s">
        <v>2184</v>
      </c>
      <c r="I99" s="365" t="s">
        <v>2183</v>
      </c>
      <c r="J99" s="364"/>
      <c r="K99" s="363"/>
      <c r="L99" s="363"/>
      <c r="M99" s="362" t="s">
        <v>2182</v>
      </c>
      <c r="N99" s="361">
        <v>1</v>
      </c>
      <c r="O99" s="360" t="s">
        <v>2138</v>
      </c>
      <c r="P99" s="349"/>
      <c r="Q99" s="349"/>
      <c r="R99" s="349"/>
      <c r="S99" s="349"/>
      <c r="T99" s="349"/>
      <c r="U99" s="349"/>
      <c r="V99" s="349"/>
      <c r="W99" s="349"/>
      <c r="X99" s="349"/>
      <c r="Y99" s="349"/>
      <c r="Z99" s="349"/>
      <c r="AA99" s="349"/>
      <c r="AB99" s="349"/>
      <c r="AC99" s="349"/>
      <c r="AD99" s="349"/>
      <c r="AE99" s="349"/>
      <c r="AF99" s="349"/>
      <c r="AG99" s="349"/>
      <c r="AH99" s="349"/>
      <c r="AI99" s="349"/>
      <c r="AJ99" s="349"/>
      <c r="AK99" s="349"/>
      <c r="AL99" s="349"/>
      <c r="AM99" s="349"/>
      <c r="AN99" s="349">
        <v>1</v>
      </c>
      <c r="AO99" s="349"/>
      <c r="AP99" s="349"/>
      <c r="AQ99" s="349"/>
      <c r="AR99" s="349"/>
    </row>
    <row r="100" spans="1:44" ht="72">
      <c r="A100" s="1281"/>
      <c r="B100" s="308" t="s">
        <v>1767</v>
      </c>
      <c r="C100" s="320">
        <v>5</v>
      </c>
      <c r="D100" s="348" t="s">
        <v>595</v>
      </c>
      <c r="E100" s="366" t="s">
        <v>2181</v>
      </c>
      <c r="F100" s="366" t="s">
        <v>1954</v>
      </c>
      <c r="G100" s="363"/>
      <c r="H100" s="362" t="s">
        <v>2180</v>
      </c>
      <c r="I100" s="365" t="s">
        <v>2179</v>
      </c>
      <c r="J100" s="364"/>
      <c r="K100" s="363"/>
      <c r="L100" s="363"/>
      <c r="M100" s="362" t="s">
        <v>2178</v>
      </c>
      <c r="N100" s="361" t="s">
        <v>2164</v>
      </c>
      <c r="O100" s="360" t="s">
        <v>2177</v>
      </c>
      <c r="P100" s="349"/>
      <c r="Q100" s="349"/>
      <c r="R100" s="349"/>
      <c r="S100" s="349"/>
      <c r="T100" s="349"/>
      <c r="U100" s="349"/>
      <c r="V100" s="349"/>
      <c r="W100" s="349"/>
      <c r="X100" s="349"/>
      <c r="Y100" s="349"/>
      <c r="Z100" s="349"/>
      <c r="AA100" s="349"/>
      <c r="AB100" s="349"/>
      <c r="AC100" s="349"/>
      <c r="AD100" s="349"/>
      <c r="AE100" s="349"/>
      <c r="AF100" s="349"/>
      <c r="AG100" s="349"/>
      <c r="AH100" s="349"/>
      <c r="AI100" s="349"/>
      <c r="AJ100" s="349"/>
      <c r="AK100" s="349"/>
      <c r="AL100" s="349"/>
      <c r="AM100" s="349"/>
      <c r="AN100" s="349">
        <v>1</v>
      </c>
      <c r="AO100" s="349"/>
      <c r="AP100" s="349"/>
      <c r="AQ100" s="349"/>
      <c r="AR100" s="349"/>
    </row>
    <row r="101" spans="1:44" ht="72">
      <c r="A101" s="1281"/>
      <c r="B101" s="308" t="s">
        <v>1768</v>
      </c>
      <c r="C101" s="320">
        <v>5</v>
      </c>
      <c r="D101" s="348" t="s">
        <v>1098</v>
      </c>
      <c r="E101" s="366" t="s">
        <v>2147</v>
      </c>
      <c r="F101" s="366" t="s">
        <v>2176</v>
      </c>
      <c r="G101" s="363"/>
      <c r="H101" s="362" t="s">
        <v>2175</v>
      </c>
      <c r="I101" s="365" t="s">
        <v>2174</v>
      </c>
      <c r="J101" s="364"/>
      <c r="K101" s="363"/>
      <c r="L101" s="363"/>
      <c r="M101" s="362" t="s">
        <v>2173</v>
      </c>
      <c r="N101" s="361">
        <v>1</v>
      </c>
      <c r="O101" s="360" t="s">
        <v>2159</v>
      </c>
      <c r="P101" s="349"/>
      <c r="Q101" s="349"/>
      <c r="R101" s="349"/>
      <c r="S101" s="349">
        <v>1</v>
      </c>
      <c r="T101" s="349"/>
      <c r="U101" s="349"/>
      <c r="V101" s="349"/>
      <c r="W101" s="349"/>
      <c r="X101" s="349"/>
      <c r="Y101" s="349"/>
      <c r="Z101" s="349"/>
      <c r="AA101" s="349"/>
      <c r="AB101" s="349"/>
      <c r="AC101" s="349"/>
      <c r="AD101" s="349"/>
      <c r="AE101" s="349"/>
      <c r="AF101" s="349"/>
      <c r="AG101" s="349"/>
      <c r="AH101" s="349"/>
      <c r="AI101" s="349"/>
      <c r="AJ101" s="349"/>
      <c r="AK101" s="349"/>
      <c r="AL101" s="349"/>
      <c r="AM101" s="349"/>
      <c r="AN101" s="349"/>
      <c r="AO101" s="349"/>
      <c r="AP101" s="349"/>
      <c r="AQ101" s="349"/>
      <c r="AR101" s="349"/>
    </row>
    <row r="102" spans="1:44" ht="96">
      <c r="A102" s="1281"/>
      <c r="B102" s="308" t="s">
        <v>1769</v>
      </c>
      <c r="C102" s="320">
        <v>5</v>
      </c>
      <c r="D102" s="348" t="s">
        <v>1922</v>
      </c>
      <c r="E102" s="366" t="s">
        <v>1999</v>
      </c>
      <c r="F102" s="366" t="s">
        <v>1954</v>
      </c>
      <c r="G102" s="363"/>
      <c r="H102" s="362" t="s">
        <v>2172</v>
      </c>
      <c r="I102" s="365" t="s">
        <v>2171</v>
      </c>
      <c r="J102" s="364"/>
      <c r="K102" s="363"/>
      <c r="L102" s="363"/>
      <c r="M102" s="362" t="s">
        <v>2170</v>
      </c>
      <c r="N102" s="361" t="s">
        <v>2169</v>
      </c>
      <c r="O102" s="360" t="s">
        <v>2168</v>
      </c>
      <c r="P102" s="349"/>
      <c r="Q102" s="349"/>
      <c r="R102" s="349"/>
      <c r="S102" s="349"/>
      <c r="T102" s="349"/>
      <c r="U102" s="349"/>
      <c r="V102" s="349"/>
      <c r="W102" s="349"/>
      <c r="X102" s="349"/>
      <c r="Y102" s="349"/>
      <c r="Z102" s="349"/>
      <c r="AA102" s="349"/>
      <c r="AB102" s="349"/>
      <c r="AC102" s="349"/>
      <c r="AD102" s="349"/>
      <c r="AE102" s="349"/>
      <c r="AF102" s="349"/>
      <c r="AG102" s="349"/>
      <c r="AH102" s="349"/>
      <c r="AI102" s="349"/>
      <c r="AJ102" s="349"/>
      <c r="AK102" s="349"/>
      <c r="AL102" s="349"/>
      <c r="AM102" s="349"/>
      <c r="AN102" s="349"/>
      <c r="AO102" s="349"/>
      <c r="AP102" s="349"/>
      <c r="AQ102" s="349"/>
      <c r="AR102" s="349"/>
    </row>
    <row r="103" spans="1:44" ht="72">
      <c r="A103" s="1281"/>
      <c r="B103" s="308" t="s">
        <v>1770</v>
      </c>
      <c r="C103" s="320">
        <v>4</v>
      </c>
      <c r="D103" s="348" t="s">
        <v>1924</v>
      </c>
      <c r="E103" s="366" t="s">
        <v>1999</v>
      </c>
      <c r="F103" s="366" t="s">
        <v>2081</v>
      </c>
      <c r="G103" s="363"/>
      <c r="H103" s="362" t="s">
        <v>2167</v>
      </c>
      <c r="I103" s="365" t="s">
        <v>2166</v>
      </c>
      <c r="J103" s="364"/>
      <c r="K103" s="363"/>
      <c r="L103" s="363"/>
      <c r="M103" s="362" t="s">
        <v>2165</v>
      </c>
      <c r="N103" s="361" t="s">
        <v>2164</v>
      </c>
      <c r="O103" s="360" t="s">
        <v>2163</v>
      </c>
      <c r="P103" s="349">
        <v>1</v>
      </c>
      <c r="Q103" s="349"/>
      <c r="R103" s="349"/>
      <c r="S103" s="349"/>
      <c r="T103" s="349"/>
      <c r="U103" s="349"/>
      <c r="V103" s="349"/>
      <c r="W103" s="349"/>
      <c r="X103" s="349"/>
      <c r="Y103" s="349"/>
      <c r="Z103" s="349"/>
      <c r="AA103" s="349"/>
      <c r="AB103" s="349"/>
      <c r="AC103" s="349"/>
      <c r="AD103" s="349"/>
      <c r="AE103" s="349"/>
      <c r="AF103" s="349"/>
      <c r="AG103" s="349"/>
      <c r="AH103" s="349"/>
      <c r="AI103" s="349"/>
      <c r="AJ103" s="349"/>
      <c r="AK103" s="349"/>
      <c r="AL103" s="349"/>
      <c r="AM103" s="349"/>
      <c r="AN103" s="349"/>
      <c r="AO103" s="349"/>
      <c r="AP103" s="349"/>
      <c r="AQ103" s="349"/>
      <c r="AR103" s="349"/>
    </row>
    <row r="104" spans="1:44" ht="96">
      <c r="A104" s="1281"/>
      <c r="B104" s="308" t="s">
        <v>1771</v>
      </c>
      <c r="C104" s="320">
        <v>5</v>
      </c>
      <c r="D104" s="348" t="s">
        <v>1925</v>
      </c>
      <c r="E104" s="366" t="s">
        <v>1959</v>
      </c>
      <c r="F104" s="366" t="s">
        <v>1954</v>
      </c>
      <c r="G104" s="363"/>
      <c r="H104" s="362" t="s">
        <v>2162</v>
      </c>
      <c r="I104" s="365" t="s">
        <v>2161</v>
      </c>
      <c r="J104" s="364"/>
      <c r="K104" s="363"/>
      <c r="L104" s="363"/>
      <c r="M104" s="362" t="s">
        <v>2160</v>
      </c>
      <c r="N104" s="361">
        <v>0.5</v>
      </c>
      <c r="O104" s="360" t="s">
        <v>2159</v>
      </c>
      <c r="P104" s="349"/>
      <c r="Q104" s="349"/>
      <c r="R104" s="349"/>
      <c r="S104" s="349"/>
      <c r="T104" s="349"/>
      <c r="U104" s="349"/>
      <c r="V104" s="349"/>
      <c r="W104" s="349"/>
      <c r="X104" s="349"/>
      <c r="Y104" s="349"/>
      <c r="Z104" s="349"/>
      <c r="AA104" s="349"/>
      <c r="AB104" s="349"/>
      <c r="AC104" s="349"/>
      <c r="AD104" s="349"/>
      <c r="AE104" s="349"/>
      <c r="AF104" s="349"/>
      <c r="AG104" s="349"/>
      <c r="AH104" s="349"/>
      <c r="AI104" s="349"/>
      <c r="AJ104" s="349"/>
      <c r="AK104" s="349"/>
      <c r="AL104" s="349"/>
      <c r="AM104" s="349">
        <v>1</v>
      </c>
      <c r="AN104" s="349">
        <v>1</v>
      </c>
      <c r="AO104" s="349"/>
      <c r="AP104" s="349"/>
      <c r="AQ104" s="349"/>
      <c r="AR104" s="349"/>
    </row>
    <row r="105" spans="1:44" ht="48">
      <c r="A105" s="1281"/>
      <c r="B105" s="308" t="s">
        <v>1772</v>
      </c>
      <c r="C105" s="320">
        <v>4</v>
      </c>
      <c r="D105" s="348" t="s">
        <v>1918</v>
      </c>
      <c r="E105" s="366" t="s">
        <v>1959</v>
      </c>
      <c r="F105" s="366" t="s">
        <v>1954</v>
      </c>
      <c r="G105" s="363"/>
      <c r="H105" s="362" t="s">
        <v>2158</v>
      </c>
      <c r="I105" s="365" t="s">
        <v>2157</v>
      </c>
      <c r="J105" s="364"/>
      <c r="K105" s="363"/>
      <c r="L105" s="363"/>
      <c r="M105" s="362" t="s">
        <v>2156</v>
      </c>
      <c r="N105" s="361">
        <v>1</v>
      </c>
      <c r="O105" s="360" t="s">
        <v>2155</v>
      </c>
      <c r="P105" s="349"/>
      <c r="Q105" s="349"/>
      <c r="R105" s="349"/>
      <c r="S105" s="349"/>
      <c r="T105" s="349"/>
      <c r="U105" s="349"/>
      <c r="V105" s="349"/>
      <c r="W105" s="349"/>
      <c r="X105" s="349"/>
      <c r="Y105" s="349"/>
      <c r="Z105" s="349"/>
      <c r="AA105" s="349"/>
      <c r="AB105" s="349"/>
      <c r="AC105" s="349"/>
      <c r="AD105" s="349"/>
      <c r="AE105" s="349"/>
      <c r="AF105" s="349"/>
      <c r="AG105" s="349"/>
      <c r="AH105" s="349"/>
      <c r="AI105" s="349"/>
      <c r="AJ105" s="349"/>
      <c r="AK105" s="349"/>
      <c r="AL105" s="349"/>
      <c r="AM105" s="349"/>
      <c r="AN105" s="349"/>
      <c r="AO105" s="349"/>
      <c r="AP105" s="349"/>
      <c r="AQ105" s="349"/>
      <c r="AR105" s="349"/>
    </row>
    <row r="106" spans="1:44" ht="48">
      <c r="A106" s="1282"/>
      <c r="B106" s="308" t="s">
        <v>1773</v>
      </c>
      <c r="C106" s="320">
        <v>3</v>
      </c>
      <c r="D106" s="348" t="s">
        <v>1926</v>
      </c>
      <c r="E106" s="366" t="s">
        <v>2154</v>
      </c>
      <c r="F106" s="366" t="s">
        <v>1954</v>
      </c>
      <c r="G106" s="363"/>
      <c r="H106" s="362" t="s">
        <v>2153</v>
      </c>
      <c r="I106" s="365" t="s">
        <v>2152</v>
      </c>
      <c r="J106" s="364"/>
      <c r="K106" s="363"/>
      <c r="L106" s="363"/>
      <c r="M106" s="362" t="s">
        <v>2151</v>
      </c>
      <c r="N106" s="361">
        <v>0.7</v>
      </c>
      <c r="O106" s="360" t="s">
        <v>2150</v>
      </c>
      <c r="P106" s="349"/>
      <c r="Q106" s="349"/>
      <c r="R106" s="349"/>
      <c r="S106" s="349"/>
      <c r="T106" s="349"/>
      <c r="U106" s="349"/>
      <c r="V106" s="349"/>
      <c r="W106" s="349"/>
      <c r="X106" s="349"/>
      <c r="Y106" s="349"/>
      <c r="Z106" s="349"/>
      <c r="AA106" s="349"/>
      <c r="AB106" s="349"/>
      <c r="AC106" s="349"/>
      <c r="AD106" s="349"/>
      <c r="AE106" s="349"/>
      <c r="AF106" s="349"/>
      <c r="AG106" s="349"/>
      <c r="AH106" s="349"/>
      <c r="AI106" s="349"/>
      <c r="AJ106" s="349"/>
      <c r="AK106" s="349"/>
      <c r="AL106" s="349"/>
      <c r="AM106" s="349"/>
      <c r="AN106" s="349">
        <v>1</v>
      </c>
      <c r="AO106" s="349"/>
      <c r="AP106" s="349"/>
      <c r="AQ106" s="349"/>
      <c r="AR106" s="349"/>
    </row>
    <row r="107" spans="1:44">
      <c r="A107" s="1280" t="s">
        <v>1774</v>
      </c>
      <c r="B107" s="308" t="s">
        <v>1775</v>
      </c>
      <c r="C107" s="320">
        <v>3</v>
      </c>
      <c r="D107" s="348" t="s">
        <v>1828</v>
      </c>
      <c r="E107" s="366" t="s">
        <v>2147</v>
      </c>
      <c r="F107" s="366" t="s">
        <v>1954</v>
      </c>
      <c r="G107" s="363"/>
      <c r="H107" s="362"/>
      <c r="I107" s="365" t="s">
        <v>2149</v>
      </c>
      <c r="J107" s="364"/>
      <c r="K107" s="363"/>
      <c r="L107" s="363"/>
      <c r="M107" s="362" t="s">
        <v>2148</v>
      </c>
      <c r="N107" s="361"/>
      <c r="O107" s="360"/>
      <c r="P107" s="349"/>
      <c r="Q107" s="349">
        <v>1</v>
      </c>
      <c r="R107" s="349"/>
      <c r="S107" s="349"/>
      <c r="T107" s="349"/>
      <c r="U107" s="349"/>
      <c r="V107" s="349"/>
      <c r="W107" s="349"/>
      <c r="X107" s="349"/>
      <c r="Y107" s="349"/>
      <c r="Z107" s="349"/>
      <c r="AA107" s="349"/>
      <c r="AB107" s="349"/>
      <c r="AC107" s="349"/>
      <c r="AD107" s="349"/>
      <c r="AE107" s="349"/>
      <c r="AF107" s="349"/>
      <c r="AG107" s="349"/>
      <c r="AH107" s="349"/>
      <c r="AI107" s="349"/>
      <c r="AJ107" s="349"/>
      <c r="AK107" s="349"/>
      <c r="AL107" s="349"/>
      <c r="AM107" s="349"/>
      <c r="AN107" s="349"/>
      <c r="AO107" s="349"/>
      <c r="AP107" s="349"/>
      <c r="AQ107" s="349"/>
      <c r="AR107" s="349"/>
    </row>
    <row r="108" spans="1:44">
      <c r="A108" s="1281"/>
      <c r="B108" s="308" t="s">
        <v>1776</v>
      </c>
      <c r="C108" s="320">
        <v>3</v>
      </c>
      <c r="D108" s="348" t="s">
        <v>1828</v>
      </c>
      <c r="E108" s="366" t="s">
        <v>1988</v>
      </c>
      <c r="F108" s="366" t="s">
        <v>1954</v>
      </c>
      <c r="G108" s="363"/>
      <c r="H108" s="362"/>
      <c r="I108" s="365" t="s">
        <v>2149</v>
      </c>
      <c r="J108" s="364"/>
      <c r="K108" s="363"/>
      <c r="L108" s="363"/>
      <c r="M108" s="362" t="s">
        <v>2148</v>
      </c>
      <c r="N108" s="361"/>
      <c r="O108" s="360"/>
      <c r="P108" s="349"/>
      <c r="Q108" s="349">
        <v>1</v>
      </c>
      <c r="R108" s="349"/>
      <c r="S108" s="349"/>
      <c r="T108" s="349"/>
      <c r="U108" s="349"/>
      <c r="V108" s="349"/>
      <c r="W108" s="349"/>
      <c r="X108" s="349"/>
      <c r="Y108" s="349"/>
      <c r="Z108" s="349"/>
      <c r="AA108" s="349"/>
      <c r="AB108" s="349"/>
      <c r="AC108" s="349"/>
      <c r="AD108" s="349"/>
      <c r="AE108" s="349"/>
      <c r="AF108" s="349"/>
      <c r="AG108" s="349"/>
      <c r="AH108" s="349"/>
      <c r="AI108" s="349"/>
      <c r="AJ108" s="349"/>
      <c r="AK108" s="349"/>
      <c r="AL108" s="349"/>
      <c r="AM108" s="349"/>
      <c r="AN108" s="349"/>
      <c r="AO108" s="349"/>
      <c r="AP108" s="349"/>
      <c r="AQ108" s="349"/>
      <c r="AR108" s="349"/>
    </row>
    <row r="109" spans="1:44">
      <c r="A109" s="1281"/>
      <c r="B109" s="308" t="s">
        <v>1777</v>
      </c>
      <c r="C109" s="320">
        <v>5</v>
      </c>
      <c r="D109" s="348" t="s">
        <v>1927</v>
      </c>
      <c r="E109" s="366" t="s">
        <v>2147</v>
      </c>
      <c r="F109" s="366" t="s">
        <v>1954</v>
      </c>
      <c r="G109" s="363"/>
      <c r="H109" s="362" t="s">
        <v>2146</v>
      </c>
      <c r="I109" s="365" t="s">
        <v>2145</v>
      </c>
      <c r="J109" s="364"/>
      <c r="K109" s="363"/>
      <c r="L109" s="363"/>
      <c r="M109" s="362" t="s">
        <v>2144</v>
      </c>
      <c r="N109" s="361"/>
      <c r="O109" s="360" t="s">
        <v>2143</v>
      </c>
      <c r="P109" s="349"/>
      <c r="Q109" s="349"/>
      <c r="R109" s="349"/>
      <c r="S109" s="349"/>
      <c r="T109" s="349"/>
      <c r="U109" s="349"/>
      <c r="V109" s="349"/>
      <c r="W109" s="349"/>
      <c r="X109" s="349"/>
      <c r="Y109" s="349"/>
      <c r="Z109" s="349"/>
      <c r="AA109" s="349"/>
      <c r="AB109" s="349"/>
      <c r="AC109" s="349">
        <v>1</v>
      </c>
      <c r="AD109" s="349"/>
      <c r="AE109" s="349"/>
      <c r="AF109" s="349"/>
      <c r="AG109" s="349"/>
      <c r="AH109" s="349"/>
      <c r="AI109" s="349"/>
      <c r="AJ109" s="349"/>
      <c r="AK109" s="349"/>
      <c r="AL109" s="349"/>
      <c r="AM109" s="349"/>
      <c r="AN109" s="349">
        <v>1</v>
      </c>
      <c r="AO109" s="349"/>
      <c r="AP109" s="349"/>
      <c r="AQ109" s="349"/>
      <c r="AR109" s="349"/>
    </row>
    <row r="110" spans="1:44" ht="48">
      <c r="A110" s="1282"/>
      <c r="B110" s="308" t="s">
        <v>1778</v>
      </c>
      <c r="C110" s="320">
        <v>4</v>
      </c>
      <c r="D110" s="348" t="s">
        <v>1928</v>
      </c>
      <c r="E110" s="366" t="s">
        <v>1988</v>
      </c>
      <c r="F110" s="366" t="s">
        <v>2142</v>
      </c>
      <c r="G110" s="363"/>
      <c r="H110" s="362" t="s">
        <v>2141</v>
      </c>
      <c r="I110" s="365" t="s">
        <v>2140</v>
      </c>
      <c r="J110" s="364"/>
      <c r="K110" s="363"/>
      <c r="L110" s="363"/>
      <c r="M110" s="362" t="s">
        <v>2139</v>
      </c>
      <c r="N110" s="361"/>
      <c r="O110" s="360" t="s">
        <v>2138</v>
      </c>
      <c r="P110" s="349"/>
      <c r="Q110" s="349"/>
      <c r="R110" s="349"/>
      <c r="S110" s="349"/>
      <c r="T110" s="349"/>
      <c r="U110" s="349"/>
      <c r="V110" s="349"/>
      <c r="W110" s="349"/>
      <c r="X110" s="349"/>
      <c r="Y110" s="349"/>
      <c r="Z110" s="349"/>
      <c r="AA110" s="349"/>
      <c r="AB110" s="349"/>
      <c r="AC110" s="349">
        <v>1</v>
      </c>
      <c r="AD110" s="349"/>
      <c r="AE110" s="349"/>
      <c r="AF110" s="349"/>
      <c r="AG110" s="349"/>
      <c r="AH110" s="349"/>
      <c r="AI110" s="349"/>
      <c r="AJ110" s="349"/>
      <c r="AK110" s="349"/>
      <c r="AL110" s="349"/>
      <c r="AM110" s="349"/>
      <c r="AN110" s="349"/>
      <c r="AO110" s="349"/>
      <c r="AP110" s="349"/>
      <c r="AQ110" s="349"/>
      <c r="AR110" s="349"/>
    </row>
    <row r="111" spans="1:44" ht="72">
      <c r="A111" s="1280" t="s">
        <v>1779</v>
      </c>
      <c r="B111" s="308" t="s">
        <v>1780</v>
      </c>
      <c r="C111" s="320">
        <v>4</v>
      </c>
      <c r="D111" s="348" t="s">
        <v>1929</v>
      </c>
      <c r="E111" s="366" t="s">
        <v>1988</v>
      </c>
      <c r="F111" s="366" t="s">
        <v>1954</v>
      </c>
      <c r="G111" s="363"/>
      <c r="H111" s="362" t="s">
        <v>2137</v>
      </c>
      <c r="I111" s="365" t="s">
        <v>2136</v>
      </c>
      <c r="J111" s="364" t="s">
        <v>2135</v>
      </c>
      <c r="K111" s="363"/>
      <c r="L111" s="363"/>
      <c r="M111" s="362" t="s">
        <v>2134</v>
      </c>
      <c r="N111" s="361" t="s">
        <v>2133</v>
      </c>
      <c r="O111" s="360" t="s">
        <v>2006</v>
      </c>
      <c r="P111" s="349"/>
      <c r="Q111" s="349">
        <v>1</v>
      </c>
      <c r="R111" s="349"/>
      <c r="S111" s="349">
        <v>1</v>
      </c>
      <c r="T111" s="349"/>
      <c r="U111" s="349"/>
      <c r="V111" s="349"/>
      <c r="W111" s="349"/>
      <c r="X111" s="349"/>
      <c r="Y111" s="349"/>
      <c r="Z111" s="349"/>
      <c r="AA111" s="349">
        <v>1</v>
      </c>
      <c r="AB111" s="349"/>
      <c r="AC111" s="349"/>
      <c r="AD111" s="349"/>
      <c r="AE111" s="349">
        <v>1</v>
      </c>
      <c r="AF111" s="349"/>
      <c r="AG111" s="349"/>
      <c r="AH111" s="349"/>
      <c r="AI111" s="349"/>
      <c r="AJ111" s="349"/>
      <c r="AK111" s="349"/>
      <c r="AL111" s="349"/>
      <c r="AM111" s="349"/>
      <c r="AN111" s="349"/>
      <c r="AO111" s="349"/>
      <c r="AP111" s="349"/>
      <c r="AQ111" s="349">
        <v>1</v>
      </c>
      <c r="AR111" s="349"/>
    </row>
    <row r="112" spans="1:44" ht="69">
      <c r="A112" s="1281"/>
      <c r="B112" s="308" t="s">
        <v>1781</v>
      </c>
      <c r="C112" s="320">
        <v>5</v>
      </c>
      <c r="D112" s="348" t="s">
        <v>1930</v>
      </c>
      <c r="E112" s="366" t="s">
        <v>1988</v>
      </c>
      <c r="F112" s="366" t="s">
        <v>1954</v>
      </c>
      <c r="G112" s="363"/>
      <c r="H112" s="362" t="s">
        <v>2132</v>
      </c>
      <c r="I112" s="365" t="s">
        <v>2131</v>
      </c>
      <c r="J112" s="364" t="s">
        <v>2120</v>
      </c>
      <c r="K112" s="363"/>
      <c r="L112" s="363"/>
      <c r="M112" s="362" t="s">
        <v>2130</v>
      </c>
      <c r="N112" s="361" t="s">
        <v>2129</v>
      </c>
      <c r="O112" s="360" t="s">
        <v>2006</v>
      </c>
      <c r="P112" s="349"/>
      <c r="Q112" s="349">
        <v>1</v>
      </c>
      <c r="R112" s="349"/>
      <c r="S112" s="349">
        <v>1</v>
      </c>
      <c r="T112" s="349"/>
      <c r="U112" s="349"/>
      <c r="V112" s="349"/>
      <c r="W112" s="349"/>
      <c r="X112" s="349"/>
      <c r="Y112" s="349"/>
      <c r="Z112" s="349">
        <v>1</v>
      </c>
      <c r="AA112" s="349"/>
      <c r="AB112" s="349"/>
      <c r="AC112" s="349"/>
      <c r="AD112" s="349"/>
      <c r="AE112" s="349">
        <v>1</v>
      </c>
      <c r="AF112" s="349">
        <v>1</v>
      </c>
      <c r="AG112" s="349"/>
      <c r="AH112" s="349"/>
      <c r="AI112" s="349"/>
      <c r="AJ112" s="349"/>
      <c r="AK112" s="349"/>
      <c r="AL112" s="349"/>
      <c r="AM112" s="349"/>
      <c r="AN112" s="349"/>
      <c r="AO112" s="349"/>
      <c r="AP112" s="349"/>
      <c r="AQ112" s="349">
        <v>1</v>
      </c>
      <c r="AR112" s="349"/>
    </row>
    <row r="113" spans="1:44" ht="51.75">
      <c r="A113" s="1281"/>
      <c r="B113" s="308" t="s">
        <v>1782</v>
      </c>
      <c r="C113" s="320">
        <v>5</v>
      </c>
      <c r="D113" s="348" t="s">
        <v>1931</v>
      </c>
      <c r="E113" s="366" t="s">
        <v>1988</v>
      </c>
      <c r="F113" s="366" t="s">
        <v>1954</v>
      </c>
      <c r="G113" s="363"/>
      <c r="H113" s="362" t="s">
        <v>2128</v>
      </c>
      <c r="I113" s="365" t="s">
        <v>2127</v>
      </c>
      <c r="J113" s="364" t="s">
        <v>2126</v>
      </c>
      <c r="K113" s="363"/>
      <c r="L113" s="363"/>
      <c r="M113" s="362" t="s">
        <v>2125</v>
      </c>
      <c r="N113" s="361" t="s">
        <v>2124</v>
      </c>
      <c r="O113" s="360" t="s">
        <v>2006</v>
      </c>
      <c r="P113" s="349"/>
      <c r="Q113" s="349">
        <v>1</v>
      </c>
      <c r="R113" s="349">
        <v>1</v>
      </c>
      <c r="S113" s="349"/>
      <c r="T113" s="349"/>
      <c r="U113" s="349">
        <v>1</v>
      </c>
      <c r="V113" s="349"/>
      <c r="W113" s="349"/>
      <c r="X113" s="349"/>
      <c r="Y113" s="349"/>
      <c r="Z113" s="349"/>
      <c r="AA113" s="349"/>
      <c r="AB113" s="349"/>
      <c r="AC113" s="349"/>
      <c r="AD113" s="349"/>
      <c r="AE113" s="349"/>
      <c r="AF113" s="349"/>
      <c r="AG113" s="349"/>
      <c r="AH113" s="349"/>
      <c r="AI113" s="349"/>
      <c r="AJ113" s="349"/>
      <c r="AK113" s="349"/>
      <c r="AL113" s="349"/>
      <c r="AM113" s="349"/>
      <c r="AN113" s="349">
        <v>1</v>
      </c>
      <c r="AO113" s="349"/>
      <c r="AP113" s="349"/>
      <c r="AQ113" s="349">
        <v>1</v>
      </c>
      <c r="AR113" s="349"/>
    </row>
    <row r="114" spans="1:44" ht="72">
      <c r="A114" s="1282"/>
      <c r="B114" s="308" t="s">
        <v>1783</v>
      </c>
      <c r="C114" s="320">
        <v>4</v>
      </c>
      <c r="D114" s="348" t="s">
        <v>1932</v>
      </c>
      <c r="E114" s="366" t="s">
        <v>1988</v>
      </c>
      <c r="F114" s="366" t="s">
        <v>2123</v>
      </c>
      <c r="G114" s="363"/>
      <c r="H114" s="362" t="s">
        <v>2122</v>
      </c>
      <c r="I114" s="365" t="s">
        <v>2121</v>
      </c>
      <c r="J114" s="364" t="s">
        <v>2120</v>
      </c>
      <c r="K114" s="363"/>
      <c r="L114" s="363"/>
      <c r="M114" s="362" t="s">
        <v>2119</v>
      </c>
      <c r="N114" s="361">
        <v>1</v>
      </c>
      <c r="O114" s="360" t="s">
        <v>2006</v>
      </c>
      <c r="P114" s="349"/>
      <c r="Q114" s="349">
        <v>1</v>
      </c>
      <c r="R114" s="349"/>
      <c r="S114" s="349"/>
      <c r="T114" s="349"/>
      <c r="U114" s="349"/>
      <c r="V114" s="349">
        <v>1</v>
      </c>
      <c r="W114" s="349"/>
      <c r="X114" s="349"/>
      <c r="Y114" s="349"/>
      <c r="Z114" s="349"/>
      <c r="AA114" s="349"/>
      <c r="AB114" s="349"/>
      <c r="AC114" s="349"/>
      <c r="AD114" s="349">
        <v>1</v>
      </c>
      <c r="AE114" s="349">
        <v>1</v>
      </c>
      <c r="AF114" s="349">
        <v>1</v>
      </c>
      <c r="AG114" s="349"/>
      <c r="AH114" s="349"/>
      <c r="AI114" s="349"/>
      <c r="AJ114" s="349"/>
      <c r="AK114" s="349"/>
      <c r="AL114" s="349"/>
      <c r="AM114" s="349"/>
      <c r="AN114" s="349">
        <v>1</v>
      </c>
      <c r="AO114" s="349">
        <v>1</v>
      </c>
      <c r="AP114" s="349"/>
      <c r="AQ114" s="349">
        <v>1</v>
      </c>
      <c r="AR114" s="349"/>
    </row>
    <row r="115" spans="1:44" ht="55.5">
      <c r="A115" s="1280" t="s">
        <v>1784</v>
      </c>
      <c r="B115" s="308" t="s">
        <v>1785</v>
      </c>
      <c r="C115" s="320">
        <v>5</v>
      </c>
      <c r="D115" s="348" t="s">
        <v>1933</v>
      </c>
      <c r="E115" s="366" t="s">
        <v>1980</v>
      </c>
      <c r="F115" s="366" t="s">
        <v>1954</v>
      </c>
      <c r="G115" s="363"/>
      <c r="H115" s="362" t="s">
        <v>2118</v>
      </c>
      <c r="I115" s="365" t="s">
        <v>2117</v>
      </c>
      <c r="J115" s="364"/>
      <c r="K115" s="363"/>
      <c r="L115" s="363"/>
      <c r="M115" s="362" t="s">
        <v>2116</v>
      </c>
      <c r="N115" s="361"/>
      <c r="O115" s="360"/>
      <c r="P115" s="349"/>
      <c r="Q115" s="349"/>
      <c r="R115" s="349"/>
      <c r="S115" s="349"/>
      <c r="T115" s="349"/>
      <c r="U115" s="349"/>
      <c r="V115" s="349"/>
      <c r="W115" s="349"/>
      <c r="X115" s="349"/>
      <c r="Y115" s="349"/>
      <c r="Z115" s="349"/>
      <c r="AA115" s="349"/>
      <c r="AB115" s="349"/>
      <c r="AC115" s="349"/>
      <c r="AD115" s="349"/>
      <c r="AE115" s="349"/>
      <c r="AF115" s="349"/>
      <c r="AG115" s="349">
        <v>1</v>
      </c>
      <c r="AH115" s="349">
        <v>1</v>
      </c>
      <c r="AI115" s="349">
        <v>1</v>
      </c>
      <c r="AJ115" s="349">
        <v>1</v>
      </c>
      <c r="AK115" s="349">
        <v>1</v>
      </c>
      <c r="AL115" s="349">
        <v>1</v>
      </c>
      <c r="AM115" s="349">
        <v>1</v>
      </c>
      <c r="AN115" s="349">
        <v>1</v>
      </c>
      <c r="AO115" s="349"/>
      <c r="AP115" s="349"/>
      <c r="AQ115" s="349">
        <v>1</v>
      </c>
      <c r="AR115" s="349"/>
    </row>
    <row r="116" spans="1:44">
      <c r="A116" s="1281"/>
      <c r="B116" s="308" t="s">
        <v>1786</v>
      </c>
      <c r="C116" s="320">
        <v>5</v>
      </c>
      <c r="D116" s="348" t="s">
        <v>1934</v>
      </c>
      <c r="E116" s="366" t="s">
        <v>2112</v>
      </c>
      <c r="F116" s="366" t="s">
        <v>2087</v>
      </c>
      <c r="G116" s="363"/>
      <c r="H116" s="362" t="s">
        <v>2115</v>
      </c>
      <c r="I116" s="365" t="s">
        <v>2114</v>
      </c>
      <c r="J116" s="364"/>
      <c r="K116" s="363"/>
      <c r="L116" s="363"/>
      <c r="M116" s="362" t="s">
        <v>2113</v>
      </c>
      <c r="N116" s="361"/>
      <c r="O116" s="360"/>
      <c r="P116" s="349"/>
      <c r="Q116" s="349"/>
      <c r="R116" s="349"/>
      <c r="S116" s="349"/>
      <c r="T116" s="349"/>
      <c r="U116" s="349"/>
      <c r="V116" s="349"/>
      <c r="W116" s="349"/>
      <c r="X116" s="349"/>
      <c r="Y116" s="349"/>
      <c r="Z116" s="349"/>
      <c r="AA116" s="349"/>
      <c r="AB116" s="349"/>
      <c r="AC116" s="349"/>
      <c r="AD116" s="349"/>
      <c r="AE116" s="349"/>
      <c r="AF116" s="349"/>
      <c r="AG116" s="349"/>
      <c r="AH116" s="349"/>
      <c r="AI116" s="349"/>
      <c r="AJ116" s="349"/>
      <c r="AK116" s="349"/>
      <c r="AL116" s="349"/>
      <c r="AM116" s="349"/>
      <c r="AN116" s="349">
        <v>1</v>
      </c>
      <c r="AO116" s="349"/>
      <c r="AP116" s="349"/>
      <c r="AQ116" s="349">
        <v>1</v>
      </c>
      <c r="AR116" s="349"/>
    </row>
    <row r="117" spans="1:44" ht="48">
      <c r="A117" s="1281"/>
      <c r="B117" s="308" t="s">
        <v>1787</v>
      </c>
      <c r="C117" s="320">
        <v>5</v>
      </c>
      <c r="D117" s="348" t="s">
        <v>1935</v>
      </c>
      <c r="E117" s="366" t="s">
        <v>2112</v>
      </c>
      <c r="F117" s="366" t="s">
        <v>2087</v>
      </c>
      <c r="G117" s="363"/>
      <c r="H117" s="362" t="s">
        <v>2111</v>
      </c>
      <c r="I117" s="365" t="s">
        <v>2110</v>
      </c>
      <c r="J117" s="364"/>
      <c r="K117" s="363"/>
      <c r="L117" s="363"/>
      <c r="M117" s="362" t="s">
        <v>2109</v>
      </c>
      <c r="N117" s="361"/>
      <c r="O117" s="360"/>
      <c r="P117" s="349"/>
      <c r="Q117" s="349"/>
      <c r="R117" s="349"/>
      <c r="S117" s="349"/>
      <c r="T117" s="349"/>
      <c r="U117" s="349"/>
      <c r="V117" s="349"/>
      <c r="W117" s="349"/>
      <c r="X117" s="349"/>
      <c r="Y117" s="349"/>
      <c r="Z117" s="349"/>
      <c r="AA117" s="349"/>
      <c r="AB117" s="349"/>
      <c r="AC117" s="349"/>
      <c r="AD117" s="349"/>
      <c r="AE117" s="349"/>
      <c r="AF117" s="349"/>
      <c r="AG117" s="349"/>
      <c r="AH117" s="349"/>
      <c r="AI117" s="349"/>
      <c r="AJ117" s="349"/>
      <c r="AK117" s="349"/>
      <c r="AL117" s="349"/>
      <c r="AM117" s="349"/>
      <c r="AN117" s="349">
        <v>1</v>
      </c>
      <c r="AO117" s="349"/>
      <c r="AP117" s="349"/>
      <c r="AQ117" s="349"/>
      <c r="AR117" s="349"/>
    </row>
    <row r="118" spans="1:44" ht="55.5">
      <c r="A118" s="1281"/>
      <c r="B118" s="308" t="s">
        <v>1788</v>
      </c>
      <c r="C118" s="320">
        <v>4</v>
      </c>
      <c r="D118" s="348" t="s">
        <v>595</v>
      </c>
      <c r="E118" s="366" t="s">
        <v>1959</v>
      </c>
      <c r="F118" s="366" t="s">
        <v>2072</v>
      </c>
      <c r="G118" s="363"/>
      <c r="H118" s="362" t="s">
        <v>2108</v>
      </c>
      <c r="I118" s="365" t="s">
        <v>2107</v>
      </c>
      <c r="J118" s="364"/>
      <c r="K118" s="363"/>
      <c r="L118" s="363"/>
      <c r="M118" s="362" t="s">
        <v>2106</v>
      </c>
      <c r="N118" s="361"/>
      <c r="O118" s="360"/>
      <c r="P118" s="349"/>
      <c r="Q118" s="349"/>
      <c r="R118" s="349"/>
      <c r="S118" s="349"/>
      <c r="T118" s="349"/>
      <c r="U118" s="349"/>
      <c r="V118" s="349"/>
      <c r="W118" s="349"/>
      <c r="X118" s="349"/>
      <c r="Y118" s="349"/>
      <c r="Z118" s="349"/>
      <c r="AA118" s="349"/>
      <c r="AB118" s="349"/>
      <c r="AC118" s="349"/>
      <c r="AD118" s="349"/>
      <c r="AE118" s="349"/>
      <c r="AF118" s="349"/>
      <c r="AG118" s="349"/>
      <c r="AH118" s="349"/>
      <c r="AI118" s="349"/>
      <c r="AJ118" s="349"/>
      <c r="AK118" s="349"/>
      <c r="AL118" s="349"/>
      <c r="AM118" s="349"/>
      <c r="AN118" s="349">
        <v>1</v>
      </c>
      <c r="AO118" s="349"/>
      <c r="AP118" s="349"/>
      <c r="AQ118" s="349"/>
      <c r="AR118" s="349"/>
    </row>
    <row r="119" spans="1:44" ht="83.25">
      <c r="A119" s="1281"/>
      <c r="B119" s="308" t="s">
        <v>1789</v>
      </c>
      <c r="C119" s="320">
        <v>4</v>
      </c>
      <c r="D119" s="348" t="s">
        <v>1936</v>
      </c>
      <c r="E119" s="366" t="s">
        <v>1980</v>
      </c>
      <c r="F119" s="366" t="s">
        <v>1975</v>
      </c>
      <c r="G119" s="363"/>
      <c r="H119" s="362" t="s">
        <v>2105</v>
      </c>
      <c r="I119" s="365" t="s">
        <v>2104</v>
      </c>
      <c r="J119" s="364"/>
      <c r="K119" s="363"/>
      <c r="L119" s="363"/>
      <c r="M119" s="362" t="s">
        <v>2103</v>
      </c>
      <c r="N119" s="361"/>
      <c r="O119" s="360"/>
      <c r="P119" s="349"/>
      <c r="Q119" s="349"/>
      <c r="R119" s="349"/>
      <c r="S119" s="349"/>
      <c r="T119" s="349"/>
      <c r="U119" s="349"/>
      <c r="V119" s="349"/>
      <c r="W119" s="349"/>
      <c r="X119" s="349"/>
      <c r="Y119" s="349"/>
      <c r="Z119" s="349"/>
      <c r="AA119" s="349"/>
      <c r="AB119" s="349"/>
      <c r="AC119" s="349"/>
      <c r="AD119" s="349"/>
      <c r="AE119" s="349"/>
      <c r="AF119" s="349"/>
      <c r="AG119" s="349">
        <v>1</v>
      </c>
      <c r="AH119" s="349">
        <v>1</v>
      </c>
      <c r="AI119" s="349">
        <v>1</v>
      </c>
      <c r="AJ119" s="349">
        <v>1</v>
      </c>
      <c r="AK119" s="349">
        <v>1</v>
      </c>
      <c r="AL119" s="349">
        <v>1</v>
      </c>
      <c r="AM119" s="349">
        <v>1</v>
      </c>
      <c r="AN119" s="349">
        <v>1</v>
      </c>
      <c r="AO119" s="349"/>
      <c r="AP119" s="349"/>
      <c r="AQ119" s="349"/>
      <c r="AR119" s="349"/>
    </row>
    <row r="120" spans="1:44">
      <c r="A120" s="1281"/>
      <c r="B120" s="308" t="s">
        <v>1790</v>
      </c>
      <c r="C120" s="320">
        <v>5</v>
      </c>
      <c r="D120" s="348"/>
      <c r="E120" s="366" t="s">
        <v>1959</v>
      </c>
      <c r="F120" s="366" t="s">
        <v>2102</v>
      </c>
      <c r="G120" s="363"/>
      <c r="H120" s="362" t="s">
        <v>2101</v>
      </c>
      <c r="I120" s="365" t="s">
        <v>2100</v>
      </c>
      <c r="J120" s="364"/>
      <c r="K120" s="363"/>
      <c r="L120" s="363"/>
      <c r="M120" s="362" t="s">
        <v>2099</v>
      </c>
      <c r="N120" s="361"/>
      <c r="O120" s="360"/>
      <c r="P120" s="349"/>
      <c r="Q120" s="349"/>
      <c r="R120" s="349"/>
      <c r="S120" s="349"/>
      <c r="T120" s="349"/>
      <c r="U120" s="349"/>
      <c r="V120" s="349"/>
      <c r="W120" s="349"/>
      <c r="X120" s="349"/>
      <c r="Y120" s="349"/>
      <c r="Z120" s="349"/>
      <c r="AA120" s="349"/>
      <c r="AB120" s="349"/>
      <c r="AC120" s="349"/>
      <c r="AD120" s="349"/>
      <c r="AE120" s="349"/>
      <c r="AF120" s="349"/>
      <c r="AG120" s="349"/>
      <c r="AH120" s="349"/>
      <c r="AI120" s="349"/>
      <c r="AJ120" s="349"/>
      <c r="AK120" s="349"/>
      <c r="AL120" s="349"/>
      <c r="AM120" s="349"/>
      <c r="AN120" s="349"/>
      <c r="AO120" s="349"/>
      <c r="AP120" s="349"/>
      <c r="AQ120" s="349"/>
      <c r="AR120" s="349"/>
    </row>
    <row r="121" spans="1:44" ht="55.5">
      <c r="A121" s="1281"/>
      <c r="B121" s="308" t="s">
        <v>1791</v>
      </c>
      <c r="C121" s="320">
        <v>5</v>
      </c>
      <c r="D121" s="348" t="s">
        <v>595</v>
      </c>
      <c r="E121" s="366" t="s">
        <v>1959</v>
      </c>
      <c r="F121" s="366" t="s">
        <v>2081</v>
      </c>
      <c r="G121" s="363"/>
      <c r="H121" s="362" t="s">
        <v>2098</v>
      </c>
      <c r="I121" s="365" t="s">
        <v>2097</v>
      </c>
      <c r="J121" s="364"/>
      <c r="K121" s="363"/>
      <c r="L121" s="363"/>
      <c r="M121" s="362" t="s">
        <v>2096</v>
      </c>
      <c r="N121" s="361"/>
      <c r="O121" s="360"/>
      <c r="P121" s="349"/>
      <c r="Q121" s="349"/>
      <c r="R121" s="349"/>
      <c r="S121" s="349"/>
      <c r="T121" s="349"/>
      <c r="U121" s="349"/>
      <c r="V121" s="349"/>
      <c r="W121" s="349"/>
      <c r="X121" s="349"/>
      <c r="Y121" s="349"/>
      <c r="Z121" s="349"/>
      <c r="AA121" s="349"/>
      <c r="AB121" s="349"/>
      <c r="AC121" s="349"/>
      <c r="AD121" s="349"/>
      <c r="AE121" s="349"/>
      <c r="AF121" s="349"/>
      <c r="AG121" s="349"/>
      <c r="AH121" s="349"/>
      <c r="AI121" s="349"/>
      <c r="AJ121" s="349"/>
      <c r="AK121" s="349"/>
      <c r="AL121" s="349"/>
      <c r="AM121" s="349"/>
      <c r="AN121" s="349">
        <v>1</v>
      </c>
      <c r="AO121" s="349"/>
      <c r="AP121" s="349"/>
      <c r="AQ121" s="349"/>
      <c r="AR121" s="349"/>
    </row>
    <row r="122" spans="1:44" ht="55.5">
      <c r="A122" s="1281"/>
      <c r="B122" s="308" t="s">
        <v>1792</v>
      </c>
      <c r="C122" s="320">
        <v>5</v>
      </c>
      <c r="D122" s="348" t="s">
        <v>595</v>
      </c>
      <c r="E122" s="366" t="s">
        <v>2095</v>
      </c>
      <c r="F122" s="366" t="s">
        <v>1984</v>
      </c>
      <c r="G122" s="363"/>
      <c r="H122" s="362" t="s">
        <v>2094</v>
      </c>
      <c r="I122" s="365" t="s">
        <v>2093</v>
      </c>
      <c r="J122" s="364"/>
      <c r="K122" s="363"/>
      <c r="L122" s="363"/>
      <c r="M122" s="362" t="s">
        <v>2092</v>
      </c>
      <c r="N122" s="361"/>
      <c r="O122" s="360"/>
      <c r="P122" s="349"/>
      <c r="Q122" s="349"/>
      <c r="R122" s="349"/>
      <c r="S122" s="349"/>
      <c r="T122" s="349"/>
      <c r="U122" s="349"/>
      <c r="V122" s="349"/>
      <c r="W122" s="349"/>
      <c r="X122" s="349"/>
      <c r="Y122" s="349"/>
      <c r="Z122" s="349"/>
      <c r="AA122" s="349"/>
      <c r="AB122" s="349"/>
      <c r="AC122" s="349"/>
      <c r="AD122" s="349"/>
      <c r="AE122" s="349"/>
      <c r="AF122" s="349"/>
      <c r="AG122" s="349"/>
      <c r="AH122" s="349"/>
      <c r="AI122" s="349"/>
      <c r="AJ122" s="349"/>
      <c r="AK122" s="349"/>
      <c r="AL122" s="349"/>
      <c r="AM122" s="349"/>
      <c r="AN122" s="349">
        <v>1</v>
      </c>
      <c r="AO122" s="349"/>
      <c r="AP122" s="349"/>
      <c r="AQ122" s="349"/>
      <c r="AR122" s="349"/>
    </row>
    <row r="123" spans="1:44">
      <c r="A123" s="1282"/>
      <c r="B123" s="308" t="s">
        <v>1793</v>
      </c>
      <c r="C123" s="320">
        <v>5</v>
      </c>
      <c r="D123" s="348" t="s">
        <v>595</v>
      </c>
      <c r="E123" s="366" t="s">
        <v>1980</v>
      </c>
      <c r="F123" s="366" t="s">
        <v>2081</v>
      </c>
      <c r="G123" s="363"/>
      <c r="H123" s="362" t="s">
        <v>2091</v>
      </c>
      <c r="I123" s="365" t="s">
        <v>2090</v>
      </c>
      <c r="J123" s="364"/>
      <c r="K123" s="363"/>
      <c r="L123" s="363"/>
      <c r="M123" s="362" t="s">
        <v>2089</v>
      </c>
      <c r="N123" s="361"/>
      <c r="O123" s="360"/>
      <c r="P123" s="349"/>
      <c r="Q123" s="349"/>
      <c r="R123" s="349"/>
      <c r="S123" s="349"/>
      <c r="T123" s="349"/>
      <c r="U123" s="349"/>
      <c r="V123" s="349"/>
      <c r="W123" s="349"/>
      <c r="X123" s="349"/>
      <c r="Y123" s="349"/>
      <c r="Z123" s="349"/>
      <c r="AA123" s="349"/>
      <c r="AB123" s="349"/>
      <c r="AC123" s="349"/>
      <c r="AD123" s="349"/>
      <c r="AE123" s="349"/>
      <c r="AF123" s="349"/>
      <c r="AG123" s="349"/>
      <c r="AH123" s="349"/>
      <c r="AI123" s="349"/>
      <c r="AJ123" s="349"/>
      <c r="AK123" s="349"/>
      <c r="AL123" s="349"/>
      <c r="AM123" s="349"/>
      <c r="AN123" s="349">
        <v>1</v>
      </c>
      <c r="AO123" s="349"/>
      <c r="AP123" s="349"/>
      <c r="AQ123" s="349"/>
      <c r="AR123" s="349"/>
    </row>
    <row r="124" spans="1:44">
      <c r="A124" s="1269" t="s">
        <v>896</v>
      </c>
      <c r="B124" s="308" t="s">
        <v>2566</v>
      </c>
      <c r="C124" s="320">
        <v>4</v>
      </c>
      <c r="D124" s="348"/>
      <c r="E124" s="366"/>
      <c r="F124" s="366"/>
      <c r="G124" s="363"/>
      <c r="H124" s="362"/>
      <c r="I124" s="365"/>
      <c r="J124" s="364"/>
      <c r="K124" s="363"/>
      <c r="L124" s="363"/>
      <c r="M124" s="362"/>
      <c r="N124" s="361"/>
      <c r="O124" s="360"/>
      <c r="P124" s="349"/>
      <c r="Q124" s="349"/>
      <c r="R124" s="349"/>
      <c r="S124" s="349"/>
      <c r="T124" s="349"/>
      <c r="U124" s="349"/>
      <c r="V124" s="349"/>
      <c r="W124" s="349"/>
      <c r="X124" s="349"/>
      <c r="Y124" s="349"/>
      <c r="Z124" s="349"/>
      <c r="AA124" s="349"/>
      <c r="AB124" s="349"/>
      <c r="AC124" s="349"/>
      <c r="AD124" s="349"/>
      <c r="AE124" s="349"/>
      <c r="AF124" s="349"/>
      <c r="AG124" s="349"/>
      <c r="AH124" s="349"/>
      <c r="AI124" s="349"/>
      <c r="AJ124" s="349"/>
      <c r="AK124" s="349"/>
      <c r="AL124" s="349"/>
      <c r="AM124" s="349"/>
      <c r="AN124" s="349"/>
      <c r="AO124" s="349"/>
      <c r="AP124" s="349"/>
      <c r="AQ124" s="349"/>
      <c r="AR124" s="349"/>
    </row>
    <row r="125" spans="1:44">
      <c r="A125" s="1270"/>
      <c r="B125" s="308" t="s">
        <v>2491</v>
      </c>
      <c r="C125" s="320">
        <v>5</v>
      </c>
      <c r="D125" s="348"/>
      <c r="E125" s="366"/>
      <c r="F125" s="366"/>
      <c r="G125" s="363"/>
      <c r="H125" s="362"/>
      <c r="I125" s="365"/>
      <c r="J125" s="364"/>
      <c r="K125" s="363"/>
      <c r="L125" s="363"/>
      <c r="M125" s="362"/>
      <c r="N125" s="361"/>
      <c r="O125" s="360"/>
      <c r="P125" s="349"/>
      <c r="Q125" s="349"/>
      <c r="R125" s="349"/>
      <c r="S125" s="349"/>
      <c r="T125" s="349"/>
      <c r="U125" s="349"/>
      <c r="V125" s="349"/>
      <c r="W125" s="349"/>
      <c r="X125" s="349"/>
      <c r="Y125" s="349"/>
      <c r="Z125" s="349"/>
      <c r="AA125" s="349"/>
      <c r="AB125" s="349"/>
      <c r="AC125" s="349"/>
      <c r="AD125" s="349"/>
      <c r="AE125" s="349"/>
      <c r="AF125" s="349"/>
      <c r="AG125" s="349"/>
      <c r="AH125" s="349"/>
      <c r="AI125" s="349"/>
      <c r="AJ125" s="349"/>
      <c r="AK125" s="349"/>
      <c r="AL125" s="349"/>
      <c r="AM125" s="349"/>
      <c r="AN125" s="349"/>
      <c r="AO125" s="349"/>
      <c r="AP125" s="349"/>
      <c r="AQ125" s="349"/>
      <c r="AR125" s="349"/>
    </row>
    <row r="126" spans="1:44">
      <c r="A126" s="1270"/>
      <c r="B126" s="308" t="s">
        <v>1794</v>
      </c>
      <c r="C126" s="320">
        <v>2</v>
      </c>
      <c r="D126" s="348" t="s">
        <v>2583</v>
      </c>
      <c r="E126" s="366" t="s">
        <v>1988</v>
      </c>
      <c r="F126" s="366" t="s">
        <v>2088</v>
      </c>
      <c r="G126" s="363"/>
      <c r="H126" s="362"/>
      <c r="I126" s="365"/>
      <c r="J126" s="364"/>
      <c r="K126" s="363"/>
      <c r="L126" s="363"/>
      <c r="M126" s="362"/>
      <c r="N126" s="361"/>
      <c r="O126" s="360"/>
      <c r="P126" s="349"/>
      <c r="Q126" s="349"/>
      <c r="R126" s="349"/>
      <c r="S126" s="349"/>
      <c r="T126" s="349"/>
      <c r="U126" s="349"/>
      <c r="V126" s="349"/>
      <c r="W126" s="349"/>
      <c r="X126" s="349"/>
      <c r="Y126" s="349"/>
      <c r="Z126" s="349"/>
      <c r="AA126" s="349"/>
      <c r="AB126" s="349"/>
      <c r="AC126" s="349"/>
      <c r="AD126" s="349"/>
      <c r="AE126" s="349"/>
      <c r="AF126" s="349"/>
      <c r="AG126" s="349"/>
      <c r="AH126" s="349"/>
      <c r="AI126" s="349"/>
      <c r="AJ126" s="349"/>
      <c r="AK126" s="349"/>
      <c r="AL126" s="349"/>
      <c r="AM126" s="349"/>
      <c r="AN126" s="349"/>
      <c r="AO126" s="349"/>
      <c r="AP126" s="349"/>
      <c r="AQ126" s="349"/>
      <c r="AR126" s="349"/>
    </row>
    <row r="127" spans="1:44">
      <c r="A127" s="1270"/>
      <c r="B127" s="308" t="s">
        <v>1795</v>
      </c>
      <c r="C127" s="320">
        <v>2</v>
      </c>
      <c r="D127" s="348" t="s">
        <v>2584</v>
      </c>
      <c r="E127" s="366" t="s">
        <v>1988</v>
      </c>
      <c r="F127" s="366" t="s">
        <v>2087</v>
      </c>
      <c r="G127" s="363"/>
      <c r="H127" s="362"/>
      <c r="I127" s="365"/>
      <c r="J127" s="364"/>
      <c r="K127" s="363"/>
      <c r="L127" s="363"/>
      <c r="M127" s="362"/>
      <c r="N127" s="361"/>
      <c r="O127" s="360"/>
      <c r="P127" s="349"/>
      <c r="Q127" s="349"/>
      <c r="R127" s="349"/>
      <c r="S127" s="349"/>
      <c r="T127" s="349"/>
      <c r="U127" s="349"/>
      <c r="V127" s="349"/>
      <c r="W127" s="349"/>
      <c r="X127" s="349"/>
      <c r="Y127" s="349"/>
      <c r="Z127" s="349"/>
      <c r="AA127" s="349"/>
      <c r="AB127" s="349"/>
      <c r="AC127" s="349"/>
      <c r="AD127" s="349"/>
      <c r="AE127" s="349"/>
      <c r="AF127" s="349"/>
      <c r="AG127" s="349"/>
      <c r="AH127" s="349"/>
      <c r="AI127" s="349"/>
      <c r="AJ127" s="349"/>
      <c r="AK127" s="349"/>
      <c r="AL127" s="349"/>
      <c r="AM127" s="349"/>
      <c r="AN127" s="349"/>
      <c r="AO127" s="349"/>
      <c r="AP127" s="349"/>
      <c r="AQ127" s="349"/>
      <c r="AR127" s="349"/>
    </row>
    <row r="128" spans="1:44">
      <c r="A128" s="1271"/>
      <c r="B128" s="308" t="s">
        <v>1796</v>
      </c>
      <c r="C128" s="320">
        <v>2</v>
      </c>
      <c r="D128" s="348"/>
      <c r="E128" s="366" t="s">
        <v>1988</v>
      </c>
      <c r="F128" s="366" t="s">
        <v>2072</v>
      </c>
      <c r="G128" s="363"/>
      <c r="H128" s="362"/>
      <c r="I128" s="365"/>
      <c r="J128" s="364"/>
      <c r="K128" s="363"/>
      <c r="L128" s="363"/>
      <c r="M128" s="362"/>
      <c r="N128" s="361"/>
      <c r="O128" s="360"/>
      <c r="P128" s="349"/>
      <c r="Q128" s="349"/>
      <c r="R128" s="349"/>
      <c r="S128" s="349"/>
      <c r="T128" s="349"/>
      <c r="U128" s="349"/>
      <c r="V128" s="349"/>
      <c r="W128" s="349"/>
      <c r="X128" s="349"/>
      <c r="Y128" s="349"/>
      <c r="Z128" s="349"/>
      <c r="AA128" s="349"/>
      <c r="AB128" s="349"/>
      <c r="AC128" s="349"/>
      <c r="AD128" s="349"/>
      <c r="AE128" s="349"/>
      <c r="AF128" s="349"/>
      <c r="AG128" s="349"/>
      <c r="AH128" s="349"/>
      <c r="AI128" s="349"/>
      <c r="AJ128" s="349"/>
      <c r="AK128" s="349"/>
      <c r="AL128" s="349"/>
      <c r="AM128" s="349"/>
      <c r="AN128" s="349"/>
      <c r="AO128" s="349"/>
      <c r="AP128" s="349"/>
      <c r="AQ128" s="349"/>
      <c r="AR128" s="349"/>
    </row>
    <row r="129" spans="1:44" ht="48">
      <c r="A129" s="1280" t="s">
        <v>1797</v>
      </c>
      <c r="B129" s="308" t="s">
        <v>1798</v>
      </c>
      <c r="C129" s="320">
        <v>5</v>
      </c>
      <c r="D129" s="348"/>
      <c r="E129" s="366" t="s">
        <v>1999</v>
      </c>
      <c r="F129" s="366" t="s">
        <v>2035</v>
      </c>
      <c r="G129" s="363"/>
      <c r="H129" s="362" t="s">
        <v>2086</v>
      </c>
      <c r="I129" s="365" t="s">
        <v>2085</v>
      </c>
      <c r="J129" s="364" t="s">
        <v>2084</v>
      </c>
      <c r="K129" s="363"/>
      <c r="L129" s="363" t="s">
        <v>2083</v>
      </c>
      <c r="M129" s="362" t="s">
        <v>2082</v>
      </c>
      <c r="N129" s="361" t="s">
        <v>2056</v>
      </c>
      <c r="O129" s="360" t="s">
        <v>2006</v>
      </c>
      <c r="P129" s="349"/>
      <c r="Q129" s="349"/>
      <c r="R129" s="349"/>
      <c r="S129" s="349"/>
      <c r="T129" s="349"/>
      <c r="U129" s="349"/>
      <c r="V129" s="349"/>
      <c r="W129" s="349"/>
      <c r="X129" s="349"/>
      <c r="Y129" s="349"/>
      <c r="Z129" s="349"/>
      <c r="AA129" s="349"/>
      <c r="AB129" s="349"/>
      <c r="AC129" s="349"/>
      <c r="AD129" s="349"/>
      <c r="AE129" s="349"/>
      <c r="AF129" s="349"/>
      <c r="AG129" s="349"/>
      <c r="AH129" s="349"/>
      <c r="AI129" s="349"/>
      <c r="AJ129" s="349"/>
      <c r="AK129" s="349"/>
      <c r="AL129" s="349"/>
      <c r="AM129" s="349"/>
      <c r="AN129" s="349"/>
      <c r="AO129" s="349"/>
      <c r="AP129" s="349"/>
      <c r="AQ129" s="349"/>
      <c r="AR129" s="349"/>
    </row>
    <row r="130" spans="1:44">
      <c r="A130" s="1281"/>
      <c r="B130" s="308" t="s">
        <v>1799</v>
      </c>
      <c r="C130" s="320">
        <v>5</v>
      </c>
      <c r="D130" s="348" t="s">
        <v>1937</v>
      </c>
      <c r="E130" s="366" t="s">
        <v>1959</v>
      </c>
      <c r="F130" s="366" t="s">
        <v>2081</v>
      </c>
      <c r="G130" s="363"/>
      <c r="H130" s="362" t="s">
        <v>2080</v>
      </c>
      <c r="I130" s="365" t="s">
        <v>2079</v>
      </c>
      <c r="J130" s="364"/>
      <c r="K130" s="363"/>
      <c r="L130" s="363"/>
      <c r="M130" s="362" t="s">
        <v>2078</v>
      </c>
      <c r="N130" s="361" t="s">
        <v>2056</v>
      </c>
      <c r="O130" s="360" t="s">
        <v>2006</v>
      </c>
      <c r="P130" s="349"/>
      <c r="Q130" s="349"/>
      <c r="R130" s="349"/>
      <c r="S130" s="349"/>
      <c r="T130" s="349"/>
      <c r="U130" s="349"/>
      <c r="V130" s="349"/>
      <c r="W130" s="349"/>
      <c r="X130" s="349"/>
      <c r="Y130" s="349"/>
      <c r="Z130" s="349"/>
      <c r="AA130" s="349"/>
      <c r="AB130" s="349"/>
      <c r="AC130" s="349"/>
      <c r="AD130" s="349">
        <v>1</v>
      </c>
      <c r="AE130" s="349"/>
      <c r="AF130" s="349"/>
      <c r="AG130" s="349"/>
      <c r="AH130" s="349"/>
      <c r="AI130" s="349"/>
      <c r="AJ130" s="349"/>
      <c r="AK130" s="349"/>
      <c r="AL130" s="349"/>
      <c r="AM130" s="349"/>
      <c r="AN130" s="349"/>
      <c r="AO130" s="349"/>
      <c r="AP130" s="349"/>
      <c r="AQ130" s="349"/>
      <c r="AR130" s="349"/>
    </row>
    <row r="131" spans="1:44">
      <c r="A131" s="1281"/>
      <c r="B131" s="308" t="s">
        <v>1800</v>
      </c>
      <c r="C131" s="320">
        <v>4</v>
      </c>
      <c r="D131" s="348"/>
      <c r="E131" s="366" t="s">
        <v>2073</v>
      </c>
      <c r="F131" s="366" t="s">
        <v>2035</v>
      </c>
      <c r="G131" s="363"/>
      <c r="H131" s="362" t="s">
        <v>2077</v>
      </c>
      <c r="I131" s="365" t="s">
        <v>2076</v>
      </c>
      <c r="J131" s="364"/>
      <c r="K131" s="363"/>
      <c r="L131" s="363"/>
      <c r="M131" s="362" t="s">
        <v>2075</v>
      </c>
      <c r="N131" s="361" t="s">
        <v>2074</v>
      </c>
      <c r="O131" s="360" t="s">
        <v>2006</v>
      </c>
      <c r="P131" s="349"/>
      <c r="Q131" s="349"/>
      <c r="R131" s="349"/>
      <c r="S131" s="349"/>
      <c r="T131" s="349"/>
      <c r="U131" s="349"/>
      <c r="V131" s="349"/>
      <c r="W131" s="349"/>
      <c r="X131" s="349"/>
      <c r="Y131" s="349"/>
      <c r="Z131" s="349"/>
      <c r="AA131" s="349"/>
      <c r="AB131" s="349"/>
      <c r="AC131" s="349"/>
      <c r="AD131" s="349"/>
      <c r="AE131" s="349"/>
      <c r="AF131" s="349"/>
      <c r="AG131" s="349"/>
      <c r="AH131" s="349"/>
      <c r="AI131" s="349"/>
      <c r="AJ131" s="349"/>
      <c r="AK131" s="349"/>
      <c r="AL131" s="349"/>
      <c r="AM131" s="349"/>
      <c r="AN131" s="349"/>
      <c r="AO131" s="349"/>
      <c r="AP131" s="349"/>
      <c r="AQ131" s="349"/>
      <c r="AR131" s="349"/>
    </row>
    <row r="132" spans="1:44">
      <c r="A132" s="1281"/>
      <c r="B132" s="308" t="s">
        <v>1801</v>
      </c>
      <c r="C132" s="320">
        <v>5</v>
      </c>
      <c r="D132" s="348"/>
      <c r="E132" s="366" t="s">
        <v>2073</v>
      </c>
      <c r="F132" s="366" t="s">
        <v>2072</v>
      </c>
      <c r="G132" s="363"/>
      <c r="H132" s="362" t="s">
        <v>2071</v>
      </c>
      <c r="I132" s="365" t="s">
        <v>2070</v>
      </c>
      <c r="J132" s="364" t="s">
        <v>2069</v>
      </c>
      <c r="K132" s="363"/>
      <c r="L132" s="363" t="s">
        <v>2068</v>
      </c>
      <c r="M132" s="362" t="s">
        <v>2067</v>
      </c>
      <c r="N132" s="361" t="s">
        <v>2007</v>
      </c>
      <c r="O132" s="360" t="s">
        <v>2006</v>
      </c>
      <c r="P132" s="349"/>
      <c r="Q132" s="349"/>
      <c r="R132" s="349"/>
      <c r="S132" s="349"/>
      <c r="T132" s="349"/>
      <c r="U132" s="349"/>
      <c r="V132" s="349"/>
      <c r="W132" s="349"/>
      <c r="X132" s="349"/>
      <c r="Y132" s="349"/>
      <c r="Z132" s="349"/>
      <c r="AA132" s="349"/>
      <c r="AB132" s="349"/>
      <c r="AC132" s="349"/>
      <c r="AD132" s="349"/>
      <c r="AE132" s="349"/>
      <c r="AF132" s="349"/>
      <c r="AG132" s="349"/>
      <c r="AH132" s="349"/>
      <c r="AI132" s="349"/>
      <c r="AJ132" s="349"/>
      <c r="AK132" s="349"/>
      <c r="AL132" s="349"/>
      <c r="AM132" s="349"/>
      <c r="AN132" s="349"/>
      <c r="AO132" s="349"/>
      <c r="AP132" s="349"/>
      <c r="AQ132" s="349"/>
      <c r="AR132" s="349"/>
    </row>
    <row r="133" spans="1:44">
      <c r="A133" s="1281"/>
      <c r="B133" s="308" t="s">
        <v>1802</v>
      </c>
      <c r="C133" s="320">
        <v>4</v>
      </c>
      <c r="D133" s="348" t="s">
        <v>595</v>
      </c>
      <c r="E133" s="366" t="s">
        <v>2066</v>
      </c>
      <c r="F133" s="366" t="s">
        <v>2065</v>
      </c>
      <c r="G133" s="363"/>
      <c r="H133" s="362" t="s">
        <v>2064</v>
      </c>
      <c r="I133" s="365" t="s">
        <v>2063</v>
      </c>
      <c r="J133" s="364" t="s">
        <v>2062</v>
      </c>
      <c r="K133" s="363"/>
      <c r="L133" s="363" t="s">
        <v>2061</v>
      </c>
      <c r="M133" s="362" t="s">
        <v>2060</v>
      </c>
      <c r="N133" s="361" t="s">
        <v>2059</v>
      </c>
      <c r="O133" s="360" t="s">
        <v>2006</v>
      </c>
      <c r="P133" s="349"/>
      <c r="Q133" s="349"/>
      <c r="R133" s="349"/>
      <c r="S133" s="349"/>
      <c r="T133" s="349"/>
      <c r="U133" s="349"/>
      <c r="V133" s="349"/>
      <c r="W133" s="349"/>
      <c r="X133" s="349"/>
      <c r="Y133" s="349"/>
      <c r="Z133" s="349"/>
      <c r="AA133" s="349"/>
      <c r="AB133" s="349"/>
      <c r="AC133" s="349"/>
      <c r="AD133" s="349"/>
      <c r="AE133" s="349"/>
      <c r="AF133" s="349"/>
      <c r="AG133" s="349"/>
      <c r="AH133" s="349"/>
      <c r="AI133" s="349"/>
      <c r="AJ133" s="349"/>
      <c r="AK133" s="349"/>
      <c r="AL133" s="349"/>
      <c r="AM133" s="349"/>
      <c r="AN133" s="349">
        <v>1</v>
      </c>
      <c r="AO133" s="349"/>
      <c r="AP133" s="349"/>
      <c r="AQ133" s="349"/>
      <c r="AR133" s="349"/>
    </row>
    <row r="134" spans="1:44">
      <c r="A134" s="1282"/>
      <c r="B134" s="308" t="s">
        <v>1803</v>
      </c>
      <c r="C134" s="320">
        <v>4</v>
      </c>
      <c r="D134" s="348" t="s">
        <v>717</v>
      </c>
      <c r="E134" s="366" t="s">
        <v>1959</v>
      </c>
      <c r="F134" s="366" t="s">
        <v>2035</v>
      </c>
      <c r="G134" s="363"/>
      <c r="H134" s="362"/>
      <c r="I134" s="365" t="s">
        <v>2058</v>
      </c>
      <c r="J134" s="364"/>
      <c r="K134" s="363"/>
      <c r="L134" s="363"/>
      <c r="M134" s="362" t="s">
        <v>2057</v>
      </c>
      <c r="N134" s="361" t="s">
        <v>2056</v>
      </c>
      <c r="O134" s="360" t="s">
        <v>2006</v>
      </c>
      <c r="P134" s="349"/>
      <c r="Q134" s="349"/>
      <c r="R134" s="349"/>
      <c r="S134" s="349"/>
      <c r="T134" s="349"/>
      <c r="U134" s="349"/>
      <c r="V134" s="349"/>
      <c r="W134" s="349"/>
      <c r="X134" s="349"/>
      <c r="Y134" s="349"/>
      <c r="Z134" s="349"/>
      <c r="AA134" s="349"/>
      <c r="AB134" s="349"/>
      <c r="AC134" s="349"/>
      <c r="AD134" s="349"/>
      <c r="AE134" s="349"/>
      <c r="AF134" s="349"/>
      <c r="AG134" s="349"/>
      <c r="AH134" s="349"/>
      <c r="AI134" s="349"/>
      <c r="AJ134" s="349"/>
      <c r="AK134" s="349"/>
      <c r="AL134" s="349"/>
      <c r="AM134" s="349"/>
      <c r="AN134" s="349"/>
      <c r="AO134" s="349"/>
      <c r="AP134" s="349"/>
      <c r="AQ134" s="349"/>
      <c r="AR134" s="349"/>
    </row>
    <row r="135" spans="1:44">
      <c r="A135" s="1280" t="s">
        <v>353</v>
      </c>
      <c r="B135" s="308" t="s">
        <v>1804</v>
      </c>
      <c r="C135" s="320">
        <v>5</v>
      </c>
      <c r="D135" s="348" t="s">
        <v>1938</v>
      </c>
      <c r="E135" s="366" t="s">
        <v>1999</v>
      </c>
      <c r="F135" s="366" t="s">
        <v>2035</v>
      </c>
      <c r="G135" s="363"/>
      <c r="H135" s="362" t="s">
        <v>2055</v>
      </c>
      <c r="I135" s="365" t="s">
        <v>2054</v>
      </c>
      <c r="J135" s="364"/>
      <c r="K135" s="363" t="s">
        <v>2047</v>
      </c>
      <c r="L135" s="363"/>
      <c r="M135" s="362" t="s">
        <v>2053</v>
      </c>
      <c r="N135" s="361" t="s">
        <v>2030</v>
      </c>
      <c r="O135" s="360" t="s">
        <v>2006</v>
      </c>
      <c r="P135" s="349"/>
      <c r="Q135" s="349"/>
      <c r="R135" s="349"/>
      <c r="S135" s="349"/>
      <c r="T135" s="349"/>
      <c r="U135" s="349"/>
      <c r="V135" s="349"/>
      <c r="W135" s="349"/>
      <c r="X135" s="349"/>
      <c r="Y135" s="349"/>
      <c r="Z135" s="349"/>
      <c r="AA135" s="349"/>
      <c r="AB135" s="349"/>
      <c r="AC135" s="349"/>
      <c r="AD135" s="349"/>
      <c r="AE135" s="349"/>
      <c r="AF135" s="349"/>
      <c r="AG135" s="349">
        <v>1</v>
      </c>
      <c r="AH135" s="349">
        <v>1</v>
      </c>
      <c r="AI135" s="349">
        <v>1</v>
      </c>
      <c r="AJ135" s="349">
        <v>1</v>
      </c>
      <c r="AK135" s="349">
        <v>1</v>
      </c>
      <c r="AL135" s="349">
        <v>1</v>
      </c>
      <c r="AM135" s="349">
        <v>1</v>
      </c>
      <c r="AN135" s="349"/>
      <c r="AO135" s="349"/>
      <c r="AP135" s="349"/>
      <c r="AQ135" s="349"/>
      <c r="AR135" s="349"/>
    </row>
    <row r="136" spans="1:44">
      <c r="A136" s="1281"/>
      <c r="B136" s="308" t="s">
        <v>1805</v>
      </c>
      <c r="C136" s="320">
        <v>5</v>
      </c>
      <c r="D136" s="348" t="s">
        <v>1937</v>
      </c>
      <c r="E136" s="366" t="s">
        <v>1999</v>
      </c>
      <c r="F136" s="366" t="s">
        <v>2035</v>
      </c>
      <c r="G136" s="363"/>
      <c r="H136" s="362" t="s">
        <v>2052</v>
      </c>
      <c r="I136" s="365" t="s">
        <v>2051</v>
      </c>
      <c r="J136" s="364"/>
      <c r="K136" s="363"/>
      <c r="L136" s="363"/>
      <c r="M136" s="362" t="s">
        <v>2050</v>
      </c>
      <c r="N136" s="361" t="s">
        <v>2045</v>
      </c>
      <c r="O136" s="360" t="s">
        <v>2044</v>
      </c>
      <c r="P136" s="349"/>
      <c r="Q136" s="349"/>
      <c r="R136" s="349"/>
      <c r="S136" s="349"/>
      <c r="T136" s="349"/>
      <c r="U136" s="349"/>
      <c r="V136" s="349"/>
      <c r="W136" s="349"/>
      <c r="X136" s="349"/>
      <c r="Y136" s="349"/>
      <c r="Z136" s="349"/>
      <c r="AA136" s="349"/>
      <c r="AB136" s="349"/>
      <c r="AC136" s="349"/>
      <c r="AD136" s="349">
        <v>1</v>
      </c>
      <c r="AE136" s="349"/>
      <c r="AF136" s="349"/>
      <c r="AG136" s="349"/>
      <c r="AH136" s="349"/>
      <c r="AI136" s="349"/>
      <c r="AJ136" s="349"/>
      <c r="AK136" s="349"/>
      <c r="AL136" s="349"/>
      <c r="AM136" s="349"/>
      <c r="AN136" s="349"/>
      <c r="AO136" s="349"/>
      <c r="AP136" s="349"/>
      <c r="AQ136" s="349"/>
      <c r="AR136" s="349"/>
    </row>
    <row r="137" spans="1:44" ht="48">
      <c r="A137" s="1281"/>
      <c r="B137" s="308" t="s">
        <v>1806</v>
      </c>
      <c r="C137" s="320">
        <v>4</v>
      </c>
      <c r="D137" s="348" t="s">
        <v>1939</v>
      </c>
      <c r="E137" s="366" t="s">
        <v>1999</v>
      </c>
      <c r="F137" s="366" t="s">
        <v>2035</v>
      </c>
      <c r="G137" s="363"/>
      <c r="H137" s="362" t="s">
        <v>2049</v>
      </c>
      <c r="I137" s="365" t="s">
        <v>2048</v>
      </c>
      <c r="J137" s="364"/>
      <c r="K137" s="363" t="s">
        <v>2047</v>
      </c>
      <c r="L137" s="363"/>
      <c r="M137" s="362" t="s">
        <v>2046</v>
      </c>
      <c r="N137" s="361" t="s">
        <v>2045</v>
      </c>
      <c r="O137" s="360" t="s">
        <v>2044</v>
      </c>
      <c r="P137" s="349"/>
      <c r="Q137" s="349"/>
      <c r="R137" s="349"/>
      <c r="S137" s="349"/>
      <c r="T137" s="349"/>
      <c r="U137" s="349"/>
      <c r="V137" s="349">
        <v>1</v>
      </c>
      <c r="W137" s="349"/>
      <c r="X137" s="349">
        <v>1</v>
      </c>
      <c r="Y137" s="349"/>
      <c r="Z137" s="349">
        <v>1</v>
      </c>
      <c r="AA137" s="349">
        <v>1</v>
      </c>
      <c r="AB137" s="349"/>
      <c r="AC137" s="349"/>
      <c r="AD137" s="349"/>
      <c r="AE137" s="349"/>
      <c r="AF137" s="349"/>
      <c r="AG137" s="349"/>
      <c r="AH137" s="349"/>
      <c r="AI137" s="349"/>
      <c r="AJ137" s="349"/>
      <c r="AK137" s="349"/>
      <c r="AL137" s="349"/>
      <c r="AM137" s="349"/>
      <c r="AN137" s="349"/>
      <c r="AO137" s="349"/>
      <c r="AP137" s="349"/>
      <c r="AQ137" s="349"/>
      <c r="AR137" s="349"/>
    </row>
    <row r="138" spans="1:44">
      <c r="A138" s="1281"/>
      <c r="B138" s="308" t="s">
        <v>1807</v>
      </c>
      <c r="C138" s="320">
        <v>4</v>
      </c>
      <c r="D138" s="348"/>
      <c r="E138" s="366" t="s">
        <v>1999</v>
      </c>
      <c r="F138" s="366" t="s">
        <v>2035</v>
      </c>
      <c r="G138" s="363"/>
      <c r="H138" s="362" t="s">
        <v>2043</v>
      </c>
      <c r="I138" s="365" t="s">
        <v>2042</v>
      </c>
      <c r="J138" s="364"/>
      <c r="K138" s="363" t="s">
        <v>2041</v>
      </c>
      <c r="L138" s="363"/>
      <c r="M138" s="362" t="s">
        <v>2040</v>
      </c>
      <c r="N138" s="361" t="s">
        <v>2030</v>
      </c>
      <c r="O138" s="360"/>
      <c r="P138" s="349"/>
      <c r="Q138" s="349"/>
      <c r="R138" s="349"/>
      <c r="S138" s="349"/>
      <c r="T138" s="349"/>
      <c r="U138" s="349"/>
      <c r="V138" s="349"/>
      <c r="W138" s="349"/>
      <c r="X138" s="349"/>
      <c r="Y138" s="349"/>
      <c r="Z138" s="349"/>
      <c r="AA138" s="349"/>
      <c r="AB138" s="349"/>
      <c r="AC138" s="349"/>
      <c r="AD138" s="349"/>
      <c r="AE138" s="349"/>
      <c r="AF138" s="349"/>
      <c r="AG138" s="349"/>
      <c r="AH138" s="349"/>
      <c r="AI138" s="349"/>
      <c r="AJ138" s="349"/>
      <c r="AK138" s="349"/>
      <c r="AL138" s="349"/>
      <c r="AM138" s="349"/>
      <c r="AN138" s="349"/>
      <c r="AO138" s="349"/>
      <c r="AP138" s="349"/>
      <c r="AQ138" s="349"/>
      <c r="AR138" s="349"/>
    </row>
    <row r="139" spans="1:44" ht="48">
      <c r="A139" s="1281"/>
      <c r="B139" s="308" t="s">
        <v>1808</v>
      </c>
      <c r="C139" s="320">
        <v>4</v>
      </c>
      <c r="D139" s="348"/>
      <c r="E139" s="366" t="s">
        <v>1999</v>
      </c>
      <c r="F139" s="366" t="s">
        <v>2035</v>
      </c>
      <c r="G139" s="363"/>
      <c r="H139" s="362" t="s">
        <v>2039</v>
      </c>
      <c r="I139" s="365" t="s">
        <v>2038</v>
      </c>
      <c r="J139" s="364"/>
      <c r="K139" s="363" t="s">
        <v>2037</v>
      </c>
      <c r="L139" s="363"/>
      <c r="M139" s="362" t="s">
        <v>2036</v>
      </c>
      <c r="N139" s="361" t="s">
        <v>2030</v>
      </c>
      <c r="O139" s="360"/>
      <c r="P139" s="349"/>
      <c r="Q139" s="349"/>
      <c r="R139" s="349"/>
      <c r="S139" s="349"/>
      <c r="T139" s="349"/>
      <c r="U139" s="349"/>
      <c r="V139" s="349"/>
      <c r="W139" s="349"/>
      <c r="X139" s="349"/>
      <c r="Y139" s="349"/>
      <c r="Z139" s="349"/>
      <c r="AA139" s="349"/>
      <c r="AB139" s="349"/>
      <c r="AC139" s="349"/>
      <c r="AD139" s="349"/>
      <c r="AE139" s="349"/>
      <c r="AF139" s="349"/>
      <c r="AG139" s="349"/>
      <c r="AH139" s="349"/>
      <c r="AI139" s="349"/>
      <c r="AJ139" s="349"/>
      <c r="AK139" s="349"/>
      <c r="AL139" s="349"/>
      <c r="AM139" s="349"/>
      <c r="AN139" s="349"/>
      <c r="AO139" s="349"/>
      <c r="AP139" s="349"/>
      <c r="AQ139" s="349"/>
      <c r="AR139" s="349"/>
    </row>
    <row r="140" spans="1:44">
      <c r="A140" s="1282"/>
      <c r="B140" s="308" t="s">
        <v>1809</v>
      </c>
      <c r="C140" s="320">
        <v>5</v>
      </c>
      <c r="D140" s="348" t="s">
        <v>614</v>
      </c>
      <c r="E140" s="366" t="s">
        <v>1999</v>
      </c>
      <c r="F140" s="366" t="s">
        <v>2035</v>
      </c>
      <c r="G140" s="363"/>
      <c r="H140" s="362" t="s">
        <v>2034</v>
      </c>
      <c r="I140" s="365" t="s">
        <v>2033</v>
      </c>
      <c r="J140" s="364"/>
      <c r="K140" s="363" t="s">
        <v>2032</v>
      </c>
      <c r="L140" s="363"/>
      <c r="M140" s="362" t="s">
        <v>2031</v>
      </c>
      <c r="N140" s="361" t="s">
        <v>2030</v>
      </c>
      <c r="O140" s="360"/>
      <c r="P140" s="349"/>
      <c r="Q140" s="349">
        <v>1</v>
      </c>
      <c r="R140" s="349"/>
      <c r="S140" s="349"/>
      <c r="T140" s="349"/>
      <c r="U140" s="349"/>
      <c r="V140" s="349"/>
      <c r="W140" s="349"/>
      <c r="X140" s="349"/>
      <c r="Y140" s="349"/>
      <c r="Z140" s="349"/>
      <c r="AA140" s="349"/>
      <c r="AB140" s="349"/>
      <c r="AC140" s="349"/>
      <c r="AD140" s="349"/>
      <c r="AE140" s="349"/>
      <c r="AF140" s="349"/>
      <c r="AG140" s="349"/>
      <c r="AH140" s="349"/>
      <c r="AI140" s="349"/>
      <c r="AJ140" s="349"/>
      <c r="AK140" s="349"/>
      <c r="AL140" s="349"/>
      <c r="AM140" s="349"/>
      <c r="AN140" s="349"/>
      <c r="AO140" s="349"/>
      <c r="AP140" s="349"/>
      <c r="AQ140" s="349"/>
      <c r="AR140" s="349"/>
    </row>
    <row r="141" spans="1:44">
      <c r="A141" s="1280" t="s">
        <v>652</v>
      </c>
      <c r="B141" s="308" t="s">
        <v>1810</v>
      </c>
      <c r="C141" s="320">
        <v>3</v>
      </c>
      <c r="D141" s="348" t="s">
        <v>1940</v>
      </c>
      <c r="E141" s="366" t="s">
        <v>1988</v>
      </c>
      <c r="F141" s="366" t="s">
        <v>1954</v>
      </c>
      <c r="G141" s="363"/>
      <c r="H141" s="362" t="s">
        <v>2029</v>
      </c>
      <c r="I141" s="365"/>
      <c r="J141" s="364"/>
      <c r="K141" s="363"/>
      <c r="L141" s="363"/>
      <c r="M141" s="362" t="s">
        <v>2028</v>
      </c>
      <c r="N141" s="361">
        <v>0.9</v>
      </c>
      <c r="O141" s="360" t="s">
        <v>2006</v>
      </c>
      <c r="P141" s="349"/>
      <c r="Q141" s="349"/>
      <c r="R141" s="349"/>
      <c r="S141" s="349"/>
      <c r="T141" s="349"/>
      <c r="U141" s="349"/>
      <c r="V141" s="349"/>
      <c r="W141" s="349"/>
      <c r="X141" s="349"/>
      <c r="Y141" s="349"/>
      <c r="Z141" s="349"/>
      <c r="AA141" s="349"/>
      <c r="AB141" s="349"/>
      <c r="AC141" s="349"/>
      <c r="AD141" s="349">
        <v>1</v>
      </c>
      <c r="AE141" s="349"/>
      <c r="AF141" s="349"/>
      <c r="AG141" s="349"/>
      <c r="AH141" s="349"/>
      <c r="AI141" s="349"/>
      <c r="AJ141" s="349"/>
      <c r="AK141" s="349"/>
      <c r="AL141" s="349"/>
      <c r="AM141" s="349"/>
      <c r="AN141" s="349">
        <v>1</v>
      </c>
      <c r="AO141" s="349"/>
      <c r="AP141" s="349"/>
      <c r="AQ141" s="349"/>
      <c r="AR141" s="349"/>
    </row>
    <row r="142" spans="1:44">
      <c r="A142" s="1281"/>
      <c r="B142" s="308" t="s">
        <v>1811</v>
      </c>
      <c r="C142" s="320">
        <v>3</v>
      </c>
      <c r="D142" s="348" t="s">
        <v>353</v>
      </c>
      <c r="E142" s="366" t="s">
        <v>1988</v>
      </c>
      <c r="F142" s="366" t="s">
        <v>1954</v>
      </c>
      <c r="G142" s="363"/>
      <c r="H142" s="362" t="s">
        <v>2027</v>
      </c>
      <c r="I142" s="365" t="s">
        <v>2026</v>
      </c>
      <c r="J142" s="364"/>
      <c r="K142" s="363"/>
      <c r="L142" s="363"/>
      <c r="M142" s="362" t="s">
        <v>2025</v>
      </c>
      <c r="N142" s="361">
        <v>1</v>
      </c>
      <c r="O142" s="360" t="s">
        <v>2006</v>
      </c>
      <c r="P142" s="349"/>
      <c r="Q142" s="349"/>
      <c r="R142" s="349"/>
      <c r="S142" s="349"/>
      <c r="T142" s="349"/>
      <c r="U142" s="349"/>
      <c r="V142" s="349"/>
      <c r="W142" s="349"/>
      <c r="X142" s="349"/>
      <c r="Y142" s="349"/>
      <c r="Z142" s="349"/>
      <c r="AA142" s="349"/>
      <c r="AB142" s="349"/>
      <c r="AC142" s="349"/>
      <c r="AD142" s="349"/>
      <c r="AE142" s="349"/>
      <c r="AF142" s="349"/>
      <c r="AG142" s="349"/>
      <c r="AH142" s="349"/>
      <c r="AI142" s="349"/>
      <c r="AJ142" s="349"/>
      <c r="AK142" s="349"/>
      <c r="AL142" s="349"/>
      <c r="AM142" s="349"/>
      <c r="AN142" s="349"/>
      <c r="AO142" s="349"/>
      <c r="AP142" s="349"/>
      <c r="AQ142" s="349">
        <v>1</v>
      </c>
      <c r="AR142" s="349"/>
    </row>
    <row r="143" spans="1:44">
      <c r="A143" s="1281"/>
      <c r="B143" s="308" t="s">
        <v>1812</v>
      </c>
      <c r="C143" s="320">
        <v>4</v>
      </c>
      <c r="D143" s="348" t="s">
        <v>595</v>
      </c>
      <c r="E143" s="366" t="s">
        <v>1988</v>
      </c>
      <c r="F143" s="366" t="s">
        <v>1954</v>
      </c>
      <c r="G143" s="363"/>
      <c r="H143" s="362" t="s">
        <v>2024</v>
      </c>
      <c r="I143" s="365" t="s">
        <v>2023</v>
      </c>
      <c r="J143" s="364"/>
      <c r="K143" s="363"/>
      <c r="L143" s="363"/>
      <c r="M143" s="362" t="s">
        <v>2022</v>
      </c>
      <c r="N143" s="361">
        <v>1</v>
      </c>
      <c r="O143" s="360" t="s">
        <v>2006</v>
      </c>
      <c r="P143" s="349"/>
      <c r="Q143" s="349"/>
      <c r="R143" s="349"/>
      <c r="S143" s="349"/>
      <c r="T143" s="349"/>
      <c r="U143" s="349"/>
      <c r="V143" s="349"/>
      <c r="W143" s="349"/>
      <c r="X143" s="349"/>
      <c r="Y143" s="349"/>
      <c r="Z143" s="349"/>
      <c r="AA143" s="349"/>
      <c r="AB143" s="349"/>
      <c r="AC143" s="349"/>
      <c r="AD143" s="349"/>
      <c r="AE143" s="349"/>
      <c r="AF143" s="349"/>
      <c r="AG143" s="349"/>
      <c r="AH143" s="349"/>
      <c r="AI143" s="349"/>
      <c r="AJ143" s="349"/>
      <c r="AK143" s="349"/>
      <c r="AL143" s="349"/>
      <c r="AM143" s="349"/>
      <c r="AN143" s="349">
        <v>1</v>
      </c>
      <c r="AO143" s="349"/>
      <c r="AP143" s="349"/>
      <c r="AQ143" s="349"/>
      <c r="AR143" s="349"/>
    </row>
    <row r="144" spans="1:44">
      <c r="A144" s="1281"/>
      <c r="B144" s="308" t="s">
        <v>1813</v>
      </c>
      <c r="C144" s="320">
        <v>3</v>
      </c>
      <c r="D144" s="348" t="s">
        <v>1941</v>
      </c>
      <c r="E144" s="366" t="s">
        <v>1988</v>
      </c>
      <c r="F144" s="366" t="s">
        <v>1954</v>
      </c>
      <c r="G144" s="363"/>
      <c r="H144" s="362"/>
      <c r="I144" s="365" t="s">
        <v>2021</v>
      </c>
      <c r="J144" s="364"/>
      <c r="K144" s="363"/>
      <c r="L144" s="363"/>
      <c r="M144" s="362" t="s">
        <v>2020</v>
      </c>
      <c r="N144" s="361">
        <v>1</v>
      </c>
      <c r="O144" s="360" t="s">
        <v>2006</v>
      </c>
      <c r="P144" s="349"/>
      <c r="Q144" s="349"/>
      <c r="R144" s="349"/>
      <c r="S144" s="349"/>
      <c r="T144" s="349"/>
      <c r="U144" s="349"/>
      <c r="V144" s="349">
        <v>1</v>
      </c>
      <c r="W144" s="349"/>
      <c r="X144" s="349"/>
      <c r="Y144" s="349"/>
      <c r="Z144" s="349"/>
      <c r="AA144" s="349"/>
      <c r="AB144" s="349"/>
      <c r="AC144" s="349"/>
      <c r="AD144" s="349"/>
      <c r="AE144" s="349">
        <v>1</v>
      </c>
      <c r="AF144" s="349"/>
      <c r="AG144" s="349"/>
      <c r="AH144" s="349"/>
      <c r="AI144" s="349"/>
      <c r="AJ144" s="349"/>
      <c r="AK144" s="349"/>
      <c r="AL144" s="349"/>
      <c r="AM144" s="349"/>
      <c r="AN144" s="349"/>
      <c r="AO144" s="349"/>
      <c r="AP144" s="349"/>
      <c r="AQ144" s="349"/>
      <c r="AR144" s="349"/>
    </row>
    <row r="145" spans="1:44">
      <c r="A145" s="1281"/>
      <c r="B145" s="308" t="s">
        <v>1814</v>
      </c>
      <c r="C145" s="320">
        <v>3</v>
      </c>
      <c r="D145" s="348" t="s">
        <v>1942</v>
      </c>
      <c r="E145" s="366" t="s">
        <v>1988</v>
      </c>
      <c r="F145" s="366" t="s">
        <v>1954</v>
      </c>
      <c r="G145" s="363"/>
      <c r="H145" s="362" t="s">
        <v>2019</v>
      </c>
      <c r="I145" s="365" t="s">
        <v>2018</v>
      </c>
      <c r="J145" s="364"/>
      <c r="K145" s="363"/>
      <c r="L145" s="363"/>
      <c r="M145" s="362" t="s">
        <v>2017</v>
      </c>
      <c r="N145" s="361">
        <v>1</v>
      </c>
      <c r="O145" s="360" t="s">
        <v>2006</v>
      </c>
      <c r="P145" s="349"/>
      <c r="Q145" s="349"/>
      <c r="R145" s="349"/>
      <c r="S145" s="349"/>
      <c r="T145" s="349"/>
      <c r="U145" s="349"/>
      <c r="V145" s="349"/>
      <c r="W145" s="349"/>
      <c r="X145" s="349"/>
      <c r="Y145" s="349"/>
      <c r="Z145" s="349"/>
      <c r="AA145" s="349"/>
      <c r="AB145" s="349"/>
      <c r="AC145" s="349"/>
      <c r="AD145" s="349">
        <v>1</v>
      </c>
      <c r="AE145" s="349">
        <v>1</v>
      </c>
      <c r="AF145" s="349"/>
      <c r="AG145" s="349"/>
      <c r="AH145" s="349"/>
      <c r="AI145" s="349"/>
      <c r="AJ145" s="349"/>
      <c r="AK145" s="349"/>
      <c r="AL145" s="349"/>
      <c r="AM145" s="349"/>
      <c r="AN145" s="349"/>
      <c r="AO145" s="349"/>
      <c r="AP145" s="349"/>
      <c r="AQ145" s="349"/>
      <c r="AR145" s="349"/>
    </row>
    <row r="146" spans="1:44">
      <c r="A146" s="1281"/>
      <c r="B146" s="308" t="s">
        <v>1815</v>
      </c>
      <c r="C146" s="320">
        <v>4</v>
      </c>
      <c r="D146" s="348" t="s">
        <v>614</v>
      </c>
      <c r="E146" s="366" t="s">
        <v>1988</v>
      </c>
      <c r="F146" s="366" t="s">
        <v>1954</v>
      </c>
      <c r="G146" s="363"/>
      <c r="H146" s="362" t="s">
        <v>2016</v>
      </c>
      <c r="I146" s="365" t="s">
        <v>2015</v>
      </c>
      <c r="J146" s="364"/>
      <c r="K146" s="363"/>
      <c r="L146" s="363"/>
      <c r="M146" s="362" t="s">
        <v>2014</v>
      </c>
      <c r="N146" s="361">
        <v>0.8</v>
      </c>
      <c r="O146" s="360" t="s">
        <v>2006</v>
      </c>
      <c r="P146" s="349"/>
      <c r="Q146" s="349">
        <v>1</v>
      </c>
      <c r="R146" s="349"/>
      <c r="S146" s="349"/>
      <c r="T146" s="349"/>
      <c r="U146" s="349"/>
      <c r="V146" s="349"/>
      <c r="W146" s="349"/>
      <c r="X146" s="349"/>
      <c r="Y146" s="349"/>
      <c r="Z146" s="349"/>
      <c r="AA146" s="349"/>
      <c r="AB146" s="349"/>
      <c r="AC146" s="349"/>
      <c r="AD146" s="349"/>
      <c r="AE146" s="349"/>
      <c r="AF146" s="349"/>
      <c r="AG146" s="349"/>
      <c r="AH146" s="349"/>
      <c r="AI146" s="349"/>
      <c r="AJ146" s="349"/>
      <c r="AK146" s="349"/>
      <c r="AL146" s="349"/>
      <c r="AM146" s="349"/>
      <c r="AN146" s="349"/>
      <c r="AO146" s="349"/>
      <c r="AP146" s="349"/>
      <c r="AQ146" s="349"/>
      <c r="AR146" s="349"/>
    </row>
    <row r="147" spans="1:44" ht="48">
      <c r="A147" s="1281"/>
      <c r="B147" s="308" t="s">
        <v>1816</v>
      </c>
      <c r="C147" s="320">
        <v>5</v>
      </c>
      <c r="D147" s="348" t="s">
        <v>1943</v>
      </c>
      <c r="E147" s="366" t="s">
        <v>1988</v>
      </c>
      <c r="F147" s="366" t="s">
        <v>1954</v>
      </c>
      <c r="G147" s="363"/>
      <c r="H147" s="362" t="s">
        <v>2013</v>
      </c>
      <c r="I147" s="365" t="s">
        <v>2012</v>
      </c>
      <c r="J147" s="364"/>
      <c r="K147" s="363"/>
      <c r="L147" s="363"/>
      <c r="M147" s="362" t="s">
        <v>2011</v>
      </c>
      <c r="N147" s="361">
        <v>0.8</v>
      </c>
      <c r="O147" s="360" t="s">
        <v>2006</v>
      </c>
      <c r="P147" s="349"/>
      <c r="Q147" s="349"/>
      <c r="R147" s="349"/>
      <c r="S147" s="349"/>
      <c r="T147" s="349"/>
      <c r="U147" s="349"/>
      <c r="V147" s="349">
        <v>1</v>
      </c>
      <c r="W147" s="349"/>
      <c r="X147" s="349"/>
      <c r="Y147" s="349"/>
      <c r="Z147" s="349"/>
      <c r="AA147" s="349"/>
      <c r="AB147" s="349"/>
      <c r="AC147" s="349"/>
      <c r="AD147" s="349"/>
      <c r="AE147" s="349">
        <v>1</v>
      </c>
      <c r="AF147" s="349"/>
      <c r="AG147" s="349"/>
      <c r="AH147" s="349"/>
      <c r="AI147" s="349"/>
      <c r="AJ147" s="349"/>
      <c r="AK147" s="349"/>
      <c r="AL147" s="349"/>
      <c r="AM147" s="349"/>
      <c r="AN147" s="349"/>
      <c r="AO147" s="349"/>
      <c r="AP147" s="349"/>
      <c r="AQ147" s="349"/>
      <c r="AR147" s="349"/>
    </row>
    <row r="148" spans="1:44">
      <c r="A148" s="1282"/>
      <c r="B148" s="308" t="s">
        <v>1817</v>
      </c>
      <c r="C148" s="320">
        <v>4</v>
      </c>
      <c r="D148" s="348"/>
      <c r="E148" s="366" t="s">
        <v>1988</v>
      </c>
      <c r="F148" s="366" t="s">
        <v>1954</v>
      </c>
      <c r="G148" s="363"/>
      <c r="H148" s="362" t="s">
        <v>2010</v>
      </c>
      <c r="I148" s="365" t="s">
        <v>2009</v>
      </c>
      <c r="J148" s="364"/>
      <c r="K148" s="363"/>
      <c r="L148" s="363"/>
      <c r="M148" s="362" t="s">
        <v>2008</v>
      </c>
      <c r="N148" s="361" t="s">
        <v>2007</v>
      </c>
      <c r="O148" s="360" t="s">
        <v>2006</v>
      </c>
      <c r="P148" s="349"/>
      <c r="Q148" s="349"/>
      <c r="R148" s="349"/>
      <c r="S148" s="349"/>
      <c r="T148" s="349"/>
      <c r="U148" s="349"/>
      <c r="V148" s="349"/>
      <c r="W148" s="349"/>
      <c r="X148" s="349"/>
      <c r="Y148" s="349"/>
      <c r="Z148" s="349"/>
      <c r="AA148" s="349"/>
      <c r="AB148" s="349"/>
      <c r="AC148" s="349"/>
      <c r="AD148" s="349"/>
      <c r="AE148" s="349"/>
      <c r="AF148" s="349"/>
      <c r="AG148" s="349"/>
      <c r="AH148" s="349"/>
      <c r="AI148" s="349"/>
      <c r="AJ148" s="349"/>
      <c r="AK148" s="349"/>
      <c r="AL148" s="349"/>
      <c r="AM148" s="349"/>
      <c r="AN148" s="349"/>
      <c r="AO148" s="349"/>
      <c r="AP148" s="349"/>
      <c r="AQ148" s="349"/>
      <c r="AR148" s="349"/>
    </row>
    <row r="149" spans="1:44" ht="34.5">
      <c r="A149" s="1280" t="s">
        <v>1818</v>
      </c>
      <c r="B149" s="308" t="s">
        <v>1819</v>
      </c>
      <c r="C149" s="320">
        <v>4</v>
      </c>
      <c r="D149" s="348" t="s">
        <v>1944</v>
      </c>
      <c r="E149" s="366" t="s">
        <v>1999</v>
      </c>
      <c r="F149" s="366" t="s">
        <v>1954</v>
      </c>
      <c r="G149" s="363"/>
      <c r="H149" s="362" t="s">
        <v>2005</v>
      </c>
      <c r="I149" s="365" t="s">
        <v>2004</v>
      </c>
      <c r="J149" s="364"/>
      <c r="K149" s="363"/>
      <c r="L149" s="363"/>
      <c r="M149" s="362" t="s">
        <v>2003</v>
      </c>
      <c r="N149" s="361"/>
      <c r="O149" s="360"/>
      <c r="P149" s="349"/>
      <c r="Q149" s="349"/>
      <c r="R149" s="349"/>
      <c r="S149" s="349"/>
      <c r="T149" s="349"/>
      <c r="U149" s="349">
        <v>1</v>
      </c>
      <c r="V149" s="349"/>
      <c r="W149" s="349"/>
      <c r="X149" s="349"/>
      <c r="Y149" s="349"/>
      <c r="Z149" s="349"/>
      <c r="AA149" s="349"/>
      <c r="AB149" s="349"/>
      <c r="AC149" s="349"/>
      <c r="AD149" s="349">
        <v>1</v>
      </c>
      <c r="AE149" s="349">
        <v>1</v>
      </c>
      <c r="AF149" s="349"/>
      <c r="AG149" s="349"/>
      <c r="AH149" s="349"/>
      <c r="AI149" s="349"/>
      <c r="AJ149" s="349"/>
      <c r="AK149" s="349"/>
      <c r="AL149" s="349"/>
      <c r="AM149" s="349"/>
      <c r="AN149" s="349"/>
      <c r="AO149" s="349"/>
      <c r="AP149" s="349"/>
      <c r="AQ149" s="349"/>
      <c r="AR149" s="349"/>
    </row>
    <row r="150" spans="1:44" ht="72">
      <c r="A150" s="1281"/>
      <c r="B150" s="308" t="s">
        <v>1820</v>
      </c>
      <c r="C150" s="320">
        <v>2</v>
      </c>
      <c r="D150" s="348" t="s">
        <v>1945</v>
      </c>
      <c r="E150" s="366" t="s">
        <v>1999</v>
      </c>
      <c r="F150" s="366" t="s">
        <v>1954</v>
      </c>
      <c r="G150" s="363"/>
      <c r="H150" s="362" t="s">
        <v>2002</v>
      </c>
      <c r="I150" s="365" t="s">
        <v>2001</v>
      </c>
      <c r="J150" s="364"/>
      <c r="K150" s="363"/>
      <c r="L150" s="363"/>
      <c r="M150" s="362" t="s">
        <v>2000</v>
      </c>
      <c r="N150" s="361"/>
      <c r="O150" s="360"/>
      <c r="P150" s="349"/>
      <c r="Q150" s="349"/>
      <c r="R150" s="349"/>
      <c r="S150" s="349"/>
      <c r="T150" s="349">
        <v>1</v>
      </c>
      <c r="U150" s="349"/>
      <c r="V150" s="349"/>
      <c r="W150" s="349"/>
      <c r="X150" s="349"/>
      <c r="Y150" s="349"/>
      <c r="Z150" s="349"/>
      <c r="AA150" s="349"/>
      <c r="AB150" s="349"/>
      <c r="AC150" s="349"/>
      <c r="AD150" s="349"/>
      <c r="AE150" s="349">
        <v>1</v>
      </c>
      <c r="AF150" s="349"/>
      <c r="AG150" s="349"/>
      <c r="AH150" s="349"/>
      <c r="AI150" s="349"/>
      <c r="AJ150" s="349"/>
      <c r="AK150" s="349"/>
      <c r="AL150" s="349"/>
      <c r="AM150" s="349"/>
      <c r="AN150" s="349"/>
      <c r="AO150" s="349"/>
      <c r="AP150" s="349"/>
      <c r="AQ150" s="349"/>
      <c r="AR150" s="349"/>
    </row>
    <row r="151" spans="1:44" ht="34.5">
      <c r="A151" s="1282"/>
      <c r="B151" s="308" t="s">
        <v>1821</v>
      </c>
      <c r="C151" s="320">
        <v>3</v>
      </c>
      <c r="D151" s="348" t="s">
        <v>1946</v>
      </c>
      <c r="E151" s="366" t="s">
        <v>1999</v>
      </c>
      <c r="F151" s="366" t="s">
        <v>1954</v>
      </c>
      <c r="G151" s="363"/>
      <c r="H151" s="362" t="s">
        <v>1998</v>
      </c>
      <c r="I151" s="365" t="s">
        <v>1997</v>
      </c>
      <c r="J151" s="364"/>
      <c r="K151" s="363"/>
      <c r="L151" s="363"/>
      <c r="M151" s="362" t="s">
        <v>1996</v>
      </c>
      <c r="N151" s="361"/>
      <c r="O151" s="360"/>
      <c r="P151" s="349"/>
      <c r="Q151" s="349"/>
      <c r="R151" s="349"/>
      <c r="S151" s="349"/>
      <c r="T151" s="349"/>
      <c r="U151" s="349">
        <v>1</v>
      </c>
      <c r="V151" s="349">
        <v>1</v>
      </c>
      <c r="W151" s="349"/>
      <c r="X151" s="349"/>
      <c r="Y151" s="349"/>
      <c r="Z151" s="349"/>
      <c r="AA151" s="349"/>
      <c r="AB151" s="349"/>
      <c r="AC151" s="349"/>
      <c r="AD151" s="349"/>
      <c r="AE151" s="349"/>
      <c r="AF151" s="349"/>
      <c r="AG151" s="349">
        <v>1</v>
      </c>
      <c r="AH151" s="349">
        <v>1</v>
      </c>
      <c r="AI151" s="349">
        <v>1</v>
      </c>
      <c r="AJ151" s="349">
        <v>1</v>
      </c>
      <c r="AK151" s="349">
        <v>1</v>
      </c>
      <c r="AL151" s="349">
        <v>1</v>
      </c>
      <c r="AM151" s="349">
        <v>1</v>
      </c>
      <c r="AN151" s="349"/>
      <c r="AO151" s="349"/>
      <c r="AP151" s="349"/>
      <c r="AQ151" s="349"/>
      <c r="AR151" s="349">
        <v>1</v>
      </c>
    </row>
    <row r="152" spans="1:44" ht="55.5">
      <c r="A152" s="1280" t="s">
        <v>1822</v>
      </c>
      <c r="B152" s="308" t="s">
        <v>1823</v>
      </c>
      <c r="C152" s="320">
        <v>2</v>
      </c>
      <c r="D152" s="348" t="s">
        <v>595</v>
      </c>
      <c r="E152" s="366" t="s">
        <v>1988</v>
      </c>
      <c r="F152" s="366" t="s">
        <v>1954</v>
      </c>
      <c r="G152" s="363"/>
      <c r="H152" s="362" t="s">
        <v>1987</v>
      </c>
      <c r="I152" s="365" t="s">
        <v>1990</v>
      </c>
      <c r="J152" s="364"/>
      <c r="K152" s="363"/>
      <c r="L152" s="363"/>
      <c r="M152" s="362" t="s">
        <v>1989</v>
      </c>
      <c r="N152" s="361"/>
      <c r="O152" s="360"/>
      <c r="P152" s="349"/>
      <c r="Q152" s="349"/>
      <c r="R152" s="349"/>
      <c r="S152" s="349"/>
      <c r="T152" s="349"/>
      <c r="U152" s="349"/>
      <c r="V152" s="349"/>
      <c r="W152" s="349"/>
      <c r="X152" s="349"/>
      <c r="Y152" s="349"/>
      <c r="Z152" s="349"/>
      <c r="AA152" s="349"/>
      <c r="AB152" s="349"/>
      <c r="AC152" s="349"/>
      <c r="AD152" s="349"/>
      <c r="AE152" s="349"/>
      <c r="AF152" s="349"/>
      <c r="AG152" s="349"/>
      <c r="AH152" s="349"/>
      <c r="AI152" s="349"/>
      <c r="AJ152" s="349"/>
      <c r="AK152" s="349"/>
      <c r="AL152" s="349"/>
      <c r="AM152" s="349"/>
      <c r="AN152" s="349">
        <v>1</v>
      </c>
      <c r="AO152" s="349"/>
      <c r="AP152" s="349"/>
      <c r="AQ152" s="349"/>
      <c r="AR152" s="349"/>
    </row>
    <row r="153" spans="1:44">
      <c r="A153" s="1281"/>
      <c r="B153" s="308" t="s">
        <v>1824</v>
      </c>
      <c r="C153" s="320">
        <v>2</v>
      </c>
      <c r="D153" s="348" t="s">
        <v>595</v>
      </c>
      <c r="E153" s="366" t="s">
        <v>1988</v>
      </c>
      <c r="F153" s="366" t="s">
        <v>1954</v>
      </c>
      <c r="G153" s="363"/>
      <c r="H153" s="362" t="s">
        <v>1995</v>
      </c>
      <c r="I153" s="365" t="s">
        <v>1986</v>
      </c>
      <c r="J153" s="364"/>
      <c r="K153" s="363"/>
      <c r="L153" s="363"/>
      <c r="M153" s="362" t="s">
        <v>1994</v>
      </c>
      <c r="N153" s="361"/>
      <c r="O153" s="360"/>
      <c r="P153" s="349"/>
      <c r="Q153" s="349"/>
      <c r="R153" s="349"/>
      <c r="S153" s="349"/>
      <c r="T153" s="349"/>
      <c r="U153" s="349"/>
      <c r="V153" s="349"/>
      <c r="W153" s="349"/>
      <c r="X153" s="349"/>
      <c r="Y153" s="349"/>
      <c r="Z153" s="349"/>
      <c r="AA153" s="349"/>
      <c r="AB153" s="349"/>
      <c r="AC153" s="349"/>
      <c r="AD153" s="349"/>
      <c r="AE153" s="349"/>
      <c r="AF153" s="349"/>
      <c r="AG153" s="349"/>
      <c r="AH153" s="349"/>
      <c r="AI153" s="349"/>
      <c r="AJ153" s="349"/>
      <c r="AK153" s="349"/>
      <c r="AL153" s="349"/>
      <c r="AM153" s="349"/>
      <c r="AN153" s="349">
        <v>1</v>
      </c>
      <c r="AO153" s="349"/>
      <c r="AP153" s="349"/>
      <c r="AQ153" s="349"/>
      <c r="AR153" s="349"/>
    </row>
    <row r="154" spans="1:44">
      <c r="A154" s="1281"/>
      <c r="B154" s="308" t="s">
        <v>1825</v>
      </c>
      <c r="C154" s="320">
        <v>5</v>
      </c>
      <c r="D154" s="348" t="s">
        <v>595</v>
      </c>
      <c r="E154" s="366" t="s">
        <v>1988</v>
      </c>
      <c r="F154" s="366" t="s">
        <v>1954</v>
      </c>
      <c r="G154" s="363"/>
      <c r="H154" s="362" t="s">
        <v>1993</v>
      </c>
      <c r="I154" s="365" t="s">
        <v>1992</v>
      </c>
      <c r="J154" s="364"/>
      <c r="K154" s="363"/>
      <c r="L154" s="363"/>
      <c r="M154" s="362" t="s">
        <v>1991</v>
      </c>
      <c r="N154" s="361"/>
      <c r="O154" s="360"/>
      <c r="P154" s="349"/>
      <c r="Q154" s="349"/>
      <c r="R154" s="349"/>
      <c r="S154" s="349"/>
      <c r="T154" s="349"/>
      <c r="U154" s="349"/>
      <c r="V154" s="349"/>
      <c r="W154" s="349"/>
      <c r="X154" s="349"/>
      <c r="Y154" s="349"/>
      <c r="Z154" s="349"/>
      <c r="AA154" s="349"/>
      <c r="AB154" s="349"/>
      <c r="AC154" s="349"/>
      <c r="AD154" s="349"/>
      <c r="AE154" s="349"/>
      <c r="AF154" s="349"/>
      <c r="AG154" s="349"/>
      <c r="AH154" s="349"/>
      <c r="AI154" s="349"/>
      <c r="AJ154" s="349"/>
      <c r="AK154" s="349"/>
      <c r="AL154" s="349"/>
      <c r="AM154" s="349"/>
      <c r="AN154" s="349">
        <v>1</v>
      </c>
      <c r="AO154" s="349"/>
      <c r="AP154" s="349"/>
      <c r="AQ154" s="349"/>
      <c r="AR154" s="349"/>
    </row>
    <row r="155" spans="1:44">
      <c r="A155" s="1281"/>
      <c r="B155" s="308" t="s">
        <v>1826</v>
      </c>
      <c r="C155" s="320">
        <v>5</v>
      </c>
      <c r="D155" s="348" t="s">
        <v>1947</v>
      </c>
      <c r="E155" s="366" t="s">
        <v>1988</v>
      </c>
      <c r="F155" s="366" t="s">
        <v>1954</v>
      </c>
      <c r="G155" s="363"/>
      <c r="H155" s="362" t="s">
        <v>1987</v>
      </c>
      <c r="I155" s="365" t="s">
        <v>1990</v>
      </c>
      <c r="J155" s="364"/>
      <c r="K155" s="363"/>
      <c r="L155" s="363"/>
      <c r="M155" s="362" t="s">
        <v>1989</v>
      </c>
      <c r="N155" s="361"/>
      <c r="O155" s="360"/>
      <c r="P155" s="349"/>
      <c r="Q155" s="349"/>
      <c r="R155" s="349"/>
      <c r="S155" s="349"/>
      <c r="T155" s="349"/>
      <c r="U155" s="349"/>
      <c r="V155" s="349"/>
      <c r="W155" s="349"/>
      <c r="X155" s="349"/>
      <c r="Y155" s="349"/>
      <c r="Z155" s="349"/>
      <c r="AA155" s="349"/>
      <c r="AB155" s="349">
        <v>1</v>
      </c>
      <c r="AC155" s="349"/>
      <c r="AD155" s="349"/>
      <c r="AE155" s="349"/>
      <c r="AF155" s="349"/>
      <c r="AG155" s="349"/>
      <c r="AH155" s="349"/>
      <c r="AI155" s="349"/>
      <c r="AJ155" s="349"/>
      <c r="AK155" s="349"/>
      <c r="AL155" s="349"/>
      <c r="AM155" s="349"/>
      <c r="AN155" s="349">
        <v>1</v>
      </c>
      <c r="AO155" s="349"/>
      <c r="AP155" s="349"/>
      <c r="AQ155" s="349"/>
      <c r="AR155" s="349"/>
    </row>
    <row r="156" spans="1:44">
      <c r="A156" s="1282"/>
      <c r="B156" s="308" t="s">
        <v>1827</v>
      </c>
      <c r="C156" s="320">
        <v>3</v>
      </c>
      <c r="D156" s="348" t="s">
        <v>1948</v>
      </c>
      <c r="E156" s="366" t="s">
        <v>1988</v>
      </c>
      <c r="F156" s="366" t="s">
        <v>1954</v>
      </c>
      <c r="G156" s="363"/>
      <c r="H156" s="362" t="s">
        <v>1987</v>
      </c>
      <c r="I156" s="365" t="s">
        <v>1986</v>
      </c>
      <c r="J156" s="364"/>
      <c r="K156" s="363"/>
      <c r="L156" s="363"/>
      <c r="M156" s="362" t="s">
        <v>1985</v>
      </c>
      <c r="N156" s="361"/>
      <c r="O156" s="360"/>
      <c r="P156" s="349"/>
      <c r="Q156" s="349"/>
      <c r="R156" s="349"/>
      <c r="S156" s="349"/>
      <c r="T156" s="349"/>
      <c r="U156" s="349"/>
      <c r="V156" s="349"/>
      <c r="W156" s="349"/>
      <c r="X156" s="349"/>
      <c r="Y156" s="349"/>
      <c r="Z156" s="349"/>
      <c r="AA156" s="349"/>
      <c r="AB156" s="349"/>
      <c r="AC156" s="349"/>
      <c r="AD156" s="349"/>
      <c r="AE156" s="349"/>
      <c r="AF156" s="349"/>
      <c r="AG156" s="349"/>
      <c r="AH156" s="349"/>
      <c r="AI156" s="349"/>
      <c r="AJ156" s="349"/>
      <c r="AK156" s="349"/>
      <c r="AL156" s="349">
        <v>1</v>
      </c>
      <c r="AM156" s="349">
        <v>1</v>
      </c>
      <c r="AN156" s="349"/>
      <c r="AO156" s="349"/>
      <c r="AP156" s="349"/>
      <c r="AQ156" s="349"/>
      <c r="AR156" s="349"/>
    </row>
    <row r="157" spans="1:44" ht="96">
      <c r="A157" s="1280" t="s">
        <v>1828</v>
      </c>
      <c r="B157" s="308" t="s">
        <v>1829</v>
      </c>
      <c r="C157" s="320">
        <v>3</v>
      </c>
      <c r="D157" s="348"/>
      <c r="E157" s="366" t="s">
        <v>1980</v>
      </c>
      <c r="F157" s="366" t="s">
        <v>1984</v>
      </c>
      <c r="G157" s="363"/>
      <c r="H157" s="362" t="s">
        <v>1983</v>
      </c>
      <c r="I157" s="365" t="s">
        <v>1982</v>
      </c>
      <c r="J157" s="364"/>
      <c r="K157" s="363"/>
      <c r="L157" s="363"/>
      <c r="M157" s="362" t="s">
        <v>1981</v>
      </c>
      <c r="N157" s="361"/>
      <c r="O157" s="360"/>
      <c r="P157" s="349"/>
      <c r="Q157" s="349"/>
      <c r="R157" s="349"/>
      <c r="S157" s="349"/>
      <c r="T157" s="349"/>
      <c r="U157" s="349"/>
      <c r="V157" s="349"/>
      <c r="W157" s="349"/>
      <c r="X157" s="349"/>
      <c r="Y157" s="349"/>
      <c r="Z157" s="349"/>
      <c r="AA157" s="349"/>
      <c r="AB157" s="349"/>
      <c r="AC157" s="349"/>
      <c r="AD157" s="349"/>
      <c r="AE157" s="349"/>
      <c r="AF157" s="349"/>
      <c r="AG157" s="349"/>
      <c r="AH157" s="349"/>
      <c r="AI157" s="349"/>
      <c r="AJ157" s="349"/>
      <c r="AK157" s="349"/>
      <c r="AL157" s="349"/>
      <c r="AM157" s="349"/>
      <c r="AN157" s="349"/>
      <c r="AO157" s="349"/>
      <c r="AP157" s="349"/>
      <c r="AQ157" s="349"/>
      <c r="AR157" s="349"/>
    </row>
    <row r="158" spans="1:44" ht="144">
      <c r="A158" s="1281"/>
      <c r="B158" s="308" t="s">
        <v>1830</v>
      </c>
      <c r="C158" s="320">
        <v>5</v>
      </c>
      <c r="D158" s="348" t="s">
        <v>1403</v>
      </c>
      <c r="E158" s="366" t="s">
        <v>1980</v>
      </c>
      <c r="F158" s="366" t="s">
        <v>1979</v>
      </c>
      <c r="G158" s="363"/>
      <c r="H158" s="362" t="s">
        <v>1978</v>
      </c>
      <c r="I158" s="365" t="s">
        <v>1977</v>
      </c>
      <c r="J158" s="364"/>
      <c r="K158" s="363"/>
      <c r="L158" s="363"/>
      <c r="M158" s="362" t="s">
        <v>1976</v>
      </c>
      <c r="N158" s="361"/>
      <c r="O158" s="360"/>
      <c r="P158" s="349"/>
      <c r="Q158" s="349"/>
      <c r="R158" s="349"/>
      <c r="S158" s="349"/>
      <c r="T158" s="349"/>
      <c r="U158" s="349"/>
      <c r="V158" s="349"/>
      <c r="W158" s="349"/>
      <c r="X158" s="349"/>
      <c r="Y158" s="349"/>
      <c r="Z158" s="349"/>
      <c r="AA158" s="349"/>
      <c r="AB158" s="349"/>
      <c r="AC158" s="349"/>
      <c r="AD158" s="349"/>
      <c r="AE158" s="349"/>
      <c r="AF158" s="349"/>
      <c r="AG158" s="349"/>
      <c r="AH158" s="349"/>
      <c r="AI158" s="349"/>
      <c r="AJ158" s="349"/>
      <c r="AK158" s="349"/>
      <c r="AL158" s="349"/>
      <c r="AM158" s="349"/>
      <c r="AN158" s="349">
        <v>1</v>
      </c>
      <c r="AO158" s="349"/>
      <c r="AP158" s="349"/>
      <c r="AQ158" s="349"/>
      <c r="AR158" s="349"/>
    </row>
    <row r="159" spans="1:44" ht="120">
      <c r="A159" s="1281"/>
      <c r="B159" s="308" t="s">
        <v>1831</v>
      </c>
      <c r="C159" s="320">
        <v>5</v>
      </c>
      <c r="D159" s="348"/>
      <c r="E159" s="366" t="s">
        <v>1955</v>
      </c>
      <c r="F159" s="366" t="s">
        <v>1975</v>
      </c>
      <c r="G159" s="363"/>
      <c r="H159" s="362" t="s">
        <v>1974</v>
      </c>
      <c r="I159" s="365" t="s">
        <v>1973</v>
      </c>
      <c r="J159" s="364"/>
      <c r="K159" s="363"/>
      <c r="L159" s="363"/>
      <c r="M159" s="362" t="s">
        <v>1972</v>
      </c>
      <c r="N159" s="361"/>
      <c r="O159" s="360"/>
      <c r="P159" s="349"/>
      <c r="Q159" s="349"/>
      <c r="R159" s="349"/>
      <c r="S159" s="349"/>
      <c r="T159" s="349"/>
      <c r="U159" s="349"/>
      <c r="V159" s="349"/>
      <c r="W159" s="349"/>
      <c r="X159" s="349"/>
      <c r="Y159" s="349"/>
      <c r="Z159" s="349"/>
      <c r="AA159" s="349"/>
      <c r="AB159" s="349"/>
      <c r="AC159" s="349"/>
      <c r="AD159" s="349"/>
      <c r="AE159" s="349"/>
      <c r="AF159" s="349"/>
      <c r="AG159" s="349"/>
      <c r="AH159" s="349"/>
      <c r="AI159" s="349"/>
      <c r="AJ159" s="349"/>
      <c r="AK159" s="349"/>
      <c r="AL159" s="349"/>
      <c r="AM159" s="349"/>
      <c r="AN159" s="349"/>
      <c r="AO159" s="349"/>
      <c r="AP159" s="349"/>
      <c r="AQ159" s="349"/>
      <c r="AR159" s="349"/>
    </row>
    <row r="160" spans="1:44" ht="96">
      <c r="A160" s="1281"/>
      <c r="B160" s="308" t="s">
        <v>1832</v>
      </c>
      <c r="C160" s="320">
        <v>3</v>
      </c>
      <c r="D160" s="348" t="s">
        <v>323</v>
      </c>
      <c r="E160" s="366" t="s">
        <v>1955</v>
      </c>
      <c r="F160" s="366" t="s">
        <v>1954</v>
      </c>
      <c r="G160" s="363"/>
      <c r="H160" s="362" t="s">
        <v>1971</v>
      </c>
      <c r="I160" s="365" t="s">
        <v>1970</v>
      </c>
      <c r="J160" s="364" t="s">
        <v>1969</v>
      </c>
      <c r="K160" s="363"/>
      <c r="L160" s="363"/>
      <c r="M160" s="362"/>
      <c r="N160" s="361"/>
      <c r="O160" s="360"/>
      <c r="P160" s="349"/>
      <c r="Q160" s="349"/>
      <c r="R160" s="349">
        <v>1</v>
      </c>
      <c r="S160" s="349"/>
      <c r="T160" s="349"/>
      <c r="U160" s="349"/>
      <c r="V160" s="349"/>
      <c r="W160" s="349"/>
      <c r="X160" s="349"/>
      <c r="Y160" s="349"/>
      <c r="Z160" s="349"/>
      <c r="AA160" s="349"/>
      <c r="AB160" s="349"/>
      <c r="AC160" s="349"/>
      <c r="AD160" s="349"/>
      <c r="AE160" s="349"/>
      <c r="AF160" s="349"/>
      <c r="AG160" s="349"/>
      <c r="AH160" s="349"/>
      <c r="AI160" s="349"/>
      <c r="AJ160" s="349"/>
      <c r="AK160" s="349"/>
      <c r="AL160" s="349"/>
      <c r="AM160" s="349"/>
      <c r="AN160" s="349"/>
      <c r="AO160" s="349"/>
      <c r="AP160" s="349"/>
      <c r="AQ160" s="349"/>
      <c r="AR160" s="349"/>
    </row>
    <row r="161" spans="1:44" ht="72">
      <c r="A161" s="1281"/>
      <c r="B161" s="308" t="s">
        <v>1833</v>
      </c>
      <c r="C161" s="320">
        <v>3</v>
      </c>
      <c r="D161" s="348" t="s">
        <v>1463</v>
      </c>
      <c r="E161" s="366" t="s">
        <v>1968</v>
      </c>
      <c r="F161" s="366" t="s">
        <v>1967</v>
      </c>
      <c r="G161" s="363"/>
      <c r="H161" s="362" t="s">
        <v>1966</v>
      </c>
      <c r="I161" s="365" t="s">
        <v>1965</v>
      </c>
      <c r="J161" s="364" t="s">
        <v>663</v>
      </c>
      <c r="K161" s="363"/>
      <c r="L161" s="363"/>
      <c r="M161" s="362" t="s">
        <v>1964</v>
      </c>
      <c r="N161" s="361"/>
      <c r="O161" s="360"/>
      <c r="P161" s="349"/>
      <c r="Q161" s="349"/>
      <c r="R161" s="349"/>
      <c r="S161" s="349">
        <v>1</v>
      </c>
      <c r="T161" s="349"/>
      <c r="U161" s="349"/>
      <c r="V161" s="349"/>
      <c r="W161" s="349"/>
      <c r="X161" s="349"/>
      <c r="Y161" s="349"/>
      <c r="Z161" s="349"/>
      <c r="AA161" s="349"/>
      <c r="AB161" s="349"/>
      <c r="AC161" s="349"/>
      <c r="AD161" s="349"/>
      <c r="AE161" s="349"/>
      <c r="AF161" s="349"/>
      <c r="AG161" s="349"/>
      <c r="AH161" s="349"/>
      <c r="AI161" s="349"/>
      <c r="AJ161" s="349"/>
      <c r="AK161" s="349"/>
      <c r="AL161" s="349"/>
      <c r="AM161" s="349"/>
      <c r="AN161" s="349"/>
      <c r="AO161" s="349"/>
      <c r="AP161" s="349"/>
      <c r="AQ161" s="349"/>
      <c r="AR161" s="349"/>
    </row>
    <row r="162" spans="1:44" ht="96">
      <c r="A162" s="1281"/>
      <c r="B162" s="308" t="s">
        <v>1834</v>
      </c>
      <c r="C162" s="320">
        <v>4</v>
      </c>
      <c r="D162" s="348" t="s">
        <v>1295</v>
      </c>
      <c r="E162" s="366" t="s">
        <v>1959</v>
      </c>
      <c r="F162" s="366" t="s">
        <v>1963</v>
      </c>
      <c r="G162" s="363"/>
      <c r="H162" s="362" t="s">
        <v>1962</v>
      </c>
      <c r="I162" s="365" t="s">
        <v>1961</v>
      </c>
      <c r="J162" s="364"/>
      <c r="K162" s="363"/>
      <c r="L162" s="363"/>
      <c r="M162" s="362" t="s">
        <v>1960</v>
      </c>
      <c r="N162" s="361"/>
      <c r="O162" s="360"/>
      <c r="P162" s="349"/>
      <c r="Q162" s="349"/>
      <c r="R162" s="349"/>
      <c r="S162" s="349"/>
      <c r="T162" s="349"/>
      <c r="U162" s="349">
        <v>1</v>
      </c>
      <c r="V162" s="349"/>
      <c r="W162" s="349"/>
      <c r="X162" s="349"/>
      <c r="Y162" s="349"/>
      <c r="Z162" s="349"/>
      <c r="AA162" s="349"/>
      <c r="AB162" s="349"/>
      <c r="AC162" s="349"/>
      <c r="AD162" s="349"/>
      <c r="AE162" s="349"/>
      <c r="AF162" s="349"/>
      <c r="AG162" s="349"/>
      <c r="AH162" s="349"/>
      <c r="AI162" s="349"/>
      <c r="AJ162" s="349"/>
      <c r="AK162" s="349"/>
      <c r="AL162" s="349"/>
      <c r="AM162" s="349"/>
      <c r="AN162" s="349"/>
      <c r="AO162" s="349"/>
      <c r="AP162" s="349"/>
      <c r="AQ162" s="349"/>
      <c r="AR162" s="349"/>
    </row>
    <row r="163" spans="1:44" ht="120">
      <c r="A163" s="1281"/>
      <c r="B163" s="308" t="s">
        <v>1835</v>
      </c>
      <c r="C163" s="320">
        <v>4</v>
      </c>
      <c r="D163" s="348" t="s">
        <v>1949</v>
      </c>
      <c r="E163" s="366" t="s">
        <v>1959</v>
      </c>
      <c r="F163" s="366" t="s">
        <v>1954</v>
      </c>
      <c r="G163" s="363"/>
      <c r="H163" s="362" t="s">
        <v>1958</v>
      </c>
      <c r="I163" s="365" t="s">
        <v>1957</v>
      </c>
      <c r="J163" s="364" t="s">
        <v>684</v>
      </c>
      <c r="K163" s="363"/>
      <c r="L163" s="363"/>
      <c r="M163" s="362" t="s">
        <v>1956</v>
      </c>
      <c r="N163" s="361"/>
      <c r="O163" s="360"/>
      <c r="P163" s="349"/>
      <c r="Q163" s="349"/>
      <c r="R163" s="349">
        <v>1</v>
      </c>
      <c r="S163" s="349"/>
      <c r="T163" s="349"/>
      <c r="U163" s="349"/>
      <c r="V163" s="349"/>
      <c r="W163" s="349"/>
      <c r="X163" s="349"/>
      <c r="Y163" s="349"/>
      <c r="Z163" s="349"/>
      <c r="AA163" s="349"/>
      <c r="AB163" s="349"/>
      <c r="AC163" s="349"/>
      <c r="AD163" s="349"/>
      <c r="AE163" s="349"/>
      <c r="AF163" s="349"/>
      <c r="AG163" s="349"/>
      <c r="AH163" s="349"/>
      <c r="AI163" s="349"/>
      <c r="AJ163" s="349"/>
      <c r="AK163" s="349"/>
      <c r="AL163" s="349"/>
      <c r="AM163" s="349"/>
      <c r="AN163" s="349"/>
      <c r="AO163" s="349"/>
      <c r="AP163" s="349">
        <v>1</v>
      </c>
      <c r="AQ163" s="349"/>
      <c r="AR163" s="349"/>
    </row>
    <row r="164" spans="1:44" ht="120">
      <c r="A164" s="1282"/>
      <c r="B164" s="308" t="s">
        <v>1836</v>
      </c>
      <c r="C164" s="320">
        <v>5</v>
      </c>
      <c r="D164" s="348" t="s">
        <v>1950</v>
      </c>
      <c r="E164" s="366" t="s">
        <v>1955</v>
      </c>
      <c r="F164" s="366" t="s">
        <v>1954</v>
      </c>
      <c r="G164" s="363"/>
      <c r="H164" s="362" t="s">
        <v>1953</v>
      </c>
      <c r="I164" s="365" t="s">
        <v>1952</v>
      </c>
      <c r="J164" s="364"/>
      <c r="K164" s="363"/>
      <c r="L164" s="363"/>
      <c r="M164" s="362" t="s">
        <v>1951</v>
      </c>
      <c r="N164" s="361"/>
      <c r="O164" s="360"/>
      <c r="P164" s="349"/>
      <c r="Q164" s="349"/>
      <c r="R164" s="349"/>
      <c r="S164" s="349"/>
      <c r="T164" s="349"/>
      <c r="U164" s="349">
        <v>1</v>
      </c>
      <c r="V164" s="349"/>
      <c r="W164" s="349"/>
      <c r="X164" s="349"/>
      <c r="Y164" s="349"/>
      <c r="Z164" s="349"/>
      <c r="AA164" s="349"/>
      <c r="AB164" s="349"/>
      <c r="AC164" s="349"/>
      <c r="AD164" s="349"/>
      <c r="AE164" s="349"/>
      <c r="AF164" s="349"/>
      <c r="AG164" s="349"/>
      <c r="AH164" s="349"/>
      <c r="AI164" s="349"/>
      <c r="AJ164" s="349"/>
      <c r="AK164" s="349"/>
      <c r="AL164" s="349"/>
      <c r="AM164" s="349"/>
      <c r="AN164" s="349"/>
      <c r="AO164" s="349"/>
      <c r="AP164" s="349"/>
      <c r="AQ164" s="349"/>
      <c r="AR164" s="349"/>
    </row>
    <row r="165" spans="1:44">
      <c r="P165" s="425">
        <f>SUM(P2:P164)</f>
        <v>3</v>
      </c>
      <c r="Q165" s="425">
        <f t="shared" ref="Q165:AR165" si="0">SUM(Q2:Q164)</f>
        <v>14</v>
      </c>
      <c r="R165" s="425">
        <f t="shared" si="0"/>
        <v>10</v>
      </c>
      <c r="S165" s="425">
        <f t="shared" si="0"/>
        <v>19</v>
      </c>
      <c r="T165" s="425">
        <f t="shared" si="0"/>
        <v>2</v>
      </c>
      <c r="U165" s="425">
        <f t="shared" si="0"/>
        <v>19</v>
      </c>
      <c r="V165" s="425">
        <f t="shared" si="0"/>
        <v>8</v>
      </c>
      <c r="W165" s="425">
        <f t="shared" si="0"/>
        <v>1</v>
      </c>
      <c r="X165" s="425">
        <f t="shared" si="0"/>
        <v>1</v>
      </c>
      <c r="Y165" s="425">
        <f t="shared" si="0"/>
        <v>1</v>
      </c>
      <c r="Z165" s="425">
        <f t="shared" si="0"/>
        <v>5</v>
      </c>
      <c r="AA165" s="425">
        <f t="shared" si="0"/>
        <v>6</v>
      </c>
      <c r="AB165" s="425">
        <f t="shared" si="0"/>
        <v>5</v>
      </c>
      <c r="AC165" s="425">
        <f t="shared" si="0"/>
        <v>16</v>
      </c>
      <c r="AD165" s="425">
        <f t="shared" si="0"/>
        <v>11</v>
      </c>
      <c r="AE165" s="425">
        <f t="shared" si="0"/>
        <v>19</v>
      </c>
      <c r="AF165" s="425">
        <f t="shared" si="0"/>
        <v>4</v>
      </c>
      <c r="AG165" s="425">
        <f t="shared" si="0"/>
        <v>22</v>
      </c>
      <c r="AH165" s="425">
        <f t="shared" si="0"/>
        <v>19</v>
      </c>
      <c r="AI165" s="425">
        <f t="shared" si="0"/>
        <v>20</v>
      </c>
      <c r="AJ165" s="425">
        <f t="shared" si="0"/>
        <v>24</v>
      </c>
      <c r="AK165" s="425">
        <f t="shared" si="0"/>
        <v>21</v>
      </c>
      <c r="AL165" s="425">
        <f t="shared" si="0"/>
        <v>22</v>
      </c>
      <c r="AM165" s="425">
        <f t="shared" si="0"/>
        <v>26</v>
      </c>
      <c r="AN165" s="425">
        <f t="shared" si="0"/>
        <v>46</v>
      </c>
      <c r="AO165" s="425">
        <f t="shared" si="0"/>
        <v>5</v>
      </c>
      <c r="AP165" s="425">
        <f t="shared" si="0"/>
        <v>4</v>
      </c>
      <c r="AQ165" s="425">
        <f t="shared" si="0"/>
        <v>16</v>
      </c>
      <c r="AR165" s="425">
        <f t="shared" si="0"/>
        <v>1</v>
      </c>
    </row>
  </sheetData>
  <mergeCells count="28">
    <mergeCell ref="A157:A164"/>
    <mergeCell ref="A129:A134"/>
    <mergeCell ref="A135:A140"/>
    <mergeCell ref="A141:A148"/>
    <mergeCell ref="A149:A151"/>
    <mergeCell ref="A152:A156"/>
    <mergeCell ref="A30:A33"/>
    <mergeCell ref="A2:A8"/>
    <mergeCell ref="A34:A38"/>
    <mergeCell ref="A45:A50"/>
    <mergeCell ref="A39:A44"/>
    <mergeCell ref="A17:A22"/>
    <mergeCell ref="A9:A16"/>
    <mergeCell ref="A23:A29"/>
    <mergeCell ref="A124:A128"/>
    <mergeCell ref="A69:A76"/>
    <mergeCell ref="A51:A54"/>
    <mergeCell ref="A58:A61"/>
    <mergeCell ref="A55:A57"/>
    <mergeCell ref="A62:A68"/>
    <mergeCell ref="A98:A106"/>
    <mergeCell ref="A107:A110"/>
    <mergeCell ref="A111:A114"/>
    <mergeCell ref="A115:A123"/>
    <mergeCell ref="A77:A81"/>
    <mergeCell ref="A92:A97"/>
    <mergeCell ref="A89:A91"/>
    <mergeCell ref="A82:A88"/>
  </mergeCells>
  <printOptions horizontalCentered="1" verticalCentered="1"/>
  <pageMargins left="0" right="0" top="1" bottom="0" header="0" footer="0"/>
  <pageSetup scale="10" fitToHeight="0" orientation="portrait" r:id="rId1"/>
  <headerFooter>
    <oddHeader>&amp;C&amp;"B Titr,Bold"&amp;36برنامه های عملیاتی سال 1404 به تفکیک واحدهای ستادی</oddHeader>
  </headerFooter>
  <colBreaks count="1" manualBreakCount="1">
    <brk id="44" max="69"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165</vt:i4>
      </vt:variant>
      <vt:variant>
        <vt:lpstr>Named Ranges</vt:lpstr>
      </vt:variant>
      <vt:variant>
        <vt:i4>150</vt:i4>
      </vt:variant>
    </vt:vector>
  </HeadingPairs>
  <TitlesOfParts>
    <vt:vector size="315" baseType="lpstr">
      <vt:lpstr>بانک بیمه7</vt:lpstr>
      <vt:lpstr>بانک بیمه6</vt:lpstr>
      <vt:lpstr>بانک بیمه5</vt:lpstr>
      <vt:lpstr>بانک بیمه4</vt:lpstr>
      <vt:lpstr>بانک بیمه3</vt:lpstr>
      <vt:lpstr>بانک بیمه2</vt:lpstr>
      <vt:lpstr>بانک بیمه1</vt:lpstr>
      <vt:lpstr>پولشویی4</vt:lpstr>
      <vt:lpstr>پولشویی3</vt:lpstr>
      <vt:lpstr>پولشویی2</vt:lpstr>
      <vt:lpstr>پولشویی1</vt:lpstr>
      <vt:lpstr>حراست3</vt:lpstr>
      <vt:lpstr>حراست2</vt:lpstr>
      <vt:lpstr>حراست1</vt:lpstr>
      <vt:lpstr>حقوقی4</vt:lpstr>
      <vt:lpstr>حقوقی3</vt:lpstr>
      <vt:lpstr>حقوقی2</vt:lpstr>
      <vt:lpstr>حقوقی1</vt:lpstr>
      <vt:lpstr>آتش سوزی6</vt:lpstr>
      <vt:lpstr>آتش سوزی5</vt:lpstr>
      <vt:lpstr>آتش سوزی4</vt:lpstr>
      <vt:lpstr>آتش سوزی3</vt:lpstr>
      <vt:lpstr>آتش سوزی2</vt:lpstr>
      <vt:lpstr>آتش سوزی1</vt:lpstr>
      <vt:lpstr>مسئولیت6</vt:lpstr>
      <vt:lpstr>مسئولیت5</vt:lpstr>
      <vt:lpstr>مسئولیت4</vt:lpstr>
      <vt:lpstr>مسئولیت3</vt:lpstr>
      <vt:lpstr>مسئولیت2</vt:lpstr>
      <vt:lpstr>مسئولیت1</vt:lpstr>
      <vt:lpstr>مهندسی5</vt:lpstr>
      <vt:lpstr>مهندسی4</vt:lpstr>
      <vt:lpstr>مهندسی3</vt:lpstr>
      <vt:lpstr>مهندسی2</vt:lpstr>
      <vt:lpstr>مهندسی1</vt:lpstr>
      <vt:lpstr>اتومبیل4</vt:lpstr>
      <vt:lpstr>اتومبیل3</vt:lpstr>
      <vt:lpstr>اتومبیل2</vt:lpstr>
      <vt:lpstr>اتومبیل1</vt:lpstr>
      <vt:lpstr>باربری7</vt:lpstr>
      <vt:lpstr>باربری6</vt:lpstr>
      <vt:lpstr>باربری5</vt:lpstr>
      <vt:lpstr>باربری4</vt:lpstr>
      <vt:lpstr>باربری3</vt:lpstr>
      <vt:lpstr>باربری2</vt:lpstr>
      <vt:lpstr>باربری1</vt:lpstr>
      <vt:lpstr>امورمشتریان6</vt:lpstr>
      <vt:lpstr>امورمشتریان5</vt:lpstr>
      <vt:lpstr>امورمشتریان4</vt:lpstr>
      <vt:lpstr>امورمشتریان3</vt:lpstr>
      <vt:lpstr>امورمشتریان2</vt:lpstr>
      <vt:lpstr>امورمشتریان1</vt:lpstr>
      <vt:lpstr>بازاریابی8</vt:lpstr>
      <vt:lpstr>بازاریابی7</vt:lpstr>
      <vt:lpstr>بازاریابی6</vt:lpstr>
      <vt:lpstr>بازاریابی5</vt:lpstr>
      <vt:lpstr>بازاریابی4</vt:lpstr>
      <vt:lpstr>بازاریابی3</vt:lpstr>
      <vt:lpstr>بازاریابی2</vt:lpstr>
      <vt:lpstr>بازاریابی1</vt:lpstr>
      <vt:lpstr>امورشعب7</vt:lpstr>
      <vt:lpstr>امورشعب6</vt:lpstr>
      <vt:lpstr>امورشعب5</vt:lpstr>
      <vt:lpstr>امورشعب4</vt:lpstr>
      <vt:lpstr>امورشعب3</vt:lpstr>
      <vt:lpstr>امورشعب2</vt:lpstr>
      <vt:lpstr>امورشعب1</vt:lpstr>
      <vt:lpstr>فناوری اطلاعات 7</vt:lpstr>
      <vt:lpstr>فناوری اطلاعات6</vt:lpstr>
      <vt:lpstr>فناوری اطلاعات5</vt:lpstr>
      <vt:lpstr>فناوری اطلاعات4</vt:lpstr>
      <vt:lpstr>فناوری اطلاعات3</vt:lpstr>
      <vt:lpstr>فناوری اطلاعات2</vt:lpstr>
      <vt:lpstr>فناوری اطلاعات1</vt:lpstr>
      <vt:lpstr>مالی9</vt:lpstr>
      <vt:lpstr>مالی8</vt:lpstr>
      <vt:lpstr>مالی7</vt:lpstr>
      <vt:lpstr>مالی6</vt:lpstr>
      <vt:lpstr>مالی5</vt:lpstr>
      <vt:lpstr>مالی4</vt:lpstr>
      <vt:lpstr>مالی3</vt:lpstr>
      <vt:lpstr>مالی2</vt:lpstr>
      <vt:lpstr>مالی1</vt:lpstr>
      <vt:lpstr>سرمایه گذاری 5</vt:lpstr>
      <vt:lpstr>سرمایه گذاری 4</vt:lpstr>
      <vt:lpstr>سرمایه گذاری 3 </vt:lpstr>
      <vt:lpstr>سرمایه گذاری 2</vt:lpstr>
      <vt:lpstr>سرمایه گذاری 1</vt:lpstr>
      <vt:lpstr>عمر وسرمایه گذاری4</vt:lpstr>
      <vt:lpstr>عمر وسرمایه گذاری3</vt:lpstr>
      <vt:lpstr>عمر وسرمایه گذاری2</vt:lpstr>
      <vt:lpstr>عمر وسرمایه گذاری1</vt:lpstr>
      <vt:lpstr>طرح و برنامه6</vt:lpstr>
      <vt:lpstr>طرح و برنامه5</vt:lpstr>
      <vt:lpstr>طرح و برنامه4</vt:lpstr>
      <vt:lpstr>طرح و برنامه3</vt:lpstr>
      <vt:lpstr>طرح و برنامه2</vt:lpstr>
      <vt:lpstr>طرح و برنامه1</vt:lpstr>
      <vt:lpstr>ریسک5</vt:lpstr>
      <vt:lpstr>ریسک4</vt:lpstr>
      <vt:lpstr>ریسک3</vt:lpstr>
      <vt:lpstr>ریسک2</vt:lpstr>
      <vt:lpstr>ریسک1</vt:lpstr>
      <vt:lpstr>روابط عمومی8</vt:lpstr>
      <vt:lpstr>روابط عمومی7</vt:lpstr>
      <vt:lpstr>روابط عمومی6</vt:lpstr>
      <vt:lpstr>روابط عمومی5</vt:lpstr>
      <vt:lpstr>روابط عمومی4</vt:lpstr>
      <vt:lpstr>روابط عمومی3</vt:lpstr>
      <vt:lpstr>روابط عمومی2</vt:lpstr>
      <vt:lpstr>روابط عمومی1</vt:lpstr>
      <vt:lpstr>حسابرسی8</vt:lpstr>
      <vt:lpstr>حسابرسی7</vt:lpstr>
      <vt:lpstr>حسابرسی6</vt:lpstr>
      <vt:lpstr>حسابرسی5</vt:lpstr>
      <vt:lpstr>حسابرسی4</vt:lpstr>
      <vt:lpstr>حسابرسی3</vt:lpstr>
      <vt:lpstr>حسابرسی2</vt:lpstr>
      <vt:lpstr>حسابرسی1</vt:lpstr>
      <vt:lpstr>تشکیلات و روشها9</vt:lpstr>
      <vt:lpstr>تشکیلات و روشها8</vt:lpstr>
      <vt:lpstr>تشکیلات و روشها7</vt:lpstr>
      <vt:lpstr>تشکیلات و روشها6</vt:lpstr>
      <vt:lpstr>تشکیلات و روشها5</vt:lpstr>
      <vt:lpstr>تشکیلات و روشها4</vt:lpstr>
      <vt:lpstr>تشکیلات و روشها3</vt:lpstr>
      <vt:lpstr>تشکیلات و روشها2</vt:lpstr>
      <vt:lpstr>تشکیلات و روشها1</vt:lpstr>
      <vt:lpstr>پشتیبانی8</vt:lpstr>
      <vt:lpstr>پشتیبانی7</vt:lpstr>
      <vt:lpstr>پشتیبانی6</vt:lpstr>
      <vt:lpstr>پشتیبانی5</vt:lpstr>
      <vt:lpstr>پشتیبانی4</vt:lpstr>
      <vt:lpstr>پشتیبانی3</vt:lpstr>
      <vt:lpstr>پشتیبانی2</vt:lpstr>
      <vt:lpstr>پشتیبانی1</vt:lpstr>
      <vt:lpstr>کسب و کار 3</vt:lpstr>
      <vt:lpstr>کسب و کار2</vt:lpstr>
      <vt:lpstr>کسب و کار1</vt:lpstr>
      <vt:lpstr>بازرسی3</vt:lpstr>
      <vt:lpstr>بازرسی 2</vt:lpstr>
      <vt:lpstr>بازرسی1</vt:lpstr>
      <vt:lpstr>منابع انسانی6</vt:lpstr>
      <vt:lpstr>منابع انسانی5</vt:lpstr>
      <vt:lpstr>منابع انسانی4</vt:lpstr>
      <vt:lpstr>منابع انسانی3</vt:lpstr>
      <vt:lpstr>منابع انسانی2</vt:lpstr>
      <vt:lpstr>منابع انسانی1</vt:lpstr>
      <vt:lpstr>آموزش6</vt:lpstr>
      <vt:lpstr>آموزش5</vt:lpstr>
      <vt:lpstr>آموزش4</vt:lpstr>
      <vt:lpstr>آموزش3</vt:lpstr>
      <vt:lpstr>آموزش2</vt:lpstr>
      <vt:lpstr>آموزش1</vt:lpstr>
      <vt:lpstr>درمان4</vt:lpstr>
      <vt:lpstr>درمان3</vt:lpstr>
      <vt:lpstr>درمان2</vt:lpstr>
      <vt:lpstr>درمان1</vt:lpstr>
      <vt:lpstr>اتکائی5</vt:lpstr>
      <vt:lpstr>اتکائی4</vt:lpstr>
      <vt:lpstr>اتکائی3</vt:lpstr>
      <vt:lpstr>اتکائی 2</vt:lpstr>
      <vt:lpstr>اتکائی 1</vt:lpstr>
      <vt:lpstr>معاونت ها ومدیریت های زیرمجموعه</vt:lpstr>
      <vt:lpstr>اکسل V22</vt:lpstr>
      <vt:lpstr>'آتش سوزی1'!Print_Area</vt:lpstr>
      <vt:lpstr>'آتش سوزی2'!Print_Area</vt:lpstr>
      <vt:lpstr>'آتش سوزی3'!Print_Area</vt:lpstr>
      <vt:lpstr>'آتش سوزی4'!Print_Area</vt:lpstr>
      <vt:lpstr>'آتش سوزی5'!Print_Area</vt:lpstr>
      <vt:lpstr>'آتش سوزی6'!Print_Area</vt:lpstr>
      <vt:lpstr>'اتکائی 1'!Print_Area</vt:lpstr>
      <vt:lpstr>'اتکائی 2'!Print_Area</vt:lpstr>
      <vt:lpstr>اتکائی3!Print_Area</vt:lpstr>
      <vt:lpstr>اتکائی4!Print_Area</vt:lpstr>
      <vt:lpstr>اتکائی5!Print_Area</vt:lpstr>
      <vt:lpstr>اتومبیل1!Print_Area</vt:lpstr>
      <vt:lpstr>اتومبیل2!Print_Area</vt:lpstr>
      <vt:lpstr>اتومبیل3!Print_Area</vt:lpstr>
      <vt:lpstr>اتومبیل4!Print_Area</vt:lpstr>
      <vt:lpstr>'اکسل V22'!Print_Area</vt:lpstr>
      <vt:lpstr>امورشعب1!Print_Area</vt:lpstr>
      <vt:lpstr>امورشعب2!Print_Area</vt:lpstr>
      <vt:lpstr>امورشعب3!Print_Area</vt:lpstr>
      <vt:lpstr>امورشعب4!Print_Area</vt:lpstr>
      <vt:lpstr>امورشعب5!Print_Area</vt:lpstr>
      <vt:lpstr>امورشعب6!Print_Area</vt:lpstr>
      <vt:lpstr>امورشعب7!Print_Area</vt:lpstr>
      <vt:lpstr>امورمشتریان1!Print_Area</vt:lpstr>
      <vt:lpstr>امورمشتریان2!Print_Area</vt:lpstr>
      <vt:lpstr>امورمشتریان3!Print_Area</vt:lpstr>
      <vt:lpstr>امورمشتریان4!Print_Area</vt:lpstr>
      <vt:lpstr>امورمشتریان5!Print_Area</vt:lpstr>
      <vt:lpstr>امورمشتریان6!Print_Area</vt:lpstr>
      <vt:lpstr>باربری1!Print_Area</vt:lpstr>
      <vt:lpstr>باربری2!Print_Area</vt:lpstr>
      <vt:lpstr>باربری3!Print_Area</vt:lpstr>
      <vt:lpstr>باربری4!Print_Area</vt:lpstr>
      <vt:lpstr>باربری5!Print_Area</vt:lpstr>
      <vt:lpstr>باربری6!Print_Area</vt:lpstr>
      <vt:lpstr>باربری7!Print_Area</vt:lpstr>
      <vt:lpstr>بازاریابی1!Print_Area</vt:lpstr>
      <vt:lpstr>بازاریابی2!Print_Area</vt:lpstr>
      <vt:lpstr>بازاریابی3!Print_Area</vt:lpstr>
      <vt:lpstr>بازاریابی4!Print_Area</vt:lpstr>
      <vt:lpstr>بازاریابی5!Print_Area</vt:lpstr>
      <vt:lpstr>بازاریابی6!Print_Area</vt:lpstr>
      <vt:lpstr>بازاریابی7!Print_Area</vt:lpstr>
      <vt:lpstr>بازاریابی8!Print_Area</vt:lpstr>
      <vt:lpstr>'بازرسی 2'!Print_Area</vt:lpstr>
      <vt:lpstr>بازرسی1!Print_Area</vt:lpstr>
      <vt:lpstr>بازرسی3!Print_Area</vt:lpstr>
      <vt:lpstr>'بانک بیمه1'!Print_Area</vt:lpstr>
      <vt:lpstr>'بانک بیمه2'!Print_Area</vt:lpstr>
      <vt:lpstr>'بانک بیمه3'!Print_Area</vt:lpstr>
      <vt:lpstr>'بانک بیمه4'!Print_Area</vt:lpstr>
      <vt:lpstr>'بانک بیمه5'!Print_Area</vt:lpstr>
      <vt:lpstr>'بانک بیمه6'!Print_Area</vt:lpstr>
      <vt:lpstr>'بانک بیمه7'!Print_Area</vt:lpstr>
      <vt:lpstr>پشتیبانی1!Print_Area</vt:lpstr>
      <vt:lpstr>پشتیبانی2!Print_Area</vt:lpstr>
      <vt:lpstr>پشتیبانی3!Print_Area</vt:lpstr>
      <vt:lpstr>پشتیبانی4!Print_Area</vt:lpstr>
      <vt:lpstr>پشتیبانی5!Print_Area</vt:lpstr>
      <vt:lpstr>پشتیبانی6!Print_Area</vt:lpstr>
      <vt:lpstr>پشتیبانی7!Print_Area</vt:lpstr>
      <vt:lpstr>پشتیبانی8!Print_Area</vt:lpstr>
      <vt:lpstr>پولشویی1!Print_Area</vt:lpstr>
      <vt:lpstr>پولشویی2!Print_Area</vt:lpstr>
      <vt:lpstr>پولشویی3!Print_Area</vt:lpstr>
      <vt:lpstr>پولشویی4!Print_Area</vt:lpstr>
      <vt:lpstr>'تشکیلات و روشها1'!Print_Area</vt:lpstr>
      <vt:lpstr>'تشکیلات و روشها2'!Print_Area</vt:lpstr>
      <vt:lpstr>'تشکیلات و روشها3'!Print_Area</vt:lpstr>
      <vt:lpstr>'تشکیلات و روشها4'!Print_Area</vt:lpstr>
      <vt:lpstr>'تشکیلات و روشها5'!Print_Area</vt:lpstr>
      <vt:lpstr>'تشکیلات و روشها6'!Print_Area</vt:lpstr>
      <vt:lpstr>'تشکیلات و روشها7'!Print_Area</vt:lpstr>
      <vt:lpstr>'تشکیلات و روشها8'!Print_Area</vt:lpstr>
      <vt:lpstr>'تشکیلات و روشها9'!Print_Area</vt:lpstr>
      <vt:lpstr>حراست1!Print_Area</vt:lpstr>
      <vt:lpstr>حراست2!Print_Area</vt:lpstr>
      <vt:lpstr>حراست3!Print_Area</vt:lpstr>
      <vt:lpstr>حسابرسی1!Print_Area</vt:lpstr>
      <vt:lpstr>حسابرسی2!Print_Area</vt:lpstr>
      <vt:lpstr>حسابرسی3!Print_Area</vt:lpstr>
      <vt:lpstr>حسابرسی4!Print_Area</vt:lpstr>
      <vt:lpstr>حسابرسی5!Print_Area</vt:lpstr>
      <vt:lpstr>حسابرسی6!Print_Area</vt:lpstr>
      <vt:lpstr>حسابرسی7!Print_Area</vt:lpstr>
      <vt:lpstr>حسابرسی8!Print_Area</vt:lpstr>
      <vt:lpstr>حقوقی1!Print_Area</vt:lpstr>
      <vt:lpstr>حقوقی2!Print_Area</vt:lpstr>
      <vt:lpstr>حقوقی3!Print_Area</vt:lpstr>
      <vt:lpstr>حقوقی4!Print_Area</vt:lpstr>
      <vt:lpstr>درمان1!Print_Area</vt:lpstr>
      <vt:lpstr>درمان2!Print_Area</vt:lpstr>
      <vt:lpstr>درمان3!Print_Area</vt:lpstr>
      <vt:lpstr>درمان4!Print_Area</vt:lpstr>
      <vt:lpstr>'روابط عمومی1'!Print_Area</vt:lpstr>
      <vt:lpstr>'روابط عمومی2'!Print_Area</vt:lpstr>
      <vt:lpstr>'روابط عمومی3'!Print_Area</vt:lpstr>
      <vt:lpstr>'روابط عمومی4'!Print_Area</vt:lpstr>
      <vt:lpstr>'روابط عمومی5'!Print_Area</vt:lpstr>
      <vt:lpstr>'روابط عمومی6'!Print_Area</vt:lpstr>
      <vt:lpstr>'روابط عمومی7'!Print_Area</vt:lpstr>
      <vt:lpstr>'روابط عمومی8'!Print_Area</vt:lpstr>
      <vt:lpstr>ریسک1!Print_Area</vt:lpstr>
      <vt:lpstr>ریسک2!Print_Area</vt:lpstr>
      <vt:lpstr>ریسک3!Print_Area</vt:lpstr>
      <vt:lpstr>ریسک4!Print_Area</vt:lpstr>
      <vt:lpstr>ریسک5!Print_Area</vt:lpstr>
      <vt:lpstr>'سرمایه گذاری 1'!Print_Area</vt:lpstr>
      <vt:lpstr>'سرمایه گذاری 2'!Print_Area</vt:lpstr>
      <vt:lpstr>'سرمایه گذاری 3 '!Print_Area</vt:lpstr>
      <vt:lpstr>'سرمایه گذاری 4'!Print_Area</vt:lpstr>
      <vt:lpstr>'سرمایه گذاری 5'!Print_Area</vt:lpstr>
      <vt:lpstr>'طرح و برنامه1'!Print_Area</vt:lpstr>
      <vt:lpstr>'طرح و برنامه2'!Print_Area</vt:lpstr>
      <vt:lpstr>'طرح و برنامه3'!Print_Area</vt:lpstr>
      <vt:lpstr>'طرح و برنامه4'!Print_Area</vt:lpstr>
      <vt:lpstr>'طرح و برنامه5'!Print_Area</vt:lpstr>
      <vt:lpstr>'عمر وسرمایه گذاری1'!Print_Area</vt:lpstr>
      <vt:lpstr>'عمر وسرمایه گذاری2'!Print_Area</vt:lpstr>
      <vt:lpstr>'عمر وسرمایه گذاری3'!Print_Area</vt:lpstr>
      <vt:lpstr>'عمر وسرمایه گذاری4'!Print_Area</vt:lpstr>
      <vt:lpstr>'فناوری اطلاعات 7'!Print_Area</vt:lpstr>
      <vt:lpstr>'فناوری اطلاعات1'!Print_Area</vt:lpstr>
      <vt:lpstr>'فناوری اطلاعات2'!Print_Area</vt:lpstr>
      <vt:lpstr>'فناوری اطلاعات3'!Print_Area</vt:lpstr>
      <vt:lpstr>'فناوری اطلاعات4'!Print_Area</vt:lpstr>
      <vt:lpstr>'فناوری اطلاعات5'!Print_Area</vt:lpstr>
      <vt:lpstr>'فناوری اطلاعات6'!Print_Area</vt:lpstr>
      <vt:lpstr>مالی1!Print_Area</vt:lpstr>
      <vt:lpstr>مالی2!Print_Area</vt:lpstr>
      <vt:lpstr>مالی3!Print_Area</vt:lpstr>
      <vt:lpstr>مالی4!Print_Area</vt:lpstr>
      <vt:lpstr>مالی5!Print_Area</vt:lpstr>
      <vt:lpstr>مالی6!Print_Area</vt:lpstr>
      <vt:lpstr>مالی7!Print_Area</vt:lpstr>
      <vt:lpstr>مالی8!Print_Area</vt:lpstr>
      <vt:lpstr>مالی9!Print_Area</vt:lpstr>
      <vt:lpstr>مسئولیت1!Print_Area</vt:lpstr>
      <vt:lpstr>مسئولیت2!Print_Area</vt:lpstr>
      <vt:lpstr>مسئولیت3!Print_Area</vt:lpstr>
      <vt:lpstr>مسئولیت4!Print_Area</vt:lpstr>
      <vt:lpstr>مسئولیت5!Print_Area</vt:lpstr>
      <vt:lpstr>مسئولیت6!Print_Area</vt:lpstr>
      <vt:lpstr>'منابع انسانی1'!Print_Area</vt:lpstr>
      <vt:lpstr>مهندسی1!Print_Area</vt:lpstr>
      <vt:lpstr>مهندسی2!Print_Area</vt:lpstr>
      <vt:lpstr>مهندسی3!Print_Area</vt:lpstr>
      <vt:lpstr>مهندسی4!Print_Area</vt:lpstr>
      <vt:lpstr>مهندسی5!Print_Area</vt:lpstr>
      <vt:lpstr>'اکسل V22'!Print_Titles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قائمی مریم</dc:creator>
  <cp:lastModifiedBy>قائمی مریم</cp:lastModifiedBy>
  <cp:lastPrinted>2026-07-01T14:17:38Z</cp:lastPrinted>
  <dcterms:created xsi:type="dcterms:W3CDTF">2026-06-15T05:42:08Z</dcterms:created>
  <dcterms:modified xsi:type="dcterms:W3CDTF">2026-08-10T06:10:21Z</dcterms:modified>
</cp:coreProperties>
</file>